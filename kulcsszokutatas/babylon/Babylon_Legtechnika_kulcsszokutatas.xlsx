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Csőventilátor" sheetId="7" state="visible" r:id="rId7"/>
    <sheet xmlns:r="http://schemas.openxmlformats.org/officeDocument/2006/relationships" name="2 Szénszűrő" sheetId="8" state="visible" r:id="rId8"/>
    <sheet xmlns:r="http://schemas.openxmlformats.org/officeDocument/2006/relationships" name="3 Légtechnikai cső" sheetId="9" state="visible" r:id="rId9"/>
    <sheet xmlns:r="http://schemas.openxmlformats.org/officeDocument/2006/relationships" name="4 Szagsemlegesítő" sheetId="10" state="visible" r:id="rId10"/>
    <sheet xmlns:r="http://schemas.openxmlformats.org/officeDocument/2006/relationships" name="5 Keringető" sheetId="11" state="visible" r:id="rId11"/>
    <sheet xmlns:r="http://schemas.openxmlformats.org/officeDocument/2006/relationships" name="6 Páramentesítő" sheetId="12" state="visible" r:id="rId12"/>
    <sheet xmlns:r="http://schemas.openxmlformats.org/officeDocument/2006/relationships" name="7 Párásító" sheetId="13" state="visible" r:id="rId13"/>
    <sheet xmlns:r="http://schemas.openxmlformats.org/officeDocument/2006/relationships" name="8 Klímavezérlő" sheetId="14" state="visible" r:id="rId14"/>
    <sheet xmlns:r="http://schemas.openxmlformats.org/officeDocument/2006/relationships" name="9 Páratartalom-mérő" sheetId="15" state="visible" r:id="rId15"/>
    <sheet xmlns:r="http://schemas.openxmlformats.org/officeDocument/2006/relationships" name="10 CO2" sheetId="16" state="visible" r:id="rId16"/>
    <sheet xmlns:r="http://schemas.openxmlformats.org/officeDocument/2006/relationships" name="Gyártói kulcsszavak" sheetId="17" state="visible" r:id="rId17"/>
  </sheets>
  <definedNames>
    <definedName name="_xlnm._FilterDatabase" localSheetId="2" hidden="1">'Termékkínálat'!$A$6:$G$1639</definedName>
    <definedName name="_xlnm._FilterDatabase" localSheetId="5" hidden="1">'Összes kulcsszó'!$A$1:$I$198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DECEA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Aktív szénszűrő, légtechnika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2026-10-15/16.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Csőventilátor, elszívó ventilátor</t>
        </is>
      </c>
      <c r="B5" s="4" t="inlineStr">
        <is>
          <t>csőventilátor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Elszívás / befúvás a termesztőtérben – centrifugális, kevert áramlású és EC csőventilátor</t>
        </is>
      </c>
      <c r="H5" s="6" t="inlineStr">
        <is>
          <t>2. szint – a sandbox-név jó; alá kerül a „Ventilátor-vezérlő, termosztát” (3. szint)</t>
        </is>
      </c>
    </row>
    <row r="6">
      <c r="A6" s="4" t="inlineStr">
        <is>
          <t>Aktív szénszűrő, előszűrő</t>
        </is>
      </c>
      <c r="B6" s="4" t="inlineStr">
        <is>
          <t>aktív szénszűrő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Szagszűrés a termesztőtérből elszívott levegőből – aktív szénszűrő, előszűrő, utántöltő szén</t>
        </is>
      </c>
      <c r="H6" s="6" t="inlineStr">
        <is>
          <t>2. szint (sandbox: „Aktív Szénszűrő csőventilátorhoz”) – a „csőventilátorhoz” toldat a H1 / leírás része legyen, ne a menünévé</t>
        </is>
      </c>
    </row>
    <row r="7">
      <c r="A7" s="4" t="inlineStr">
        <is>
          <t>Légtechnikai cső, idom, bilincs</t>
        </is>
      </c>
      <c r="B7" s="4" t="inlineStr">
        <is>
          <t>légtechnika cső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Flexibilis légcsatorna (Aluflex, Sonoflex, Combiflex), idom, bővítő / szűkítő, csőtoldó, visszacsapó szelep, bilincs, ragasztószalag, ventilátor-hangtompító</t>
        </is>
      </c>
      <c r="H7" s="6" t="inlineStr">
        <is>
          <t>2. szint – a legtöbb termékes alkategória; 3. szintű szűrő: cső / idom / bilincs / szalag / hangtompító</t>
        </is>
      </c>
    </row>
    <row r="8">
      <c r="A8" s="4" t="inlineStr">
        <is>
          <t>Szagsemlegesítő, ózongenerátor</t>
        </is>
      </c>
      <c r="B8" s="4" t="inlineStr">
        <is>
          <t>szagsemlegesítő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Szagkezelés szénszűrő mellett / helyett – ONA gél, tömb, spray, légcsatornába építhető ONA szűrő, ózongenerátor</t>
        </is>
      </c>
      <c r="H8" s="6" t="inlineStr">
        <is>
          <t>2. szint – a sandbox-név jó</t>
        </is>
      </c>
    </row>
    <row r="9">
      <c r="A9" s="4" t="inlineStr">
        <is>
          <t>Keringető ventilátor</t>
        </is>
      </c>
      <c r="B9" s="4" t="inlineStr">
        <is>
          <t>padlóventilátor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Légmozgatás a növények között – csíptetős (Monkey Fan, Cloudray), padló-, álló- és fali ventilátor</t>
        </is>
      </c>
      <c r="H9" s="6" t="inlineStr">
        <is>
          <t>2. szint (sandbox: „Keringető ventilátor growboxba”) – név marad, a „growboxba” a H1-be / leírásba</t>
        </is>
      </c>
    </row>
    <row r="10">
      <c r="A10" s="4" t="inlineStr">
        <is>
          <t>Páramentesítő</t>
        </is>
      </c>
      <c r="B10" s="4" t="inlineStr">
        <is>
          <t>páramentesítő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Páratartalom csökkentése a termesztőtérben, szárításnál – kompresszoros / Peltier páramentesítő</t>
        </is>
      </c>
      <c r="H10" s="6" t="inlineStr">
        <is>
          <t>3. szint a „Klímaszabályozás, párásítás, párátlanítás” alatt</t>
        </is>
      </c>
    </row>
    <row r="11">
      <c r="A11" s="4" t="inlineStr">
        <is>
          <t>Párásító</t>
        </is>
      </c>
      <c r="B11" s="4" t="inlineStr">
        <is>
          <t>párásító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Páratartalom növelése a termesztőtérben – ultrahangos / hideg párásító, ködgenerátor, vezérlő</t>
        </is>
      </c>
      <c r="H11" s="6" t="inlineStr">
        <is>
          <t>3. szint a „Klímaszabályozás, párásítás, párátlanítás” alatt</t>
        </is>
      </c>
    </row>
    <row r="12">
      <c r="A12" s="4" t="inlineStr">
        <is>
          <t>Klímavezérlő: ventilátor-szabályzó, termosztát, higrosztát</t>
        </is>
      </c>
      <c r="B12" s="4" t="inlineStr">
        <is>
          <t>ventilátor fordulatszám szabályzó</t>
        </is>
      </c>
      <c r="C12" s="5">
        <f>SUMIFS('Összes kulcsszó'!$E:$E,'Összes kulcsszó'!$A:$A,A12,'Összes kulcsszó'!$C:$C,B12)</f>
        <v/>
      </c>
      <c r="D12" s="5">
        <f>SUMIFS('Összes kulcsszó'!$E:$E,'Összes kulcsszó'!$A:$A,A12,'Összes kulcsszó'!$G:$G,"Igen")</f>
        <v/>
      </c>
      <c r="E12" s="4" t="inlineStr">
        <is>
          <t>Szoros</t>
        </is>
      </c>
      <c r="F12" s="4" t="inlineStr">
        <is>
          <t>Igen</t>
        </is>
      </c>
      <c r="G12" s="4" t="inlineStr">
        <is>
          <t>Csőventilátor fordulatszám-, hőmérséklet-, páratartalom- és nyomásszabályzása; környezeti vezérlő (AC Infinity, GSE, OptiClimate)</t>
        </is>
      </c>
      <c r="H12" s="6" t="inlineStr">
        <is>
          <t>2. szint – önálló kategória: ventilátorok, párásítók, fűtés vezérlése egy helyen (környezetvezérlő)</t>
        </is>
      </c>
    </row>
    <row r="13">
      <c r="A13" s="4" t="inlineStr">
        <is>
          <t>Hő- és páratartalom-mérő</t>
        </is>
      </c>
      <c r="B13" s="4" t="inlineStr">
        <is>
          <t>páratartalom mérő</t>
        </is>
      </c>
      <c r="C13" s="5">
        <f>SUMIFS('Összes kulcsszó'!$E:$E,'Összes kulcsszó'!$A:$A,A13,'Összes kulcsszó'!$C:$C,B13)</f>
        <v/>
      </c>
      <c r="D13" s="5">
        <f>SUMIFS('Összes kulcsszó'!$E:$E,'Összes kulcsszó'!$A:$A,A13,'Összes kulcsszó'!$G:$G,"Igen")</f>
        <v/>
      </c>
      <c r="E13" s="4" t="inlineStr">
        <is>
          <t>Szoros</t>
        </is>
      </c>
      <c r="F13" s="4" t="inlineStr">
        <is>
          <t>Igen</t>
        </is>
      </c>
      <c r="G13" s="4" t="inlineStr">
        <is>
          <t>Hőmérséklet és relatív páratartalom mérése – digitális thermo-higrométer</t>
        </is>
      </c>
      <c r="H13" s="6" t="inlineStr">
        <is>
          <t>3. szint a Klíma alatt VAGY a Mérőműszer ágban (pH / EC mellett) – egy céloldal, a másik helyen link</t>
        </is>
      </c>
    </row>
    <row r="14">
      <c r="A14" s="4" t="inlineStr">
        <is>
          <t>CO2-pótlás, CO2-mérő</t>
        </is>
      </c>
      <c r="B14" s="4" t="inlineStr">
        <is>
          <t>co2 mérő</t>
        </is>
      </c>
      <c r="C14" s="5">
        <f>SUMIFS('Összes kulcsszó'!$E:$E,'Összes kulcsszó'!$A:$A,A14,'Összes kulcsszó'!$C:$C,B14)</f>
        <v/>
      </c>
      <c r="D14" s="5">
        <f>SUMIFS('Összes kulcsszó'!$E:$E,'Összes kulcsszó'!$A:$A,A14,'Összes kulcsszó'!$G:$G,"Igen")</f>
        <v/>
      </c>
      <c r="E14" s="4" t="inlineStr">
        <is>
          <t>Szoros</t>
        </is>
      </c>
      <c r="F14" s="4" t="inlineStr">
        <is>
          <t>Igen</t>
        </is>
      </c>
      <c r="G14" s="4" t="inlineStr">
        <is>
          <t>CO2-szint emelése és mérése – CO2 zsák, tabletta, palack + reduktor, propános CO2 generátor, CO2 érzékelő / szabályzó</t>
        </is>
      </c>
      <c r="H14" s="6" t="inlineStr">
        <is>
          <t>2. szint (sandbox: „CO2”) – a puszta „CO2” név túl általános</t>
        </is>
      </c>
    </row>
    <row r="16">
      <c r="A16" s="7" t="inlineStr">
        <is>
          <t>Jelmagyarázat</t>
        </is>
      </c>
    </row>
    <row r="17">
      <c r="A17" s="4" t="inlineStr">
        <is>
          <t>Szoros kötődés · érdemes: Igen</t>
        </is>
      </c>
    </row>
    <row r="18">
      <c r="A18" s="8" t="inlineStr">
        <is>
          <t>Laza kötődés · érdemes: Igen</t>
        </is>
      </c>
    </row>
    <row r="19">
      <c r="A19" s="9" t="inlineStr">
        <is>
          <t>Laza kötődés · érdemes: Nem</t>
        </is>
      </c>
    </row>
    <row r="20">
      <c r="A20" s="10" t="inlineStr">
        <is>
          <t>Nincs (áruházi / nem vásárlási szándék) kötődés · érdemes: Nem – kizárandó</t>
        </is>
      </c>
    </row>
    <row r="22">
      <c r="A22" s="2" t="inlineStr">
        <is>
          <t>Megjegyzés: a klaszter-összeg átfedéseket tartalmazhat (pl. elírt és ékezet nélküli változatok, amelyeket a Google külön sorban is mutat).</t>
        </is>
      </c>
    </row>
    <row r="23">
      <c r="A23" s="2" t="inlineStr">
        <is>
          <t>Módszer: csak a főkategória neve („Aktív szénszűrő, légtechnika”) adott; az alkategóriák a termékek funkciójából (elszívás, szagszűrés, csövezés, keringetés, páratartalom, vezérlés, CO2) és a keresési szándékból épülnek, lapos (2 szintű) szerkezetben.</t>
        </is>
      </c>
    </row>
    <row r="24">
      <c r="A24" s="2" t="inlineStr">
        <is>
          <t>Fő megállapítások: a „légtechnika” (1300) és a „légtechnika cső” (880) erősebb, mint a „légcsatorna” (320) → a csőkategória fő szava „légtechnika cső”. A legnagyobb termékkulcsszavak a klímán vannak (páramentesítő 9900, párásító 5400, páratartalom mérő 1600) → önálló 2. szintű kategóriák.</t>
        </is>
      </c>
    </row>
    <row r="25">
      <c r="A25" s="2" t="inlineStr">
        <is>
          <t>A „légtechnikai bolt” (720) / „légtechnika webáruház” (110) bolt-keresés – a főkategória title-jében érdemes kiszolgálni.</t>
        </is>
      </c>
    </row>
    <row r="26">
      <c r="A26" s="2" t="inlineStr">
        <is>
          <t>A nagy általános szavak (ventilátor 18100, légtisztító 5400, szellőzés 2900, flexibilis cső 2400, visszacsapó szelep 2400, hangtompító 880) más szándékúak – LN.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Aktív szénszűrő, légtechnika (csak a főkategória neve + termékkínálat + kulcsszóadat alapján)</t>
        </is>
      </c>
    </row>
    <row r="2">
      <c r="A2" s="2" t="inlineStr">
        <is>
          <t>A korábbi és a sandbox alkategória-neveket és -szerkezetet NEM vettük figyelembe. Kiindulás: a főkategória neve,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Aktív szénszűrő, légtechnika</t>
        </is>
      </c>
      <c r="C5" s="11" t="inlineStr">
        <is>
          <t>–</t>
        </is>
      </c>
      <c r="D5" s="11" t="inlineStr">
        <is>
          <t>légtechnika</t>
        </is>
      </c>
      <c r="E5" s="12" t="n">
        <v>1300</v>
      </c>
      <c r="F5" s="12" t="n"/>
      <c r="G5" s="11" t="inlineStr">
        <is>
          <t>Erősen kapcsolódik</t>
        </is>
      </c>
      <c r="H5" s="11" t="n">
        <v>353</v>
      </c>
      <c r="I5" s="11" t="inlineStr">
        <is>
          <t>Főkategória</t>
        </is>
      </c>
      <c r="J5" s="11" t="inlineStr">
        <is>
          <t>Légtechnika 1300 (+ légtechnikai bolt 720) – a főkategória H1-je: „Légtechnika, aktív szénszűrő, csőventilátor”.</t>
        </is>
      </c>
    </row>
    <row r="6">
      <c r="A6" s="6" t="n">
        <v>2</v>
      </c>
      <c r="B6" s="6" t="inlineStr">
        <is>
          <t>Csőventilátor, elszívó ventilátor</t>
        </is>
      </c>
      <c r="C6" s="6" t="inlineStr">
        <is>
          <t>Aktív szénszűrő, légtechnika</t>
        </is>
      </c>
      <c r="D6" s="6" t="inlineStr">
        <is>
          <t>csőventilátor</t>
        </is>
      </c>
      <c r="E6" s="13" t="n">
        <v>1000</v>
      </c>
      <c r="F6" s="13">
        <f>SUMIFS('Összes kulcsszó'!$E:$E,'Összes kulcsszó'!$A:$A,"Csőventilátor, elszívó ventilátor",'Összes kulcsszó'!$G:$G,"Igen")</f>
        <v/>
      </c>
      <c r="G6" s="6" t="inlineStr">
        <is>
          <t>Erősen kapcsolódik</t>
        </is>
      </c>
      <c r="H6" s="6" t="n">
        <v>84</v>
      </c>
      <c r="I6" s="6" t="inlineStr">
        <is>
          <t>Önálló kategória</t>
        </is>
      </c>
      <c r="J6" s="6" t="inlineStr">
        <is>
          <t>Csőventilátor 1000, elszívó ventilátor 1900 (vegyes); átmérő / EC = szűrő.</t>
        </is>
      </c>
    </row>
    <row r="7">
      <c r="A7" s="6" t="n">
        <v>2</v>
      </c>
      <c r="B7" s="6" t="inlineStr">
        <is>
          <t>Aktív szénszűrő, előszűrő</t>
        </is>
      </c>
      <c r="C7" s="6" t="inlineStr">
        <is>
          <t>Aktív szénszűrő, légtechnika</t>
        </is>
      </c>
      <c r="D7" s="6" t="inlineStr">
        <is>
          <t>aktív szénszűrő</t>
        </is>
      </c>
      <c r="E7" s="13" t="n">
        <v>210</v>
      </c>
      <c r="F7" s="13">
        <f>SUMIFS('Összes kulcsszó'!$E:$E,'Összes kulcsszó'!$A:$A,"Aktív szénszűrő, előszűrő",'Összes kulcsszó'!$G:$G,"Igen")</f>
        <v/>
      </c>
      <c r="G7" s="6" t="inlineStr">
        <is>
          <t>Erősen kapcsolódik</t>
        </is>
      </c>
      <c r="H7" s="6" t="n">
        <v>64</v>
      </c>
      <c r="I7" s="6" t="inlineStr">
        <is>
          <t>Önálló kategória</t>
        </is>
      </c>
      <c r="J7" s="6" t="inlineStr">
        <is>
          <t>Aktív szénszűrő 210 – a főkategória névadó terméke.</t>
        </is>
      </c>
    </row>
    <row r="8">
      <c r="A8" s="6" t="n">
        <v>2</v>
      </c>
      <c r="B8" s="6" t="inlineStr">
        <is>
          <t>Légtechnikai cső, idom, bilincs</t>
        </is>
      </c>
      <c r="C8" s="6" t="inlineStr">
        <is>
          <t>Aktív szénszűrő, légtechnika</t>
        </is>
      </c>
      <c r="D8" s="6" t="inlineStr">
        <is>
          <t>légtechnika cső</t>
        </is>
      </c>
      <c r="E8" s="13" t="n">
        <v>880</v>
      </c>
      <c r="F8" s="13">
        <f>SUMIFS('Összes kulcsszó'!$E:$E,'Összes kulcsszó'!$A:$A,"Légtechnikai cső, idom, bilincs",'Összes kulcsszó'!$G:$G,"Igen")</f>
        <v/>
      </c>
      <c r="G8" s="6" t="inlineStr">
        <is>
          <t>Erősen kapcsolódik</t>
        </is>
      </c>
      <c r="H8" s="6" t="n">
        <v>114</v>
      </c>
      <c r="I8" s="6" t="inlineStr">
        <is>
          <t>Önálló kategória</t>
        </is>
      </c>
      <c r="J8" s="6" t="inlineStr">
        <is>
          <t>Légtechnika cső 880 – a legtöbb termék (~100 élő).</t>
        </is>
      </c>
    </row>
    <row r="9">
      <c r="A9" s="6" t="n">
        <v>2</v>
      </c>
      <c r="B9" s="6" t="inlineStr">
        <is>
          <t>Szagsemlegesítő, ózongenerátor</t>
        </is>
      </c>
      <c r="C9" s="6" t="inlineStr">
        <is>
          <t>Aktív szénszűrő, légtechnika</t>
        </is>
      </c>
      <c r="D9" s="6" t="inlineStr">
        <is>
          <t>szagsemlegesítő</t>
        </is>
      </c>
      <c r="E9" s="13" t="n">
        <v>260</v>
      </c>
      <c r="F9" s="13">
        <f>SUMIFS('Összes kulcsszó'!$E:$E,'Összes kulcsszó'!$A:$A,"Szagsemlegesítő, ózongenerátor",'Összes kulcsszó'!$G:$G,"Igen")</f>
        <v/>
      </c>
      <c r="G9" s="6" t="inlineStr">
        <is>
          <t>Erősen kapcsolódik</t>
        </is>
      </c>
      <c r="H9" s="6" t="n">
        <v>49</v>
      </c>
      <c r="I9" s="6" t="inlineStr">
        <is>
          <t>Önálló kategória</t>
        </is>
      </c>
      <c r="J9" s="6" t="inlineStr">
        <is>
          <t>Szagsemlegesítő 260; ózongenerátor 6600, de 1 termék.</t>
        </is>
      </c>
    </row>
    <row r="10">
      <c r="A10" s="6" t="n">
        <v>2</v>
      </c>
      <c r="B10" s="6" t="inlineStr">
        <is>
          <t>Keringető ventilátor</t>
        </is>
      </c>
      <c r="C10" s="6" t="inlineStr">
        <is>
          <t>Aktív szénszűrő, légtechnika</t>
        </is>
      </c>
      <c r="D10" s="6" t="inlineStr">
        <is>
          <t>padlóventilátor</t>
        </is>
      </c>
      <c r="E10" s="13" t="n">
        <v>1300</v>
      </c>
      <c r="F10" s="13">
        <f>SUMIFS('Összes kulcsszó'!$E:$E,'Összes kulcsszó'!$A:$A,"Keringető ventilátor",'Összes kulcsszó'!$G:$G,"Igen")</f>
        <v/>
      </c>
      <c r="G10" s="6" t="inlineStr">
        <is>
          <t>Erősen kapcsolódik</t>
        </is>
      </c>
      <c r="H10" s="6" t="n">
        <v>15</v>
      </c>
      <c r="I10" s="6" t="inlineStr">
        <is>
          <t>Önálló kategória</t>
        </is>
      </c>
      <c r="J10" s="6" t="inlineStr">
        <is>
          <t>Padlóventilátor 1300, fali ventilátor 880 (laza).</t>
        </is>
      </c>
    </row>
    <row r="11">
      <c r="A11" s="6" t="n">
        <v>2</v>
      </c>
      <c r="B11" s="6" t="inlineStr">
        <is>
          <t>Páramentesítő</t>
        </is>
      </c>
      <c r="C11" s="6" t="inlineStr">
        <is>
          <t>Aktív szénszűrő, légtechnika</t>
        </is>
      </c>
      <c r="D11" s="6" t="inlineStr">
        <is>
          <t>páramentesítő</t>
        </is>
      </c>
      <c r="E11" s="13" t="n">
        <v>9900</v>
      </c>
      <c r="F11" s="13">
        <f>SUMIFS('Összes kulcsszó'!$E:$E,'Összes kulcsszó'!$A:$A,"Páramentesítő",'Összes kulcsszó'!$G:$G,"Igen")</f>
        <v/>
      </c>
      <c r="G11" s="6" t="inlineStr">
        <is>
          <t>Erősen kapcsolódik</t>
        </is>
      </c>
      <c r="H11" s="6" t="n">
        <v>5</v>
      </c>
      <c r="I11" s="6" t="inlineStr">
        <is>
          <t>Önálló kategória</t>
        </is>
      </c>
      <c r="J11" s="6" t="inlineStr">
        <is>
          <t>Páramentesítő 9900 – az ág legnagyobb kulcsszava.</t>
        </is>
      </c>
    </row>
    <row r="12">
      <c r="A12" s="6" t="n">
        <v>2</v>
      </c>
      <c r="B12" s="6" t="inlineStr">
        <is>
          <t>Párásító</t>
        </is>
      </c>
      <c r="C12" s="6" t="inlineStr">
        <is>
          <t>Aktív szénszűrő, légtechnika</t>
        </is>
      </c>
      <c r="D12" s="6" t="inlineStr">
        <is>
          <t>párásító</t>
        </is>
      </c>
      <c r="E12" s="13" t="n">
        <v>5400</v>
      </c>
      <c r="F12" s="13">
        <f>SUMIFS('Összes kulcsszó'!$E:$E,'Összes kulcsszó'!$A:$A,"Párásító",'Összes kulcsszó'!$G:$G,"Igen")</f>
        <v/>
      </c>
      <c r="G12" s="6" t="inlineStr">
        <is>
          <t>Erősen kapcsolódik</t>
        </is>
      </c>
      <c r="H12" s="6" t="n">
        <v>8</v>
      </c>
      <c r="I12" s="6" t="inlineStr">
        <is>
          <t>Önálló kategória</t>
        </is>
      </c>
      <c r="J12" s="6" t="inlineStr">
        <is>
          <t>Párásító 5400, ultrahangos párásító 1000.</t>
        </is>
      </c>
    </row>
    <row r="13">
      <c r="A13" s="6" t="n">
        <v>2</v>
      </c>
      <c r="B13" s="6" t="inlineStr">
        <is>
          <t>Klímavezérlő: ventilátor-szabályzó, termosztát, higrosztát</t>
        </is>
      </c>
      <c r="C13" s="6" t="inlineStr">
        <is>
          <t>Aktív szénszűrő, légtechnika</t>
        </is>
      </c>
      <c r="D13" s="6" t="inlineStr">
        <is>
          <t>ventilátor fordulatszám szabályzó</t>
        </is>
      </c>
      <c r="E13" s="13" t="n">
        <v>110</v>
      </c>
      <c r="F13" s="13">
        <f>SUMIFS('Összes kulcsszó'!$E:$E,'Összes kulcsszó'!$A:$A,"Klímavezérlő: ventilátor-szabályzó, termosztát, higrosztát",'Összes kulcsszó'!$G:$G,"Igen")</f>
        <v/>
      </c>
      <c r="G13" s="6" t="inlineStr">
        <is>
          <t>Erősen kapcsolódik</t>
        </is>
      </c>
      <c r="H13" s="6" t="n">
        <v>41</v>
      </c>
      <c r="I13" s="6" t="inlineStr">
        <is>
          <t>Önálló kategória</t>
        </is>
      </c>
      <c r="J13" s="6" t="inlineStr">
        <is>
          <t>Ventilátor fordulatszám szabályzó 110, higrosztát 70, páratartalom szabályzó 70.</t>
        </is>
      </c>
    </row>
    <row r="14">
      <c r="A14" s="6" t="n">
        <v>2</v>
      </c>
      <c r="B14" s="6" t="inlineStr">
        <is>
          <t>Hő- és páratartalom-mérő</t>
        </is>
      </c>
      <c r="C14" s="6" t="inlineStr">
        <is>
          <t>Aktív szénszűrő, légtechnika</t>
        </is>
      </c>
      <c r="D14" s="6" t="inlineStr">
        <is>
          <t>páratartalom mérő</t>
        </is>
      </c>
      <c r="E14" s="13" t="n">
        <v>1600</v>
      </c>
      <c r="F14" s="13">
        <f>SUMIFS('Összes kulcsszó'!$E:$E,'Összes kulcsszó'!$A:$A,"Hő- és páratartalom-mérő",'Összes kulcsszó'!$G:$G,"Igen")</f>
        <v/>
      </c>
      <c r="G14" s="6" t="inlineStr">
        <is>
          <t>Erősen kapcsolódik</t>
        </is>
      </c>
      <c r="H14" s="6" t="n">
        <v>4</v>
      </c>
      <c r="I14" s="6" t="inlineStr">
        <is>
          <t>Önálló kategória</t>
        </is>
      </c>
      <c r="J14" s="6" t="inlineStr">
        <is>
          <t>Páratartalom mérő 1600 – vagy a Mérőműszer ágban (egy céloldal).</t>
        </is>
      </c>
    </row>
    <row r="15">
      <c r="A15" s="6" t="n">
        <v>2</v>
      </c>
      <c r="B15" s="6" t="inlineStr">
        <is>
          <t>CO2-pótlás, CO2-mérő</t>
        </is>
      </c>
      <c r="C15" s="6" t="inlineStr">
        <is>
          <t>Aktív szénszűrő, légtechnika</t>
        </is>
      </c>
      <c r="D15" s="6" t="inlineStr">
        <is>
          <t>co2 mérő</t>
        </is>
      </c>
      <c r="E15" s="13" t="n">
        <v>210</v>
      </c>
      <c r="F15" s="13">
        <f>SUMIFS('Összes kulcsszó'!$E:$E,'Összes kulcsszó'!$A:$A,"CO2-pótlás, CO2-mérő",'Összes kulcsszó'!$G:$G,"Igen")</f>
        <v/>
      </c>
      <c r="G15" s="6" t="inlineStr">
        <is>
          <t>Erősen kapcsolódik</t>
        </is>
      </c>
      <c r="H15" s="6" t="n">
        <v>15</v>
      </c>
      <c r="I15" s="6" t="inlineStr">
        <is>
          <t>Önálló kategória</t>
        </is>
      </c>
      <c r="J15" s="6" t="inlineStr">
        <is>
          <t>Co2 mérő 210, co2 érzékelő 170.</t>
        </is>
      </c>
    </row>
    <row r="17">
      <c r="A17" s="7" t="inlineStr">
        <is>
          <t>Ami NE legyen önálló kategória</t>
        </is>
      </c>
    </row>
    <row r="18">
      <c r="A18" s="3" t="inlineStr">
        <is>
          <t>Téma</t>
        </is>
      </c>
      <c r="B18" s="3" t="inlineStr">
        <is>
          <t>Kulcsszó</t>
        </is>
      </c>
      <c r="C18" s="3" t="inlineStr">
        <is>
          <t>Havi keresés</t>
        </is>
      </c>
      <c r="D18" s="3" t="inlineStr">
        <is>
          <t>Javaslat</t>
        </is>
      </c>
    </row>
    <row r="19">
      <c r="A19" s="14" t="inlineStr">
        <is>
          <t>Klíma gyűjtőkategória (párásító + páramentesítő + mérő egy ág alatt)</t>
        </is>
      </c>
      <c r="B19" s="14" t="inlineStr">
        <is>
          <t>páramentesítő</t>
        </is>
      </c>
      <c r="C19" s="15" t="n">
        <v>9900</v>
      </c>
      <c r="D19" s="14" t="inlineStr">
        <is>
          <t>A páramentesítő (9900) és a párásító (5400) erős önálló kulcsszó – közvetlenül 2. szinten jobb.</t>
        </is>
      </c>
    </row>
    <row r="20">
      <c r="A20" s="14" t="inlineStr">
        <is>
          <t>Ózongenerátor (külön kategória)</t>
        </is>
      </c>
      <c r="B20" s="14" t="inlineStr">
        <is>
          <t>ózongenerátor</t>
        </is>
      </c>
      <c r="C20" s="15" t="n">
        <v>6600</v>
      </c>
      <c r="D20" s="14" t="inlineStr">
        <is>
          <t>Nagy kereslet, de 1 termék – szűrő / H2, bővítés esetén saját kategória.</t>
        </is>
      </c>
    </row>
    <row r="21">
      <c r="A21" s="14" t="inlineStr">
        <is>
          <t>Hangtompító (külön kategória)</t>
        </is>
      </c>
      <c r="B21" s="14" t="inlineStr">
        <is>
          <t>hangtompító</t>
        </is>
      </c>
      <c r="C21" s="15" t="n">
        <v>880</v>
      </c>
      <c r="D21" s="14" t="inlineStr">
        <is>
          <t>A „hangtompító” (880) autós kipufogó – a ventilátor-hangtompító a Légtechnikai cső alatt szűrő.</t>
        </is>
      </c>
    </row>
    <row r="22">
      <c r="A22" s="14" t="inlineStr">
        <is>
          <t>Lakás-szellőztetés, légtisztító</t>
        </is>
      </c>
      <c r="B22" s="14" t="inlineStr">
        <is>
          <t>légtisztító</t>
        </is>
      </c>
      <c r="C22" s="15" t="n">
        <v>5400</v>
      </c>
      <c r="D22" s="14" t="inlineStr">
        <is>
          <t>Épületgépészet / háztartás – nem a mi termékünk.</t>
        </is>
      </c>
    </row>
    <row r="23">
      <c r="A23" s="14" t="inlineStr">
        <is>
          <t>Fürdőszobai elszívó</t>
        </is>
      </c>
      <c r="B23" s="14" t="inlineStr">
        <is>
          <t>fürdőszobai elszívó</t>
        </is>
      </c>
      <c r="C23" s="15" t="n">
        <v>390</v>
      </c>
      <c r="D23" s="14" t="inlineStr">
        <is>
          <t>Nem a mi termékünk.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 – ez az éles oldal aktuális kínálata. A most nem élő termékek „Nem aktív” jelöléssel a lap végén vannak.</t>
        </is>
      </c>
    </row>
    <row r="3">
      <c r="A3" s="2" t="inlineStr">
        <is>
          <t>A szerkezet csak a főkategória nevéből, a termékek típusából és a keresési szándékból készült – a korábbi és a sandbox alkategóriák figyelmen kívül.</t>
        </is>
      </c>
    </row>
    <row r="4">
      <c r="A4" s="2" t="inlineStr">
        <is>
          <t>Beépített szabályzós csőventilátorok elsődlegesen a Csőventilátorba, másodlagosan a Klímavezérlőbe kerültek.</t>
        </is>
      </c>
    </row>
    <row r="6">
      <c r="A6" s="3" t="inlineStr">
        <is>
          <t>Termékkód</t>
        </is>
      </c>
      <c r="B6" s="3" t="inlineStr">
        <is>
          <t>Terméknév</t>
        </is>
      </c>
      <c r="C6" s="3" t="inlineStr">
        <is>
          <t>Elsődleges javasolt kategória</t>
        </is>
      </c>
      <c r="D6" s="3" t="inlineStr">
        <is>
          <t>További kategóriák</t>
        </is>
      </c>
      <c r="E6" s="3" t="inlineStr">
        <is>
          <t>Illeszkedés</t>
        </is>
      </c>
      <c r="F6" s="3" t="inlineStr">
        <is>
          <t>Utoljára a Google Shopping-feedben</t>
        </is>
      </c>
      <c r="G6" s="3" t="inlineStr">
        <is>
          <t>Megjegyzés</t>
        </is>
      </c>
    </row>
    <row r="7">
      <c r="A7" s="6" t="inlineStr">
        <is>
          <t>GRO1044</t>
        </is>
      </c>
      <c r="B7" s="6" t="inlineStr">
        <is>
          <t>Can Filters Can-Lite 1500 aktív szénszűrő acél házzal, 1500 m3/h, 250 mm szűrővég</t>
        </is>
      </c>
      <c r="C7" s="6" t="inlineStr">
        <is>
          <t>Aktív szénszűrő, előszűrő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Aktív szénszűrő (Can-Lite, Can Original, Can-Inline, Prima Klima, DF16, AC Infinity…)</t>
        </is>
      </c>
    </row>
    <row r="8">
      <c r="A8" s="6" t="inlineStr">
        <is>
          <t>GRO1075</t>
        </is>
      </c>
      <c r="B8" s="6" t="inlineStr">
        <is>
          <t>Can Filters Can-Lite 2500 aktív szénszűrő acél házzal, 2500 m3/h, 250 mm szűrővég</t>
        </is>
      </c>
      <c r="C8" s="6" t="inlineStr">
        <is>
          <t>Aktív szénszűrő, előszűrő</t>
        </is>
      </c>
      <c r="D8" s="6" t="inlineStr"/>
      <c r="E8" s="6" t="inlineStr">
        <is>
          <t>Erős</t>
        </is>
      </c>
      <c r="F8" s="6" t="inlineStr">
        <is>
          <t>az elmúlt 30 napban</t>
        </is>
      </c>
      <c r="G8" s="6" t="inlineStr">
        <is>
          <t>Aktív szénszűrő (Can-Lite, Can Original, Can-Inline, Prima Klima, DF16, AC Infinity…)</t>
        </is>
      </c>
    </row>
    <row r="9">
      <c r="A9" s="6" t="inlineStr">
        <is>
          <t>GRO1077</t>
        </is>
      </c>
      <c r="B9" s="6" t="inlineStr">
        <is>
          <t>Can Filters Can-Lite 1000 aktív szénszűrő acél házzal, 1000 m3/h, 250 mm szűrővég</t>
        </is>
      </c>
      <c r="C9" s="6" t="inlineStr">
        <is>
          <t>Aktív szénszűrő, előszűrő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Aktív szénszűrő (Can-Lite, Can Original, Can-Inline, Prima Klima, DF16, AC Infinity…)</t>
        </is>
      </c>
    </row>
    <row r="10">
      <c r="A10" s="6" t="inlineStr">
        <is>
          <t>GRO1078</t>
        </is>
      </c>
      <c r="B10" s="6" t="inlineStr">
        <is>
          <t>Can Filters Can-Lite 600 aktív szénszűrő acél házzal, 600 m3/h, 150 mm szűrővég</t>
        </is>
      </c>
      <c r="C10" s="6" t="inlineStr">
        <is>
          <t>Aktív szénszűrő, előszűrő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Aktív szénszűrő (Can-Lite, Can Original, Can-Inline, Prima Klima, DF16, AC Infinity…)</t>
        </is>
      </c>
    </row>
    <row r="11">
      <c r="A11" s="6" t="inlineStr">
        <is>
          <t>GRO1079</t>
        </is>
      </c>
      <c r="B11" s="6" t="inlineStr">
        <is>
          <t>Can Filters Can-Lite 300 aktív szénszűrő műanyag házzal, 300 m3/h</t>
        </is>
      </c>
      <c r="C11" s="6" t="inlineStr">
        <is>
          <t>Aktív szénszűrő, előszűrő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Aktív szénszűrő (Can-Lite, Can Original, Can-Inline, Prima Klima, DF16, AC Infinity…)</t>
        </is>
      </c>
    </row>
    <row r="12">
      <c r="A12" s="6" t="inlineStr">
        <is>
          <t>GRO1080</t>
        </is>
      </c>
      <c r="B12" s="6" t="inlineStr">
        <is>
          <t>Can Filters Can-Lite 150 aktív szénszűrő műanyag házzal, 150 m3/h</t>
        </is>
      </c>
      <c r="C12" s="6" t="inlineStr">
        <is>
          <t>Aktív szénszűrő, előszűrő</t>
        </is>
      </c>
      <c r="D12" s="6" t="inlineStr"/>
      <c r="E12" s="6" t="inlineStr">
        <is>
          <t>Erős</t>
        </is>
      </c>
      <c r="F12" s="6" t="inlineStr">
        <is>
          <t>az elmúlt 30 napban</t>
        </is>
      </c>
      <c r="G12" s="6" t="inlineStr">
        <is>
          <t>Aktív szénszűrő (Can-Lite, Can Original, Can-Inline, Prima Klima, DF16, AC Infinity…)</t>
        </is>
      </c>
    </row>
    <row r="13">
      <c r="A13" s="6" t="inlineStr">
        <is>
          <t>GRO1081</t>
        </is>
      </c>
      <c r="B13" s="6" t="inlineStr">
        <is>
          <t>Can Filters Can-Lite 425 aktív szénszűrő műanyag házzal, 425 m3/h</t>
        </is>
      </c>
      <c r="C13" s="6" t="inlineStr">
        <is>
          <t>Aktív szénszűrő, előszűrő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Aktív szénszűrő (Can-Lite, Can Original, Can-Inline, Prima Klima, DF16, AC Infinity…)</t>
        </is>
      </c>
    </row>
    <row r="14">
      <c r="A14" s="6" t="inlineStr">
        <is>
          <t>GRO1663</t>
        </is>
      </c>
      <c r="B14" s="6" t="inlineStr">
        <is>
          <t>Can Filters Can-Lite 3000 aktív szénszűrő acél házzal, 3000 m3/h, 315 mm szűrővég</t>
        </is>
      </c>
      <c r="C14" s="6" t="inlineStr">
        <is>
          <t>Aktív szénszűrő, előszűrő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Aktív szénszűrő (Can-Lite, Can Original, Can-Inline, Prima Klima, DF16, AC Infinity…)</t>
        </is>
      </c>
    </row>
    <row r="15">
      <c r="A15" s="6" t="inlineStr">
        <is>
          <t>GRO2182</t>
        </is>
      </c>
      <c r="B15" s="6" t="inlineStr">
        <is>
          <t>Can Filters Can-Lite műanyag szűrővég 100 mm, Can-Lite 150, 300 és 425 szénszűrőhöz</t>
        </is>
      </c>
      <c r="C15" s="6" t="inlineStr">
        <is>
          <t>Aktív szénszűrő, előszűrő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Aktív szénszűrő (Can-Lite, Can Original, Can-Inline, Prima Klima, DF16, AC Infinity…)</t>
        </is>
      </c>
    </row>
    <row r="16">
      <c r="A16" s="6" t="inlineStr">
        <is>
          <t>GRO2220</t>
        </is>
      </c>
      <c r="B16" s="6" t="inlineStr">
        <is>
          <t>Can Filters Can-Lite műanyag szűrővég 125 mm, Can-Lite 150, 300 és 425 szénszűrőhöz</t>
        </is>
      </c>
      <c r="C16" s="6" t="inlineStr">
        <is>
          <t>Aktív szénszűrő, előszűrő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Aktív szénszűrő (Can-Lite, Can Original, Can-Inline, Prima Klima, DF16, AC Infinity…)</t>
        </is>
      </c>
    </row>
    <row r="17">
      <c r="A17" s="6" t="inlineStr">
        <is>
          <t>GRO2921</t>
        </is>
      </c>
      <c r="B17" s="6" t="inlineStr">
        <is>
          <t>Can Filters Can-Lite 800 aktív szénszűrő acél házzal, 800 m3/h, 200 mm szűrővég</t>
        </is>
      </c>
      <c r="C17" s="6" t="inlineStr">
        <is>
          <t>Aktív szénszűrő, előszűrő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Aktív szénszűrő (Can-Lite, Can Original, Can-Inline, Prima Klima, DF16, AC Infinity…)</t>
        </is>
      </c>
    </row>
    <row r="18">
      <c r="A18" s="6" t="inlineStr">
        <is>
          <t>GRO3211</t>
        </is>
      </c>
      <c r="B18" s="6" t="inlineStr">
        <is>
          <t>CAN Original aktív szénszűrő CF 2100 m3/h, 250 mm szűrővég, pelletált szénnel</t>
        </is>
      </c>
      <c r="C18" s="6" t="inlineStr">
        <is>
          <t>Aktív szénszűrő, előszűrő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Előszűrő, utántöltő szénpellet</t>
        </is>
      </c>
    </row>
    <row r="19">
      <c r="A19" s="6" t="inlineStr">
        <is>
          <t>GRO3214</t>
        </is>
      </c>
      <c r="B19" s="6" t="inlineStr">
        <is>
          <t>CAN Original aktív szénszűrő CF 700 m3/h, 150 mm szűrővég, pelletált szénnel</t>
        </is>
      </c>
      <c r="C19" s="6" t="inlineStr">
        <is>
          <t>Aktív szénszűrő, előszűrő</t>
        </is>
      </c>
      <c r="D19" s="6" t="inlineStr"/>
      <c r="E19" s="6" t="inlineStr">
        <is>
          <t>Erős</t>
        </is>
      </c>
      <c r="F19" s="6" t="inlineStr">
        <is>
          <t>az elmúlt 30 napban</t>
        </is>
      </c>
      <c r="G19" s="6" t="inlineStr">
        <is>
          <t>Előszűrő, utántöltő szénpellet</t>
        </is>
      </c>
    </row>
    <row r="20">
      <c r="A20" s="6" t="inlineStr">
        <is>
          <t>GRO3247</t>
        </is>
      </c>
      <c r="B20" s="6" t="inlineStr">
        <is>
          <t>Can Filters Can-Lite 1000 aktív szénszűrő acél házzal, 1000 m3/h, 200 mm szűrővég</t>
        </is>
      </c>
      <c r="C20" s="6" t="inlineStr">
        <is>
          <t>Aktív szénszűrő, előszűrő</t>
        </is>
      </c>
      <c r="D20" s="6" t="inlineStr"/>
      <c r="E20" s="6" t="inlineStr">
        <is>
          <t>Erős</t>
        </is>
      </c>
      <c r="F20" s="6" t="inlineStr">
        <is>
          <t>az elmúlt 30 napban</t>
        </is>
      </c>
      <c r="G20" s="6" t="inlineStr">
        <is>
          <t>Aktív szénszűrő (Can-Lite, Can Original, Can-Inline, Prima Klima, DF16, AC Infinity…)</t>
        </is>
      </c>
    </row>
    <row r="21">
      <c r="A21" s="6" t="inlineStr">
        <is>
          <t>GRO3248</t>
        </is>
      </c>
      <c r="B21" s="6" t="inlineStr">
        <is>
          <t>Can Filter Can Lite Szénszűrő (acél) 800 m3/h szűrővég: 160 mm</t>
        </is>
      </c>
      <c r="C21" s="6" t="inlineStr">
        <is>
          <t>Aktív szénszűrő, előszűrő</t>
        </is>
      </c>
      <c r="D21" s="6" t="inlineStr"/>
      <c r="E21" s="6" t="inlineStr">
        <is>
          <t>Erős</t>
        </is>
      </c>
      <c r="F21" s="6" t="inlineStr">
        <is>
          <t>az elmúlt 30 napban</t>
        </is>
      </c>
      <c r="G21" s="6" t="inlineStr">
        <is>
          <t>Aktív szénszűrő (Can-Lite, Can Original, Can-Inline, Prima Klima, DF16, AC Infinity…)</t>
        </is>
      </c>
    </row>
    <row r="22">
      <c r="A22" s="6" t="inlineStr">
        <is>
          <t>GRO3249</t>
        </is>
      </c>
      <c r="B22" s="6" t="inlineStr">
        <is>
          <t>Can Filters Can-Lite 600 aktív szénszűrő acél házzal, 600 m3/h, 160 mm szűrővég</t>
        </is>
      </c>
      <c r="C22" s="6" t="inlineStr">
        <is>
          <t>Aktív szénszűrő, előszűrő</t>
        </is>
      </c>
      <c r="D22" s="6" t="inlineStr"/>
      <c r="E22" s="6" t="inlineStr">
        <is>
          <t>Erős</t>
        </is>
      </c>
      <c r="F22" s="6" t="inlineStr">
        <is>
          <t>az elmúlt 30 napban</t>
        </is>
      </c>
      <c r="G22" s="6" t="inlineStr">
        <is>
          <t>Aktív szénszűrő (Can-Lite, Can Original, Can-Inline, Prima Klima, DF16, AC Infinity…)</t>
        </is>
      </c>
    </row>
    <row r="23">
      <c r="A23" s="6" t="inlineStr">
        <is>
          <t>GRO3276</t>
        </is>
      </c>
      <c r="B23" s="6" t="inlineStr">
        <is>
          <t>CAN Original Prémium Szénszűrő CF 350 m3/h, vég: 150 mm</t>
        </is>
      </c>
      <c r="C23" s="6" t="inlineStr">
        <is>
          <t>Aktív szénszűrő, előszűrő</t>
        </is>
      </c>
      <c r="D23" s="6" t="inlineStr"/>
      <c r="E23" s="6" t="inlineStr">
        <is>
          <t>Erős</t>
        </is>
      </c>
      <c r="F23" s="6" t="inlineStr">
        <is>
          <t>az elmúlt 30 napban</t>
        </is>
      </c>
      <c r="G23" s="6" t="inlineStr">
        <is>
          <t>Aktív szénszűrő (Can-Lite, Can Original, Can-Inline, Prima Klima, DF16, AC Infinity…)</t>
        </is>
      </c>
    </row>
    <row r="24">
      <c r="A24" s="6" t="inlineStr">
        <is>
          <t>GRO3353</t>
        </is>
      </c>
      <c r="B24" s="6" t="inlineStr">
        <is>
          <t>Can Filter Can Lite Szénszűrő (acél) 425 m3/h szűrővég: 160 mm</t>
        </is>
      </c>
      <c r="C24" s="6" t="inlineStr">
        <is>
          <t>Aktív szénszűrő, előszűrő</t>
        </is>
      </c>
      <c r="D24" s="6" t="inlineStr"/>
      <c r="E24" s="6" t="inlineStr">
        <is>
          <t>Erős</t>
        </is>
      </c>
      <c r="F24" s="6" t="inlineStr">
        <is>
          <t>az elmúlt 30 napban</t>
        </is>
      </c>
      <c r="G24" s="6" t="inlineStr">
        <is>
          <t>Aktív szénszűrő (Can-Lite, Can Original, Can-Inline, Prima Klima, DF16, AC Infinity…)</t>
        </is>
      </c>
    </row>
    <row r="25">
      <c r="A25" s="6" t="inlineStr">
        <is>
          <t>GRO3413</t>
        </is>
      </c>
      <c r="B25" s="6" t="inlineStr">
        <is>
          <t>Can Filters Can-Inline Szénszűrő Can-Inline 300 / 100 mm</t>
        </is>
      </c>
      <c r="C25" s="6" t="inlineStr">
        <is>
          <t>Aktív szénszűrő, előszűrő</t>
        </is>
      </c>
      <c r="D25" s="6" t="inlineStr"/>
      <c r="E25" s="6" t="inlineStr">
        <is>
          <t>Erős</t>
        </is>
      </c>
      <c r="F25" s="6" t="inlineStr">
        <is>
          <t>az elmúlt 30 napban</t>
        </is>
      </c>
      <c r="G25" s="6" t="inlineStr">
        <is>
          <t>Aktív szénszűrő (Can-Lite, Can Original, Can-Inline, Prima Klima, DF16, AC Infinity…)</t>
        </is>
      </c>
    </row>
    <row r="26">
      <c r="A26" s="6" t="inlineStr">
        <is>
          <t>GRO3414</t>
        </is>
      </c>
      <c r="B26" s="6" t="inlineStr">
        <is>
          <t>Can Filters Can-Inline Szénszűrő 425 m3/h / 125 mm</t>
        </is>
      </c>
      <c r="C26" s="6" t="inlineStr">
        <is>
          <t>Aktív szénszűrő, előszűrő</t>
        </is>
      </c>
      <c r="D26" s="6" t="inlineStr"/>
      <c r="E26" s="6" t="inlineStr">
        <is>
          <t>Erős</t>
        </is>
      </c>
      <c r="F26" s="6" t="inlineStr">
        <is>
          <t>az elmúlt 30 napban</t>
        </is>
      </c>
      <c r="G26" s="6" t="inlineStr">
        <is>
          <t>Aktív szénszűrő (Can-Lite, Can Original, Can-Inline, Prima Klima, DF16, AC Infinity…)</t>
        </is>
      </c>
    </row>
    <row r="27">
      <c r="A27" s="6" t="inlineStr">
        <is>
          <t>GRO3416</t>
        </is>
      </c>
      <c r="B27" s="6" t="inlineStr">
        <is>
          <t>Can Filters Can-Inline Szénszűrő 1000m3/h / 200 mm</t>
        </is>
      </c>
      <c r="C27" s="6" t="inlineStr">
        <is>
          <t>Aktív szénszűrő, előszűrő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Aktív szénszűrő (Can-Lite, Can Original, Can-Inline, Prima Klima, DF16, AC Infinity…)</t>
        </is>
      </c>
    </row>
    <row r="28">
      <c r="A28" s="6" t="inlineStr">
        <is>
          <t>GRO3417</t>
        </is>
      </c>
      <c r="B28" s="6" t="inlineStr">
        <is>
          <t>Can Lite Pre filter előszűrő (szénszűrőhöz) 150 m3/h (műanyag házú szűrőhöz)</t>
        </is>
      </c>
      <c r="C28" s="6" t="inlineStr">
        <is>
          <t>Aktív szénszűrő, előszűrő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Előszűrő, utántöltő szénpellet</t>
        </is>
      </c>
    </row>
    <row r="29">
      <c r="A29" s="6" t="inlineStr">
        <is>
          <t>GRO3418</t>
        </is>
      </c>
      <c r="B29" s="6" t="inlineStr">
        <is>
          <t>Can Lite Pre filter előszűrő (szénszűrőhöz) 300 m3/h (műanyag házú szűrőhöz)</t>
        </is>
      </c>
      <c r="C29" s="6" t="inlineStr">
        <is>
          <t>Aktív szénszűrő, előszűrő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Előszűrő, utántöltő szénpellet</t>
        </is>
      </c>
    </row>
    <row r="30">
      <c r="A30" s="6" t="inlineStr">
        <is>
          <t>GRO3419</t>
        </is>
      </c>
      <c r="B30" s="6" t="inlineStr">
        <is>
          <t>Can Lite Pre filter előszűrő (szénszűrőhöz) 425 m3/h (műanyag házú szűrőhöz)</t>
        </is>
      </c>
      <c r="C30" s="6" t="inlineStr">
        <is>
          <t>Aktív szénszűrő, előszűrő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Előszűrő, utántöltő szénpellet</t>
        </is>
      </c>
    </row>
    <row r="31">
      <c r="A31" s="6" t="inlineStr">
        <is>
          <t>GRO3425</t>
        </is>
      </c>
      <c r="B31" s="6" t="inlineStr">
        <is>
          <t>Can Lite Pre filter előszűrő (szénszűrőhöz) 2000 m3/h (acél házú szűrőhöz)</t>
        </is>
      </c>
      <c r="C31" s="6" t="inlineStr">
        <is>
          <t>Aktív szénszűrő, előszűrő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Előszűrő, utántöltő szénpellet</t>
        </is>
      </c>
    </row>
    <row r="32">
      <c r="A32" s="6" t="inlineStr">
        <is>
          <t>GRO3487</t>
        </is>
      </c>
      <c r="B32" s="6" t="inlineStr">
        <is>
          <t>CKV3 szén pellet (Can Filter Original aktív szénszűrőhöz) 25 kg</t>
        </is>
      </c>
      <c r="C32" s="6" t="inlineStr">
        <is>
          <t>Aktív szénszűrő, előszűrő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Előszűrő, utántöltő szénpellet</t>
        </is>
      </c>
    </row>
    <row r="33">
      <c r="A33" s="6" t="inlineStr">
        <is>
          <t>GRO3532</t>
        </is>
      </c>
      <c r="B33" s="6" t="inlineStr">
        <is>
          <t>Can-Filter Original Prémium Szénszűrő</t>
        </is>
      </c>
      <c r="C33" s="6" t="inlineStr">
        <is>
          <t>Aktív szénszűrő, előszűrő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Aktív szénszűrő (Can-Lite, Can Original, Can-Inline, Prima Klima, DF16, AC Infinity…)</t>
        </is>
      </c>
    </row>
    <row r="34">
      <c r="A34" s="6" t="inlineStr">
        <is>
          <t>GRO3533</t>
        </is>
      </c>
      <c r="B34" s="6" t="inlineStr">
        <is>
          <t>Can-Filters Original Szénszűrő d: 160 mm 700 m3/h L: 50 cm</t>
        </is>
      </c>
      <c r="C34" s="6" t="inlineStr">
        <is>
          <t>Aktív szénszűrő, előszűrő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Aktív szénszűrő (Can-Lite, Can Original, Can-Inline, Prima Klima, DF16, AC Infinity…)</t>
        </is>
      </c>
    </row>
    <row r="35">
      <c r="A35" s="6" t="inlineStr">
        <is>
          <t>GRO3534</t>
        </is>
      </c>
      <c r="B35" s="6" t="inlineStr">
        <is>
          <t>CAN Original Prémium Szénszűrő CF 350 m3/h, vég: 160 mm</t>
        </is>
      </c>
      <c r="C35" s="6" t="inlineStr">
        <is>
          <t>Aktív szénszűrő, előszűrő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Aktív szénszűrő (Can-Lite, Can Original, Can-Inline, Prima Klima, DF16, AC Infinity…)</t>
        </is>
      </c>
    </row>
    <row r="36">
      <c r="A36" s="6" t="inlineStr">
        <is>
          <t>GRO3535</t>
        </is>
      </c>
      <c r="B36" s="6" t="inlineStr">
        <is>
          <t>CAN Original Prémium Szénszűrő CF 250 m3/h, vég: 125 mm</t>
        </is>
      </c>
      <c r="C36" s="6" t="inlineStr">
        <is>
          <t>Aktív szénszűrő, előszűrő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Aktív szénszűrő (Can-Lite, Can Original, Can-Inline, Prima Klima, DF16, AC Infinity…)</t>
        </is>
      </c>
    </row>
    <row r="37">
      <c r="A37" s="6" t="inlineStr">
        <is>
          <t>GRO3536</t>
        </is>
      </c>
      <c r="B37" s="6" t="inlineStr">
        <is>
          <t>CAN Original Premium Szénszűrő CF 150 m3/h</t>
        </is>
      </c>
      <c r="C37" s="6" t="inlineStr">
        <is>
          <t>Aktív szénszűrő, előszűrő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Aktív szénszűrő (Can-Lite, Can Original, Can-Inline, Prima Klima, DF16, AC Infinity…)</t>
        </is>
      </c>
    </row>
    <row r="38">
      <c r="A38" s="6" t="inlineStr">
        <is>
          <t>GRO3548</t>
        </is>
      </c>
      <c r="B38" s="6" t="inlineStr">
        <is>
          <t>Can Filter Can Lite Szénszűrő (acél) 1500 m3/h szűrővég: 200 mm</t>
        </is>
      </c>
      <c r="C38" s="6" t="inlineStr">
        <is>
          <t>Aktív szénszűrő, előszűrő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Aktív szénszűrő (Can-Lite, Can Original, Can-Inline, Prima Klima, DF16, AC Infinity…)</t>
        </is>
      </c>
    </row>
    <row r="39">
      <c r="A39" s="6" t="inlineStr">
        <is>
          <t>GRO3612</t>
        </is>
      </c>
      <c r="B39" s="6" t="inlineStr">
        <is>
          <t>Secret Jardin DF16 szénszűrő 150 m3/óra</t>
        </is>
      </c>
      <c r="C39" s="6" t="inlineStr">
        <is>
          <t>Aktív szénszűrő, előszűrő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Aktív szénszűrő (Can-Lite, Can Original, Can-Inline, Prima Klima, DF16, AC Infinity…)</t>
        </is>
      </c>
    </row>
    <row r="40">
      <c r="A40" s="6" t="inlineStr">
        <is>
          <t>GRO3614</t>
        </is>
      </c>
      <c r="B40" s="6" t="inlineStr">
        <is>
          <t>Secret Jardin DF16 szénszűrő 350 m3/óra</t>
        </is>
      </c>
      <c r="C40" s="6" t="inlineStr">
        <is>
          <t>Aktív szénszűrő, előszűrő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Aktív szénszűrő (Can-Lite, Can Original, Can-Inline, Prima Klima, DF16, AC Infinity…)</t>
        </is>
      </c>
    </row>
    <row r="41">
      <c r="A41" s="6" t="inlineStr">
        <is>
          <t>GRO3618</t>
        </is>
      </c>
      <c r="B41" s="6" t="inlineStr">
        <is>
          <t>Prima klima Industry Line szénszűrő Industry Line K1600 d:100mm 280m3/h</t>
        </is>
      </c>
      <c r="C41" s="6" t="inlineStr">
        <is>
          <t>Aktív szénszűrő, előszűrő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Aktív szénszűrő (Can-Lite, Can Original, Can-Inline, Prima Klima, DF16, AC Infinity…)</t>
        </is>
      </c>
    </row>
    <row r="42">
      <c r="A42" s="6" t="inlineStr">
        <is>
          <t>GRO3619</t>
        </is>
      </c>
      <c r="B42" s="6" t="inlineStr">
        <is>
          <t>Prima klima Industry Line szénszűrő Industry Line K1602 d:125mm 280m3/h</t>
        </is>
      </c>
      <c r="C42" s="6" t="inlineStr">
        <is>
          <t>Aktív szénszűrő, előszűrő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Aktív szénszűrő (Can-Lite, Can Original, Can-Inline, Prima Klima, DF16, AC Infinity…)</t>
        </is>
      </c>
    </row>
    <row r="43">
      <c r="A43" s="6" t="inlineStr">
        <is>
          <t>GRO3620</t>
        </is>
      </c>
      <c r="B43" s="6" t="inlineStr">
        <is>
          <t>Prima klima Industry Line szénszűrő Industry Line K1603 d:125mm 460m3/h</t>
        </is>
      </c>
      <c r="C43" s="6" t="inlineStr">
        <is>
          <t>Aktív szénszűrő, előszűrő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Aktív szénszűrő (Can-Lite, Can Original, Can-Inline, Prima Klima, DF16, AC Infinity…)</t>
        </is>
      </c>
    </row>
    <row r="44">
      <c r="A44" s="6" t="inlineStr">
        <is>
          <t>GRO3621</t>
        </is>
      </c>
      <c r="B44" s="6" t="inlineStr">
        <is>
          <t>Prima klima Industry Line szénszűrő Industry Line K1604 d:125mm 700m3/h</t>
        </is>
      </c>
      <c r="C44" s="6" t="inlineStr">
        <is>
          <t>Aktív szénszűrő, előszűrő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Aktív szénszűrő (Can-Lite, Can Original, Can-Inline, Prima Klima, DF16, AC Infinity…)</t>
        </is>
      </c>
    </row>
    <row r="45">
      <c r="A45" s="6" t="inlineStr">
        <is>
          <t>GRO3622</t>
        </is>
      </c>
      <c r="B45" s="6" t="inlineStr">
        <is>
          <t>Prima klima Industry Line szénszűrő Industry Line K1605 d:150mm 680m3/h</t>
        </is>
      </c>
      <c r="C45" s="6" t="inlineStr">
        <is>
          <t>Aktív szénszűrő, előszűrő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Aktív szénszűrő (Can-Lite, Can Original, Can-Inline, Prima Klima, DF16, AC Infinity…)</t>
        </is>
      </c>
    </row>
    <row r="46">
      <c r="A46" s="6" t="inlineStr">
        <is>
          <t>GRO3623</t>
        </is>
      </c>
      <c r="B46" s="6" t="inlineStr">
        <is>
          <t>Prima klima Industry Line szénszűrő Industry Line K1606 d:150mm 1080m3/h</t>
        </is>
      </c>
      <c r="C46" s="6" t="inlineStr">
        <is>
          <t>Aktív szénszűrő, előszűrő</t>
        </is>
      </c>
      <c r="D46" s="6" t="inlineStr"/>
      <c r="E46" s="6" t="inlineStr">
        <is>
          <t>Erős</t>
        </is>
      </c>
      <c r="F46" s="6" t="inlineStr">
        <is>
          <t>az elmúlt 30 napban</t>
        </is>
      </c>
      <c r="G46" s="6" t="inlineStr">
        <is>
          <t>Aktív szénszűrő (Can-Lite, Can Original, Can-Inline, Prima Klima, DF16, AC Infinity…)</t>
        </is>
      </c>
    </row>
    <row r="47">
      <c r="A47" s="6" t="inlineStr">
        <is>
          <t>GRO3624</t>
        </is>
      </c>
      <c r="B47" s="6" t="inlineStr">
        <is>
          <t>Prima klima Industry Line szénszűrő Industry Line K1607 d:160mm 720m3/h</t>
        </is>
      </c>
      <c r="C47" s="6" t="inlineStr">
        <is>
          <t>Aktív szénszűrő, előszűrő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Aktív szénszűrő (Can-Lite, Can Original, Can-Inline, Prima Klima, DF16, AC Infinity…)</t>
        </is>
      </c>
    </row>
    <row r="48">
      <c r="A48" s="6" t="inlineStr">
        <is>
          <t>GRO3626</t>
        </is>
      </c>
      <c r="B48" s="6" t="inlineStr">
        <is>
          <t>Prima klima Industry Line szénszűrő Industry Line K1609 d:200mm 1090m3/h</t>
        </is>
      </c>
      <c r="C48" s="6" t="inlineStr">
        <is>
          <t>Aktív szénszűrő, előszűrő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Aktív szénszűrő (Can-Lite, Can Original, Can-Inline, Prima Klima, DF16, AC Infinity…)</t>
        </is>
      </c>
    </row>
    <row r="49">
      <c r="A49" s="6" t="inlineStr">
        <is>
          <t>GRO3628</t>
        </is>
      </c>
      <c r="B49" s="6" t="inlineStr">
        <is>
          <t>Prima klima Industry Line szénszűrő Industry Line K1611 d:250mm 1800m3/h</t>
        </is>
      </c>
      <c r="C49" s="6" t="inlineStr">
        <is>
          <t>Aktív szénszűrő, előszűrő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Aktív szénszűrő (Can-Lite, Can Original, Can-Inline, Prima Klima, DF16, AC Infinity…)</t>
        </is>
      </c>
    </row>
    <row r="50">
      <c r="A50" s="6" t="inlineStr">
        <is>
          <t>GRO3630</t>
        </is>
      </c>
      <c r="B50" s="6" t="inlineStr">
        <is>
          <t>Prima klima Ecoline szénszűrő K2600-100 d:100mm 360m3/h</t>
        </is>
      </c>
      <c r="C50" s="6" t="inlineStr">
        <is>
          <t>Aktív szénszűrő, előszűrő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Aktív szénszűrő (Can-Lite, Can Original, Can-Inline, Prima Klima, DF16, AC Infinity…)</t>
        </is>
      </c>
    </row>
    <row r="51">
      <c r="A51" s="6" t="inlineStr">
        <is>
          <t>GRO3631</t>
        </is>
      </c>
      <c r="B51" s="6" t="inlineStr">
        <is>
          <t>Prima klima Ecoline szénszűrő K2600-125 d:125mm 360m3/h</t>
        </is>
      </c>
      <c r="C51" s="6" t="inlineStr">
        <is>
          <t>Aktív szénszűrő, előszűrő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Aktív szénszűrő (Can-Lite, Can Original, Can-Inline, Prima Klima, DF16, AC Infinity…)</t>
        </is>
      </c>
    </row>
    <row r="52">
      <c r="A52" s="6" t="inlineStr">
        <is>
          <t>GRO3632</t>
        </is>
      </c>
      <c r="B52" s="6" t="inlineStr">
        <is>
          <t>Prima klima Ecoline szénszűrő K2601-100 d:100mm 480m3/h</t>
        </is>
      </c>
      <c r="C52" s="6" t="inlineStr">
        <is>
          <t>Aktív szénszűrő, előszűrő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Aktív szénszűrő (Can-Lite, Can Original, Can-Inline, Prima Klima, DF16, AC Infinity…)</t>
        </is>
      </c>
    </row>
    <row r="53">
      <c r="A53" s="6" t="inlineStr">
        <is>
          <t>GRO3633</t>
        </is>
      </c>
      <c r="B53" s="6" t="inlineStr">
        <is>
          <t>Prima klima Ecoline szénszűrő K2601-125 d:125mm 480m3/h</t>
        </is>
      </c>
      <c r="C53" s="6" t="inlineStr">
        <is>
          <t>Aktív szénszűrő, előszűrő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Aktív szénszűrő (Can-Lite, Can Original, Can-Inline, Prima Klima, DF16, AC Infinity…)</t>
        </is>
      </c>
    </row>
    <row r="54">
      <c r="A54" s="6" t="inlineStr">
        <is>
          <t>GRO3635</t>
        </is>
      </c>
      <c r="B54" s="6" t="inlineStr">
        <is>
          <t>Prima klima Ecoline szénszűrő K2603-160 d:160mm 900m3/h</t>
        </is>
      </c>
      <c r="C54" s="6" t="inlineStr">
        <is>
          <t>Aktív szénszűrő, előszűrő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Aktív szénszűrő (Can-Lite, Can Original, Can-Inline, Prima Klima, DF16, AC Infinity…)</t>
        </is>
      </c>
    </row>
    <row r="55">
      <c r="A55" s="6" t="inlineStr">
        <is>
          <t>GRO3812</t>
        </is>
      </c>
      <c r="B55" s="6" t="inlineStr">
        <is>
          <t>Secret Jardin DF16 szénszűrő 100 m3/óra</t>
        </is>
      </c>
      <c r="C55" s="6" t="inlineStr">
        <is>
          <t>Aktív szénszűrő, előszűrő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Aktív szénszűrő (Can-Lite, Can Original, Can-Inline, Prima Klima, DF16, AC Infinity…)</t>
        </is>
      </c>
    </row>
    <row r="56">
      <c r="A56" s="6" t="inlineStr">
        <is>
          <t>GRO3946</t>
        </is>
      </c>
      <c r="B56" s="6" t="inlineStr">
        <is>
          <t>Prima Klima Industry Line K1600 280 m3/h Pre Filter</t>
        </is>
      </c>
      <c r="C56" s="6" t="inlineStr">
        <is>
          <t>Aktív szénszűrő, előszűrő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Előszűrő, utántöltő szénpellet</t>
        </is>
      </c>
    </row>
    <row r="57">
      <c r="A57" s="6" t="inlineStr">
        <is>
          <t>GRO3948</t>
        </is>
      </c>
      <c r="B57" s="6" t="inlineStr">
        <is>
          <t>Prima Klima Industry Line K1603 460 m3/h Pre Filter</t>
        </is>
      </c>
      <c r="C57" s="6" t="inlineStr">
        <is>
          <t>Aktív szénszűrő, előszűrő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Előszűrő, utántöltő szénpellet</t>
        </is>
      </c>
    </row>
    <row r="58">
      <c r="A58" s="6" t="inlineStr">
        <is>
          <t>GRO3949</t>
        </is>
      </c>
      <c r="B58" s="6" t="inlineStr">
        <is>
          <t>Prima Klima Industry Line K1604 700 m3/h Pre Filter</t>
        </is>
      </c>
      <c r="C58" s="6" t="inlineStr">
        <is>
          <t>Aktív szénszűrő, előszűrő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Előszűrő, utántöltő szénpellet</t>
        </is>
      </c>
    </row>
    <row r="59">
      <c r="A59" s="6" t="inlineStr">
        <is>
          <t>GRO3953</t>
        </is>
      </c>
      <c r="B59" s="6" t="inlineStr">
        <is>
          <t>Prima Klima Industry Line K1610 1650 m3/h Pre Filter</t>
        </is>
      </c>
      <c r="C59" s="6" t="inlineStr">
        <is>
          <t>Aktív szénszűrő, előszűrő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Előszűrő, utántöltő szénpellet</t>
        </is>
      </c>
    </row>
    <row r="60">
      <c r="A60" s="6" t="inlineStr">
        <is>
          <t>GRO4002</t>
        </is>
      </c>
      <c r="B60" s="6" t="inlineStr">
        <is>
          <t>Prima klima K1604-WHSPEC Industry line szénszűrő</t>
        </is>
      </c>
      <c r="C60" s="6" t="inlineStr">
        <is>
          <t>Aktív szénszűrő, előszűrő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Aktív szénszűrő (Can-Lite, Can Original, Can-Inline, Prima Klima, DF16, AC Infinity…)</t>
        </is>
      </c>
    </row>
    <row r="61">
      <c r="A61" s="6" t="inlineStr">
        <is>
          <t>GRO4037</t>
        </is>
      </c>
      <c r="B61" s="6" t="inlineStr">
        <is>
          <t>Can Filter Can Lite Szénszűrő (acél) 2500 m3/h szűrővég: 200 mm</t>
        </is>
      </c>
      <c r="C61" s="6" t="inlineStr">
        <is>
          <t>Aktív szénszűrő, előszűrő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Aktív szénszűrő (Can-Lite, Can Original, Can-Inline, Prima Klima, DF16, AC Infinity…)</t>
        </is>
      </c>
    </row>
    <row r="62">
      <c r="A62" s="6" t="inlineStr">
        <is>
          <t>GRO4111</t>
        </is>
      </c>
      <c r="B62" s="6" t="inlineStr">
        <is>
          <t>Prima Klima Industry Line for K1605 680 m3/h Pre Filter</t>
        </is>
      </c>
      <c r="C62" s="6" t="inlineStr">
        <is>
          <t>Aktív szénszűrő, előszűrő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Előszűrő, utántöltő szénpellet</t>
        </is>
      </c>
    </row>
    <row r="63">
      <c r="A63" s="6" t="inlineStr">
        <is>
          <t>GRO4112</t>
        </is>
      </c>
      <c r="B63" s="6" t="inlineStr">
        <is>
          <t>Prima Klima Industry Line for K1606 1080 m3/h Pre Filter</t>
        </is>
      </c>
      <c r="C63" s="6" t="inlineStr">
        <is>
          <t>Aktív szénszűrő, előszűrő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Előszűrő, utántöltő szénpellet</t>
        </is>
      </c>
    </row>
    <row r="64">
      <c r="A64" s="6" t="inlineStr">
        <is>
          <t>GRO4214</t>
        </is>
      </c>
      <c r="B64" s="6" t="inlineStr">
        <is>
          <t>Prima Klima Ecoline K2601 480 m3/h Pre Filter</t>
        </is>
      </c>
      <c r="C64" s="6" t="inlineStr">
        <is>
          <t>Aktív szénszűrő, előszűrő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Előszűrő, utántöltő szénpellet</t>
        </is>
      </c>
    </row>
    <row r="65">
      <c r="A65" s="6" t="inlineStr">
        <is>
          <t>GRO4215</t>
        </is>
      </c>
      <c r="B65" s="6" t="inlineStr">
        <is>
          <t>Prima Klima Industry Line K1614 3600 m3/h Pre Filter</t>
        </is>
      </c>
      <c r="C65" s="6" t="inlineStr">
        <is>
          <t>Aktív szénszűrő, előszűrő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Előszűrő, utántöltő szénpellet</t>
        </is>
      </c>
    </row>
    <row r="66">
      <c r="A66" s="6" t="inlineStr">
        <is>
          <t>GRO4216</t>
        </is>
      </c>
      <c r="B66" s="6" t="inlineStr">
        <is>
          <t>Prima Klima Industry Line K1612 2700 m3/h Pre Filter</t>
        </is>
      </c>
      <c r="C66" s="6" t="inlineStr">
        <is>
          <t>Aktív szénszűrő, előszűrő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Előszűrő, utántöltő szénpellet</t>
        </is>
      </c>
    </row>
    <row r="67">
      <c r="A67" s="6" t="inlineStr">
        <is>
          <t>GRO4303</t>
        </is>
      </c>
      <c r="B67" s="6" t="inlineStr">
        <is>
          <t>AC Infinity PRO légszűrő rendszer AI+WiFi 150 mm</t>
        </is>
      </c>
      <c r="C67" s="6" t="inlineStr">
        <is>
          <t>Aktív szénszűrő, előszűrő</t>
        </is>
      </c>
      <c r="D67" s="6" t="inlineStr">
        <is>
          <t>Csőventilátor, elszívó ventilátor</t>
        </is>
      </c>
      <c r="E67" s="6" t="inlineStr">
        <is>
          <t>Erős</t>
        </is>
      </c>
      <c r="F67" s="6" t="inlineStr">
        <is>
          <t>az elmúlt 30 napban</t>
        </is>
      </c>
      <c r="G67" s="6" t="inlineStr">
        <is>
          <t>AC Infinity légszűrő rendszer (ventilátor + szénszűrő)</t>
        </is>
      </c>
    </row>
    <row r="68">
      <c r="A68" s="6" t="inlineStr">
        <is>
          <t>GRO4322</t>
        </is>
      </c>
      <c r="B68" s="6" t="inlineStr">
        <is>
          <t>AC Infinity szénszűrő Australian Charcoal d: 100 mm 357 m3/h</t>
        </is>
      </c>
      <c r="C68" s="6" t="inlineStr">
        <is>
          <t>Aktív szénszűrő, előszűrő</t>
        </is>
      </c>
      <c r="D68" s="6" t="inlineStr"/>
      <c r="E68" s="6" t="inlineStr">
        <is>
          <t>Erős</t>
        </is>
      </c>
      <c r="F68" s="6" t="inlineStr">
        <is>
          <t>az elmúlt 30 napban</t>
        </is>
      </c>
      <c r="G68" s="6" t="inlineStr">
        <is>
          <t>Aktív szénszűrő (Can-Lite, Can Original, Can-Inline, Prima Klima, DF16, AC Infinity…)</t>
        </is>
      </c>
    </row>
    <row r="69">
      <c r="A69" s="6" t="inlineStr">
        <is>
          <t>GRO4323</t>
        </is>
      </c>
      <c r="B69" s="6" t="inlineStr">
        <is>
          <t>AC Infinity szénszűrő Australian Charcoal d: 150 mm 700 m3/h</t>
        </is>
      </c>
      <c r="C69" s="6" t="inlineStr">
        <is>
          <t>Aktív szénszűrő, előszűrő</t>
        </is>
      </c>
      <c r="D69" s="6" t="inlineStr"/>
      <c r="E69" s="6" t="inlineStr">
        <is>
          <t>Erős</t>
        </is>
      </c>
      <c r="F69" s="6" t="inlineStr">
        <is>
          <t>az elmúlt 30 napban</t>
        </is>
      </c>
      <c r="G69" s="6" t="inlineStr">
        <is>
          <t>Aktív szénszűrő (Can-Lite, Can Original, Can-Inline, Prima Klima, DF16, AC Infinity…)</t>
        </is>
      </c>
    </row>
    <row r="70">
      <c r="A70" s="6" t="inlineStr">
        <is>
          <t>GRO4342</t>
        </is>
      </c>
      <c r="B70" s="6" t="inlineStr">
        <is>
          <t>AC Infinity szénszűrő Australian Charcoal d: 200 mm 1308 m3/h</t>
        </is>
      </c>
      <c r="C70" s="6" t="inlineStr">
        <is>
          <t>Aktív szénszűrő, előszűrő</t>
        </is>
      </c>
      <c r="D70" s="6" t="inlineStr"/>
      <c r="E70" s="6" t="inlineStr">
        <is>
          <t>Erős</t>
        </is>
      </c>
      <c r="F70" s="6" t="inlineStr">
        <is>
          <t>az elmúlt 30 napban</t>
        </is>
      </c>
      <c r="G70" s="6" t="inlineStr">
        <is>
          <t>Aktív szénszűrő (Can-Lite, Can Original, Can-Inline, Prima Klima, DF16, AC Infinity…)</t>
        </is>
      </c>
    </row>
    <row r="71">
      <c r="A71" s="6" t="inlineStr">
        <is>
          <t>GRO2490</t>
        </is>
      </c>
      <c r="B71" s="6" t="inlineStr">
        <is>
          <t>ExHale Original CO2 termelő zsák micéliummal, termesztősátorba, 6 hónapig</t>
        </is>
      </c>
      <c r="C71" s="6" t="inlineStr">
        <is>
          <t>CO2-pótlás, CO2-mérő</t>
        </is>
      </c>
      <c r="D71" s="6" t="inlineStr"/>
      <c r="E71" s="6" t="inlineStr">
        <is>
          <t>Erős</t>
        </is>
      </c>
      <c r="F71" s="6" t="inlineStr">
        <is>
          <t>az elmúlt 30 napban</t>
        </is>
      </c>
      <c r="G71" s="6" t="inlineStr">
        <is>
          <t>CO2 zsák, CO2 termelő doboz, tabletta</t>
        </is>
      </c>
    </row>
    <row r="72">
      <c r="A72" s="6" t="inlineStr">
        <is>
          <t>GRO3563</t>
        </is>
      </c>
      <c r="B72" s="6" t="inlineStr">
        <is>
          <t>Pro-Leaf CO2 érzékelő és digitális szabályzó</t>
        </is>
      </c>
      <c r="C72" s="6" t="inlineStr">
        <is>
          <t>CO2-pótlás, CO2-mérő</t>
        </is>
      </c>
      <c r="D72" s="6" t="inlineStr">
        <is>
          <t>Klímavezérlő: ventilátor-szabályzó, termosztát, higrosztát</t>
        </is>
      </c>
      <c r="E72" s="6" t="inlineStr">
        <is>
          <t>Erős</t>
        </is>
      </c>
      <c r="F72" s="6" t="inlineStr">
        <is>
          <t>az elmúlt 30 napban</t>
        </is>
      </c>
      <c r="G72" s="6" t="inlineStr">
        <is>
          <t>CO2 érzékelő, szabályzó</t>
        </is>
      </c>
    </row>
    <row r="73">
      <c r="A73" s="6" t="inlineStr">
        <is>
          <t>GRO3734</t>
        </is>
      </c>
      <c r="B73" s="6" t="inlineStr">
        <is>
          <t>SGC CO2 pára-, hőmérséklet- és fényszenzor</t>
        </is>
      </c>
      <c r="C73" s="6" t="inlineStr">
        <is>
          <t>CO2-pótlás, CO2-mérő</t>
        </is>
      </c>
      <c r="D73" s="6" t="inlineStr">
        <is>
          <t>Klímavezérlő: ventilátor-szabályzó, termosztát, higrosztát</t>
        </is>
      </c>
      <c r="E73" s="6" t="inlineStr">
        <is>
          <t>Erős</t>
        </is>
      </c>
      <c r="F73" s="6" t="inlineStr">
        <is>
          <t>az elmúlt 30 napban</t>
        </is>
      </c>
      <c r="G73" s="6" t="inlineStr">
        <is>
          <t>CO2 érzékelő, szabályzó</t>
        </is>
      </c>
    </row>
    <row r="74">
      <c r="A74" s="6" t="inlineStr">
        <is>
          <t>GRO3790</t>
        </is>
      </c>
      <c r="B74" s="6" t="inlineStr">
        <is>
          <t>Smart CO2 termelő zsák</t>
        </is>
      </c>
      <c r="C74" s="6" t="inlineStr">
        <is>
          <t>CO2-pótlás, CO2-mérő</t>
        </is>
      </c>
      <c r="D74" s="6" t="inlineStr"/>
      <c r="E74" s="6" t="inlineStr">
        <is>
          <t>Erős</t>
        </is>
      </c>
      <c r="F74" s="6" t="inlineStr">
        <is>
          <t>az elmúlt 30 napban</t>
        </is>
      </c>
      <c r="G74" s="6" t="inlineStr">
        <is>
          <t>CO2 zsák, CO2 termelő doboz, tabletta</t>
        </is>
      </c>
    </row>
    <row r="75">
      <c r="A75" s="6" t="inlineStr">
        <is>
          <t>GRO3811</t>
        </is>
      </c>
      <c r="B75" s="6" t="inlineStr">
        <is>
          <t>CO2 reduktor - nyomásmérő és szabályozó szelep</t>
        </is>
      </c>
      <c r="C75" s="6" t="inlineStr">
        <is>
          <t>CO2-pótlás, CO2-mérő</t>
        </is>
      </c>
      <c r="D75" s="6" t="inlineStr"/>
      <c r="E75" s="6" t="inlineStr">
        <is>
          <t>Erős</t>
        </is>
      </c>
      <c r="F75" s="6" t="inlineStr">
        <is>
          <t>az elmúlt 30 napban</t>
        </is>
      </c>
      <c r="G75" s="6" t="inlineStr">
        <is>
          <t>CO2 palack, adapter, reduktor</t>
        </is>
      </c>
    </row>
    <row r="76">
      <c r="A76" s="6" t="inlineStr">
        <is>
          <t>GRO3902</t>
        </is>
      </c>
      <c r="B76" s="6" t="inlineStr">
        <is>
          <t>Exhale CO2 zsák XL</t>
        </is>
      </c>
      <c r="C76" s="6" t="inlineStr">
        <is>
          <t>CO2-pótlás, CO2-mérő</t>
        </is>
      </c>
      <c r="D76" s="6" t="inlineStr"/>
      <c r="E76" s="6" t="inlineStr">
        <is>
          <t>Erős</t>
        </is>
      </c>
      <c r="F76" s="6" t="inlineStr">
        <is>
          <t>az elmúlt 30 napban</t>
        </is>
      </c>
      <c r="G76" s="6" t="inlineStr">
        <is>
          <t>CO2 zsák, CO2 termelő doboz, tabletta</t>
        </is>
      </c>
    </row>
    <row r="77">
      <c r="A77" s="6" t="inlineStr">
        <is>
          <t>GRO3903</t>
        </is>
      </c>
      <c r="B77" s="6" t="inlineStr">
        <is>
          <t>CO2 termelő doboz</t>
        </is>
      </c>
      <c r="C77" s="6" t="inlineStr">
        <is>
          <t>CO2-pótlás, CO2-mérő</t>
        </is>
      </c>
      <c r="D77" s="6" t="inlineStr"/>
      <c r="E77" s="6" t="inlineStr">
        <is>
          <t>Erős</t>
        </is>
      </c>
      <c r="F77" s="6" t="inlineStr">
        <is>
          <t>az elmúlt 30 napban</t>
        </is>
      </c>
      <c r="G77" s="6" t="inlineStr">
        <is>
          <t>CO2 zsák, CO2 termelő doboz, tabletta</t>
        </is>
      </c>
    </row>
    <row r="78">
      <c r="A78" s="6" t="inlineStr">
        <is>
          <t>GRO4095</t>
        </is>
      </c>
      <c r="B78" s="6" t="inlineStr">
        <is>
          <t>CO2 tabletta</t>
        </is>
      </c>
      <c r="C78" s="6" t="inlineStr">
        <is>
          <t>CO2-pótlás, CO2-mérő</t>
        </is>
      </c>
      <c r="D78" s="6" t="inlineStr"/>
      <c r="E78" s="6" t="inlineStr">
        <is>
          <t>Erős</t>
        </is>
      </c>
      <c r="F78" s="6" t="inlineStr">
        <is>
          <t>az elmúlt 30 napban</t>
        </is>
      </c>
      <c r="G78" s="6" t="inlineStr">
        <is>
          <t>CO2 zsák, CO2 termelő doboz, tabletta</t>
        </is>
      </c>
    </row>
    <row r="79">
      <c r="A79" s="6" t="inlineStr">
        <is>
          <t>GRO4096</t>
        </is>
      </c>
      <c r="B79" s="6" t="inlineStr">
        <is>
          <t>CO2 tabletta</t>
        </is>
      </c>
      <c r="C79" s="6" t="inlineStr">
        <is>
          <t>CO2-pótlás, CO2-mérő</t>
        </is>
      </c>
      <c r="D79" s="6" t="inlineStr"/>
      <c r="E79" s="6" t="inlineStr">
        <is>
          <t>Erős</t>
        </is>
      </c>
      <c r="F79" s="6" t="inlineStr">
        <is>
          <t>az elmúlt 30 napban</t>
        </is>
      </c>
      <c r="G79" s="6" t="inlineStr">
        <is>
          <t>CO2 zsák, CO2 termelő doboz, tabletta</t>
        </is>
      </c>
    </row>
    <row r="80">
      <c r="A80" s="6" t="inlineStr">
        <is>
          <t>GRO4160</t>
        </is>
      </c>
      <c r="B80" s="6" t="inlineStr">
        <is>
          <t>GrowBro CO2 palack</t>
        </is>
      </c>
      <c r="C80" s="6" t="inlineStr">
        <is>
          <t>CO2-pótlás, CO2-mérő</t>
        </is>
      </c>
      <c r="D80" s="6" t="inlineStr"/>
      <c r="E80" s="6" t="inlineStr">
        <is>
          <t>Erős</t>
        </is>
      </c>
      <c r="F80" s="6" t="inlineStr">
        <is>
          <t>az elmúlt 30 napban</t>
        </is>
      </c>
      <c r="G80" s="6" t="inlineStr">
        <is>
          <t>CO2 palack, adapter, reduktor</t>
        </is>
      </c>
    </row>
    <row r="81">
      <c r="A81" s="6" t="inlineStr">
        <is>
          <t>GRO4162</t>
        </is>
      </c>
      <c r="B81" s="6" t="inlineStr">
        <is>
          <t>Autopilot Co2 generátor propán gázzal 4KW</t>
        </is>
      </c>
      <c r="C81" s="6" t="inlineStr">
        <is>
          <t>CO2-pótlás, CO2-mérő</t>
        </is>
      </c>
      <c r="D81" s="6" t="inlineStr"/>
      <c r="E81" s="6" t="inlineStr">
        <is>
          <t>Erős</t>
        </is>
      </c>
      <c r="F81" s="6" t="inlineStr">
        <is>
          <t>az elmúlt 30 napban</t>
        </is>
      </c>
      <c r="G81" s="6" t="inlineStr">
        <is>
          <t>CO2 generátor (propán)</t>
        </is>
      </c>
    </row>
    <row r="82">
      <c r="A82" s="6" t="inlineStr">
        <is>
          <t>GRO4163</t>
        </is>
      </c>
      <c r="B82" s="6" t="inlineStr">
        <is>
          <t>Autopilot Co2 generátor propán gázzal 8KW</t>
        </is>
      </c>
      <c r="C82" s="6" t="inlineStr">
        <is>
          <t>CO2-pótlás, CO2-mérő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CO2 generátor (propán)</t>
        </is>
      </c>
    </row>
    <row r="83">
      <c r="A83" s="6" t="inlineStr">
        <is>
          <t>GRO4247</t>
        </is>
      </c>
      <c r="B83" s="6" t="inlineStr">
        <is>
          <t>GrowBro CO2 adapter</t>
        </is>
      </c>
      <c r="C83" s="6" t="inlineStr">
        <is>
          <t>CO2-pótlás, CO2-mérő</t>
        </is>
      </c>
      <c r="D83" s="6" t="inlineStr"/>
      <c r="E83" s="6" t="inlineStr">
        <is>
          <t>Erős</t>
        </is>
      </c>
      <c r="F83" s="6" t="inlineStr">
        <is>
          <t>az elmúlt 30 napban</t>
        </is>
      </c>
      <c r="G83" s="6" t="inlineStr">
        <is>
          <t>CO2 palack, adapter, reduktor</t>
        </is>
      </c>
    </row>
    <row r="84">
      <c r="A84" s="6" t="inlineStr">
        <is>
          <t>GRO4340</t>
        </is>
      </c>
      <c r="B84" s="6" t="inlineStr">
        <is>
          <t>AC Infinity Controller AI+ CO2 + fényérzékelő</t>
        </is>
      </c>
      <c r="C84" s="6" t="inlineStr">
        <is>
          <t>CO2-pótlás, CO2-mérő</t>
        </is>
      </c>
      <c r="D84" s="6" t="inlineStr">
        <is>
          <t>Klímavezérlő: ventilátor-szabályzó, termosztát, higrosztát</t>
        </is>
      </c>
      <c r="E84" s="6" t="inlineStr">
        <is>
          <t>Erős</t>
        </is>
      </c>
      <c r="F84" s="6" t="inlineStr">
        <is>
          <t>az elmúlt 30 napban</t>
        </is>
      </c>
      <c r="G84" s="6" t="inlineStr">
        <is>
          <t>CO2 érzékelő, szabályzó</t>
        </is>
      </c>
    </row>
    <row r="85">
      <c r="A85" s="6" t="inlineStr">
        <is>
          <t>GRO0346</t>
        </is>
      </c>
      <c r="B85" s="6" t="inlineStr">
        <is>
          <t>Can-Fan RK 250 centrifugális csőventilátor 250 mm, 830 m3/h</t>
        </is>
      </c>
      <c r="C85" s="6" t="inlineStr">
        <is>
          <t>Csőventilátor, elszívó ventilátor</t>
        </is>
      </c>
      <c r="D85" s="6" t="inlineStr"/>
      <c r="E85" s="6" t="inlineStr">
        <is>
          <t>Erős</t>
        </is>
      </c>
      <c r="F85" s="6" t="inlineStr">
        <is>
          <t>az elmúlt 30 napban</t>
        </is>
      </c>
      <c r="G85" s="6" t="inlineStr">
        <is>
          <t>Csőventilátor (Can-Fan, Vents, Prima Klima, AC Infinity, Garden Highpro, DF16)</t>
        </is>
      </c>
    </row>
    <row r="86">
      <c r="A86" s="6" t="inlineStr">
        <is>
          <t>GRO0776</t>
        </is>
      </c>
      <c r="B86" s="6" t="inlineStr">
        <is>
          <t>Vents 100 VKO csőbe szerelhető axiális ventilátor 100 mm, 105 m3/h</t>
        </is>
      </c>
      <c r="C86" s="6" t="inlineStr">
        <is>
          <t>Csőventilátor, elszívó ventilátor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Csőventilátor (Can-Fan, Vents, Prima Klima, AC Infinity, Garden Highpro, DF16)</t>
        </is>
      </c>
    </row>
    <row r="87">
      <c r="A87" s="6" t="inlineStr">
        <is>
          <t>GRO0777</t>
        </is>
      </c>
      <c r="B87" s="6" t="inlineStr">
        <is>
          <t>Vents 125 VKO csőbe szerelhető axiális ventilátor 125 mm, 185 m3/h</t>
        </is>
      </c>
      <c r="C87" s="6" t="inlineStr">
        <is>
          <t>Csőventilátor, elszívó ventilátor</t>
        </is>
      </c>
      <c r="D87" s="6" t="inlineStr"/>
      <c r="E87" s="6" t="inlineStr">
        <is>
          <t>Erős</t>
        </is>
      </c>
      <c r="F87" s="6" t="inlineStr">
        <is>
          <t>az elmúlt 30 napban</t>
        </is>
      </c>
      <c r="G87" s="6" t="inlineStr">
        <is>
          <t>Csőventilátor (Can-Fan, Vents, Prima Klima, AC Infinity, Garden Highpro, DF16)</t>
        </is>
      </c>
    </row>
    <row r="88">
      <c r="A88" s="6" t="inlineStr">
        <is>
          <t>GRO0778</t>
        </is>
      </c>
      <c r="B88" s="6" t="inlineStr">
        <is>
          <t>Vents 150 VKO csőbe szerelhető axiális ventilátor 150 mm, 298 m3/h</t>
        </is>
      </c>
      <c r="C88" s="6" t="inlineStr">
        <is>
          <t>Csőventilátor, elszívó ventilátor</t>
        </is>
      </c>
      <c r="D88" s="6" t="inlineStr"/>
      <c r="E88" s="6" t="inlineStr">
        <is>
          <t>Erős</t>
        </is>
      </c>
      <c r="F88" s="6" t="inlineStr">
        <is>
          <t>az elmúlt 30 napban</t>
        </is>
      </c>
      <c r="G88" s="6" t="inlineStr">
        <is>
          <t>Csőventilátor (Can-Fan, Vents, Prima Klima, AC Infinity, Garden Highpro, DF16)</t>
        </is>
      </c>
    </row>
    <row r="89">
      <c r="A89" s="6" t="inlineStr">
        <is>
          <t>GRO0779</t>
        </is>
      </c>
      <c r="B89" s="6" t="inlineStr">
        <is>
          <t>Vents VK csatornaventilátor VK100 250m3</t>
        </is>
      </c>
      <c r="C89" s="6" t="inlineStr">
        <is>
          <t>Csőventilátor, elszívó ventilátor</t>
        </is>
      </c>
      <c r="D89" s="6" t="inlineStr"/>
      <c r="E89" s="6" t="inlineStr">
        <is>
          <t>Erős</t>
        </is>
      </c>
      <c r="F89" s="6" t="inlineStr">
        <is>
          <t>az elmúlt 30 napban</t>
        </is>
      </c>
      <c r="G89" s="6" t="inlineStr">
        <is>
          <t>Csőventilátor (Can-Fan, Vents, Prima Klima, AC Infinity, Garden Highpro, DF16)</t>
        </is>
      </c>
    </row>
    <row r="90">
      <c r="A90" s="6" t="inlineStr">
        <is>
          <t>GRO0780</t>
        </is>
      </c>
      <c r="B90" s="6" t="inlineStr">
        <is>
          <t>Vents VK 125 centrifugális csatornaventilátor 125 mm</t>
        </is>
      </c>
      <c r="C90" s="6" t="inlineStr">
        <is>
          <t>Csőventilátor, elszívó ventilátor</t>
        </is>
      </c>
      <c r="D90" s="6" t="inlineStr"/>
      <c r="E90" s="6" t="inlineStr">
        <is>
          <t>Erős</t>
        </is>
      </c>
      <c r="F90" s="6" t="inlineStr">
        <is>
          <t>az elmúlt 30 napban</t>
        </is>
      </c>
      <c r="G90" s="6" t="inlineStr">
        <is>
          <t>Csőventilátor (Can-Fan, Vents, Prima Klima, AC Infinity, Garden Highpro, DF16)</t>
        </is>
      </c>
    </row>
    <row r="91">
      <c r="A91" s="6" t="inlineStr">
        <is>
          <t>GRO0781</t>
        </is>
      </c>
      <c r="B91" s="6" t="inlineStr">
        <is>
          <t>Vents VK 200 centrifugális csatornaventilátor 200 mm, 780 m3/h</t>
        </is>
      </c>
      <c r="C91" s="6" t="inlineStr">
        <is>
          <t>Csőventilátor, elszívó ventilátor</t>
        </is>
      </c>
      <c r="D91" s="6" t="inlineStr"/>
      <c r="E91" s="6" t="inlineStr">
        <is>
          <t>Erős</t>
        </is>
      </c>
      <c r="F91" s="6" t="inlineStr">
        <is>
          <t>az elmúlt 30 napban</t>
        </is>
      </c>
      <c r="G91" s="6" t="inlineStr">
        <is>
          <t>Csőventilátor (Can-Fan, Vents, Prima Klima, AC Infinity, Garden Highpro, DF16)</t>
        </is>
      </c>
    </row>
    <row r="92">
      <c r="A92" s="6" t="inlineStr">
        <is>
          <t>GRO1108</t>
        </is>
      </c>
      <c r="B92" s="6" t="inlineStr">
        <is>
          <t>Vents VK 150 centrifugális csatornaventilátor 150 mm, 460 m3/h</t>
        </is>
      </c>
      <c r="C92" s="6" t="inlineStr">
        <is>
          <t>Csőventilátor, elszívó ventilátor</t>
        </is>
      </c>
      <c r="D92" s="6" t="inlineStr"/>
      <c r="E92" s="6" t="inlineStr">
        <is>
          <t>Erős</t>
        </is>
      </c>
      <c r="F92" s="6" t="inlineStr">
        <is>
          <t>az elmúlt 30 napban</t>
        </is>
      </c>
      <c r="G92" s="6" t="inlineStr">
        <is>
          <t>Csőventilátor (Can-Fan, Vents, Prima Klima, AC Infinity, Garden Highpro, DF16)</t>
        </is>
      </c>
    </row>
    <row r="93">
      <c r="A93" s="6" t="inlineStr">
        <is>
          <t>GRO1267</t>
        </is>
      </c>
      <c r="B93" s="6" t="inlineStr">
        <is>
          <t>Can-Fan RK 160L centrifugális csőventilátor 160 mm, 780 m3/h</t>
        </is>
      </c>
      <c r="C93" s="6" t="inlineStr">
        <is>
          <t>Csőventilátor, elszívó ventilátor</t>
        </is>
      </c>
      <c r="D93" s="6" t="inlineStr"/>
      <c r="E93" s="6" t="inlineStr">
        <is>
          <t>Erős</t>
        </is>
      </c>
      <c r="F93" s="6" t="inlineStr">
        <is>
          <t>az elmúlt 30 napban</t>
        </is>
      </c>
      <c r="G93" s="6" t="inlineStr">
        <is>
          <t>Csőventilátor (Can-Fan, Vents, Prima Klima, AC Infinity, Garden Highpro, DF16)</t>
        </is>
      </c>
    </row>
    <row r="94">
      <c r="A94" s="6" t="inlineStr">
        <is>
          <t>GRO1268</t>
        </is>
      </c>
      <c r="B94" s="6" t="inlineStr">
        <is>
          <t>Can-Fan RK 200 centrifugális csőventilátor 200 mm, 820 m3/h</t>
        </is>
      </c>
      <c r="C94" s="6" t="inlineStr">
        <is>
          <t>Csőventilátor, elszívó ventilátor</t>
        </is>
      </c>
      <c r="D94" s="6" t="inlineStr"/>
      <c r="E94" s="6" t="inlineStr">
        <is>
          <t>Erős</t>
        </is>
      </c>
      <c r="F94" s="6" t="inlineStr">
        <is>
          <t>az elmúlt 30 napban</t>
        </is>
      </c>
      <c r="G94" s="6" t="inlineStr">
        <is>
          <t>Csőventilátor (Can-Fan, Vents, Prima Klima, AC Infinity, Garden Highpro, DF16)</t>
        </is>
      </c>
    </row>
    <row r="95">
      <c r="A95" s="6" t="inlineStr">
        <is>
          <t>GRO1597</t>
        </is>
      </c>
      <c r="B95" s="6" t="inlineStr">
        <is>
          <t>Can-Fan RK 100 centrifugális csőventilátor 100 mm, 240 m3/h</t>
        </is>
      </c>
      <c r="C95" s="6" t="inlineStr">
        <is>
          <t>Csőventilátor, elszívó ventilátor</t>
        </is>
      </c>
      <c r="D95" s="6" t="inlineStr"/>
      <c r="E95" s="6" t="inlineStr">
        <is>
          <t>Erős</t>
        </is>
      </c>
      <c r="F95" s="6" t="inlineStr">
        <is>
          <t>az elmúlt 30 napban</t>
        </is>
      </c>
      <c r="G95" s="6" t="inlineStr">
        <is>
          <t>Csőventilátor (Can-Fan, Vents, Prima Klima, AC Infinity, Garden Highpro, DF16)</t>
        </is>
      </c>
    </row>
    <row r="96">
      <c r="A96" s="6" t="inlineStr">
        <is>
          <t>GRO1656</t>
        </is>
      </c>
      <c r="B96" s="6" t="inlineStr">
        <is>
          <t>Can-Fan RK 125LS csőventilátor 125 mm, 370 m3/h, beépített 4 fokozatú kapcsolóval</t>
        </is>
      </c>
      <c r="C96" s="6" t="inlineStr">
        <is>
          <t>Csőventilátor, elszívó ventilátor</t>
        </is>
      </c>
      <c r="D96" s="6" t="inlineStr"/>
      <c r="E96" s="6" t="inlineStr">
        <is>
          <t>Erős</t>
        </is>
      </c>
      <c r="F96" s="6" t="inlineStr">
        <is>
          <t>az elmúlt 30 napban</t>
        </is>
      </c>
      <c r="G96" s="6" t="inlineStr">
        <is>
          <t>Csőventilátor (Can-Fan, Vents, Prima Klima, AC Infinity, Garden Highpro, DF16)</t>
        </is>
      </c>
    </row>
    <row r="97">
      <c r="A97" s="6" t="inlineStr">
        <is>
          <t>GRO1659</t>
        </is>
      </c>
      <c r="B97" s="6" t="inlineStr">
        <is>
          <t>Can-Fan Max-Fan 280 diagonális csőventilátor 280 mm, 2360 m3/h, 270 W</t>
        </is>
      </c>
      <c r="C97" s="6" t="inlineStr">
        <is>
          <t>Csőventilátor, elszívó ventilátor</t>
        </is>
      </c>
      <c r="D97" s="6" t="inlineStr"/>
      <c r="E97" s="6" t="inlineStr">
        <is>
          <t>Erős</t>
        </is>
      </c>
      <c r="F97" s="6" t="inlineStr">
        <is>
          <t>az elmúlt 30 napban</t>
        </is>
      </c>
      <c r="G97" s="6" t="inlineStr">
        <is>
          <t>Csőventilátor (Can-Fan, Vents, Prima Klima, AC Infinity, Garden Highpro, DF16)</t>
        </is>
      </c>
    </row>
    <row r="98">
      <c r="A98" s="6" t="inlineStr">
        <is>
          <t>GRO1660</t>
        </is>
      </c>
      <c r="B98" s="6" t="inlineStr">
        <is>
          <t>Can-Fan ISO-Max hangszigetelt csőventilátor 200 mm, 870 m3/h, 3 fokozatú</t>
        </is>
      </c>
      <c r="C98" s="6" t="inlineStr">
        <is>
          <t>Csőventilátor, elszívó ventilátor</t>
        </is>
      </c>
      <c r="D98" s="6" t="inlineStr"/>
      <c r="E98" s="6" t="inlineStr">
        <is>
          <t>Erős</t>
        </is>
      </c>
      <c r="F98" s="6" t="inlineStr">
        <is>
          <t>az elmúlt 30 napban</t>
        </is>
      </c>
      <c r="G98" s="6" t="inlineStr">
        <is>
          <t>Csőventilátor (Can-Fan, Vents, Prima Klima, AC Infinity, Garden Highpro, DF16)</t>
        </is>
      </c>
    </row>
    <row r="99">
      <c r="A99" s="6" t="inlineStr">
        <is>
          <t>GRO1661</t>
        </is>
      </c>
      <c r="B99" s="6" t="inlineStr">
        <is>
          <t>Can-Fan ISO-Max hangszigetelt csőventilátor 250 mm, 1480 m3/h</t>
        </is>
      </c>
      <c r="C99" s="6" t="inlineStr">
        <is>
          <t>Csőventilátor, elszívó ventilátor</t>
        </is>
      </c>
      <c r="D99" s="6" t="inlineStr"/>
      <c r="E99" s="6" t="inlineStr">
        <is>
          <t>Erős</t>
        </is>
      </c>
      <c r="F99" s="6" t="inlineStr">
        <is>
          <t>az elmúlt 30 napban</t>
        </is>
      </c>
      <c r="G99" s="6" t="inlineStr">
        <is>
          <t>Csőventilátor (Can-Fan, Vents, Prima Klima, AC Infinity, Garden Highpro, DF16)</t>
        </is>
      </c>
    </row>
    <row r="100">
      <c r="A100" s="6" t="inlineStr">
        <is>
          <t>GRO1865</t>
        </is>
      </c>
      <c r="B100" s="6" t="inlineStr">
        <is>
          <t>Vents VK 250 centrifugális csatornaventilátor 250 mm, 1080 m3/h</t>
        </is>
      </c>
      <c r="C100" s="6" t="inlineStr">
        <is>
          <t>Csőventilátor, elszívó ventilátor</t>
        </is>
      </c>
      <c r="D100" s="6" t="inlineStr"/>
      <c r="E100" s="6" t="inlineStr">
        <is>
          <t>Erős</t>
        </is>
      </c>
      <c r="F100" s="6" t="inlineStr">
        <is>
          <t>az elmúlt 30 napban</t>
        </is>
      </c>
      <c r="G100" s="6" t="inlineStr">
        <is>
          <t>Csőventilátor (Can-Fan, Vents, Prima Klima, AC Infinity, Garden Highpro, DF16)</t>
        </is>
      </c>
    </row>
    <row r="101">
      <c r="A101" s="6" t="inlineStr">
        <is>
          <t>GRO2045</t>
        </is>
      </c>
      <c r="B101" s="6" t="inlineStr">
        <is>
          <t>Vents TT 100 kevert áramlású csőventilátor 100 mm, két sebesség, 145/187 m3/h</t>
        </is>
      </c>
      <c r="C101" s="6" t="inlineStr">
        <is>
          <t>Csőventilátor, elszívó ventilátor</t>
        </is>
      </c>
      <c r="D101" s="6" t="inlineStr"/>
      <c r="E101" s="6" t="inlineStr">
        <is>
          <t>Erős</t>
        </is>
      </c>
      <c r="F101" s="6" t="inlineStr">
        <is>
          <t>az elmúlt 30 napban</t>
        </is>
      </c>
      <c r="G101" s="6" t="inlineStr">
        <is>
          <t>Csőventilátor (Can-Fan, Vents, Prima Klima, AC Infinity, Garden Highpro, DF16)</t>
        </is>
      </c>
    </row>
    <row r="102">
      <c r="A102" s="6" t="inlineStr">
        <is>
          <t>GRO2047</t>
        </is>
      </c>
      <c r="B102" s="6" t="inlineStr">
        <is>
          <t>Vents TT 100 Un csőventilátor termosztáttal, sebességszabályzóval és kábellel, 100 mm, 187 m3/h</t>
        </is>
      </c>
      <c r="C102" s="6" t="inlineStr">
        <is>
          <t>Csőventilátor, elszívó ventilátor</t>
        </is>
      </c>
      <c r="D102" s="6" t="inlineStr">
        <is>
          <t>Klímavezérlő: ventilátor-szabályzó, termosztát, higrosztát</t>
        </is>
      </c>
      <c r="E102" s="6" t="inlineStr">
        <is>
          <t>Erős</t>
        </is>
      </c>
      <c r="F102" s="6" t="inlineStr">
        <is>
          <t>az elmúlt 30 napban</t>
        </is>
      </c>
      <c r="G102" s="6" t="inlineStr">
        <is>
          <t>Csőventilátor beépített / mellékelt szabályzóval (TC, Un, Cloudline)</t>
        </is>
      </c>
    </row>
    <row r="103">
      <c r="A103" s="6" t="inlineStr">
        <is>
          <t>GRO2048</t>
        </is>
      </c>
      <c r="B103" s="6" t="inlineStr">
        <is>
          <t>Vents TT 125 kevert áramlású csőventilátor 125 mm, két sebesség, 220/280 m3/h</t>
        </is>
      </c>
      <c r="C103" s="6" t="inlineStr">
        <is>
          <t>Csőventilátor, elszívó ventilátor</t>
        </is>
      </c>
      <c r="D103" s="6" t="inlineStr"/>
      <c r="E103" s="6" t="inlineStr">
        <is>
          <t>Erős</t>
        </is>
      </c>
      <c r="F103" s="6" t="inlineStr">
        <is>
          <t>az elmúlt 30 napban</t>
        </is>
      </c>
      <c r="G103" s="6" t="inlineStr">
        <is>
          <t>Csőventilátor (Can-Fan, Vents, Prima Klima, AC Infinity, Garden Highpro, DF16)</t>
        </is>
      </c>
    </row>
    <row r="104">
      <c r="A104" s="6" t="inlineStr">
        <is>
          <t>GRO2051</t>
        </is>
      </c>
      <c r="B104" s="6" t="inlineStr">
        <is>
          <t>Vents TT 125 Un csőventilátor termosztáttal, sebességszabályzóval és kábellel, 125 mm, 280 m3/h</t>
        </is>
      </c>
      <c r="C104" s="6" t="inlineStr">
        <is>
          <t>Csőventilátor, elszívó ventilátor</t>
        </is>
      </c>
      <c r="D104" s="6" t="inlineStr">
        <is>
          <t>Klímavezérlő: ventilátor-szabályzó, termosztát, higrosztát</t>
        </is>
      </c>
      <c r="E104" s="6" t="inlineStr">
        <is>
          <t>Erős</t>
        </is>
      </c>
      <c r="F104" s="6" t="inlineStr">
        <is>
          <t>az elmúlt 30 napban</t>
        </is>
      </c>
      <c r="G104" s="6" t="inlineStr">
        <is>
          <t>Csőventilátor beépített / mellékelt szabályzóval (TC, Un, Cloudline)</t>
        </is>
      </c>
    </row>
    <row r="105">
      <c r="A105" s="6" t="inlineStr">
        <is>
          <t>GRO2054</t>
        </is>
      </c>
      <c r="B105" s="6" t="inlineStr">
        <is>
          <t>Vents TT 150 Un csőventilátor termosztáttal, sebességszabályzóval és kábellel, 150 mm, 520 m3/h</t>
        </is>
      </c>
      <c r="C105" s="6" t="inlineStr">
        <is>
          <t>Csőventilátor, elszívó ventilátor</t>
        </is>
      </c>
      <c r="D105" s="6" t="inlineStr">
        <is>
          <t>Klímavezérlő: ventilátor-szabályzó, termosztát, higrosztát</t>
        </is>
      </c>
      <c r="E105" s="6" t="inlineStr">
        <is>
          <t>Erős</t>
        </is>
      </c>
      <c r="F105" s="6" t="inlineStr">
        <is>
          <t>az elmúlt 30 napban</t>
        </is>
      </c>
      <c r="G105" s="6" t="inlineStr">
        <is>
          <t>Csőventilátor beépített / mellékelt szabályzóval (TC, Un, Cloudline)</t>
        </is>
      </c>
    </row>
    <row r="106">
      <c r="A106" s="6" t="inlineStr">
        <is>
          <t>GRO2055</t>
        </is>
      </c>
      <c r="B106" s="6" t="inlineStr">
        <is>
          <t>Vents TT PRO 125 kevert áramlású csőventilátor 125 mm, kétsebességes motorral</t>
        </is>
      </c>
      <c r="C106" s="6" t="inlineStr">
        <is>
          <t>Csőventilátor, elszívó ventilátor</t>
        </is>
      </c>
      <c r="D106" s="6" t="inlineStr"/>
      <c r="E106" s="6" t="inlineStr">
        <is>
          <t>Erős</t>
        </is>
      </c>
      <c r="F106" s="6" t="inlineStr">
        <is>
          <t>az elmúlt 30 napban</t>
        </is>
      </c>
      <c r="G106" s="6" t="inlineStr">
        <is>
          <t>Csőventilátor (Can-Fan, Vents, Prima Klima, AC Infinity, Garden Highpro, DF16)</t>
        </is>
      </c>
    </row>
    <row r="107">
      <c r="A107" s="6" t="inlineStr">
        <is>
          <t>GRO2131</t>
        </is>
      </c>
      <c r="B107" s="6" t="inlineStr">
        <is>
          <t>Vents VK 200 Un csatornaventilátor termosztáttal, sebességszabályzóval és kábellel, 200 mm, 780 m3/h</t>
        </is>
      </c>
      <c r="C107" s="6" t="inlineStr">
        <is>
          <t>Csőventilátor, elszívó ventilátor</t>
        </is>
      </c>
      <c r="D107" s="6" t="inlineStr">
        <is>
          <t>Klímavezérlő: ventilátor-szabályzó, termosztát, higrosztát</t>
        </is>
      </c>
      <c r="E107" s="6" t="inlineStr">
        <is>
          <t>Erős</t>
        </is>
      </c>
      <c r="F107" s="6" t="inlineStr">
        <is>
          <t>az elmúlt 30 napban</t>
        </is>
      </c>
      <c r="G107" s="6" t="inlineStr">
        <is>
          <t>Csőventilátor beépített / mellékelt szabályzóval (TC, Un, Cloudline)</t>
        </is>
      </c>
    </row>
    <row r="108">
      <c r="A108" s="6" t="inlineStr">
        <is>
          <t>GRO2136</t>
        </is>
      </c>
      <c r="B108" s="6" t="inlineStr">
        <is>
          <t>Vents TT PRO 150 kevert áramlású csőventilátor 150 mm, kétsebességes motorral</t>
        </is>
      </c>
      <c r="C108" s="6" t="inlineStr">
        <is>
          <t>Csőventilátor, elszívó ventilátor</t>
        </is>
      </c>
      <c r="D108" s="6" t="inlineStr"/>
      <c r="E108" s="6" t="inlineStr">
        <is>
          <t>Erős</t>
        </is>
      </c>
      <c r="F108" s="6" t="inlineStr">
        <is>
          <t>az elmúlt 30 napban</t>
        </is>
      </c>
      <c r="G108" s="6" t="inlineStr">
        <is>
          <t>Csőventilátor (Can-Fan, Vents, Prima Klima, AC Infinity, Garden Highpro, DF16)</t>
        </is>
      </c>
    </row>
    <row r="109">
      <c r="A109" s="6" t="inlineStr">
        <is>
          <t>GRO2137</t>
        </is>
      </c>
      <c r="B109" s="6" t="inlineStr">
        <is>
          <t>Vents TT Silent-M 200 hangszigetelt csőventilátor 200 mm, két sebesség, 1020 m3/h</t>
        </is>
      </c>
      <c r="C109" s="6" t="inlineStr">
        <is>
          <t>Csőventilátor, elszívó ventilátor</t>
        </is>
      </c>
      <c r="D109" s="6" t="inlineStr"/>
      <c r="E109" s="6" t="inlineStr">
        <is>
          <t>Erős</t>
        </is>
      </c>
      <c r="F109" s="6" t="inlineStr">
        <is>
          <t>az elmúlt 30 napban</t>
        </is>
      </c>
      <c r="G109" s="6" t="inlineStr">
        <is>
          <t>Csőventilátor (Can-Fan, Vents, Prima Klima, AC Infinity, Garden Highpro, DF16)</t>
        </is>
      </c>
    </row>
    <row r="110">
      <c r="A110" s="6" t="inlineStr">
        <is>
          <t>GRO2183</t>
        </is>
      </c>
      <c r="B110" s="6" t="inlineStr">
        <is>
          <t>Vents VK 150 Un csatornaventilátor termosztáttal, sebességszabályzóval és kábellel, 150 mm</t>
        </is>
      </c>
      <c r="C110" s="6" t="inlineStr">
        <is>
          <t>Csőventilátor, elszívó ventilátor</t>
        </is>
      </c>
      <c r="D110" s="6" t="inlineStr">
        <is>
          <t>Klímavezérlő: ventilátor-szabályzó, termosztát, higrosztát</t>
        </is>
      </c>
      <c r="E110" s="6" t="inlineStr">
        <is>
          <t>Erős</t>
        </is>
      </c>
      <c r="F110" s="6" t="inlineStr">
        <is>
          <t>az elmúlt 30 napban</t>
        </is>
      </c>
      <c r="G110" s="6" t="inlineStr">
        <is>
          <t>Csőventilátor beépített / mellékelt szabályzóval (TC, Un, Cloudline)</t>
        </is>
      </c>
    </row>
    <row r="111">
      <c r="A111" s="6" t="inlineStr">
        <is>
          <t>GRO2314</t>
        </is>
      </c>
      <c r="B111" s="6" t="inlineStr">
        <is>
          <t>Vents TT Silent-M 150 hangszigetelt csőventilátor 150 mm, két sebesség, 555 m3/h</t>
        </is>
      </c>
      <c r="C111" s="6" t="inlineStr">
        <is>
          <t>Csőventilátor, elszívó ventilátor</t>
        </is>
      </c>
      <c r="D111" s="6" t="inlineStr"/>
      <c r="E111" s="6" t="inlineStr">
        <is>
          <t>Erős</t>
        </is>
      </c>
      <c r="F111" s="6" t="inlineStr">
        <is>
          <t>az elmúlt 30 napban</t>
        </is>
      </c>
      <c r="G111" s="6" t="inlineStr">
        <is>
          <t>Csőventilátor (Can-Fan, Vents, Prima Klima, AC Infinity, Garden Highpro, DF16)</t>
        </is>
      </c>
    </row>
    <row r="112">
      <c r="A112" s="6" t="inlineStr">
        <is>
          <t>GRO2595</t>
        </is>
      </c>
      <c r="B112" s="6" t="inlineStr">
        <is>
          <t>Vents TT PRO 100 kevert áramlású csőventilátor 100 mm, kétsebességes motorral</t>
        </is>
      </c>
      <c r="C112" s="6" t="inlineStr">
        <is>
          <t>Csőventilátor, elszívó ventilátor</t>
        </is>
      </c>
      <c r="D112" s="6" t="inlineStr"/>
      <c r="E112" s="6" t="inlineStr">
        <is>
          <t>Erős</t>
        </is>
      </c>
      <c r="F112" s="6" t="inlineStr">
        <is>
          <t>az elmúlt 30 napban</t>
        </is>
      </c>
      <c r="G112" s="6" t="inlineStr">
        <is>
          <t>Csőventilátor (Can-Fan, Vents, Prima Klima, AC Infinity, Garden Highpro, DF16)</t>
        </is>
      </c>
    </row>
    <row r="113">
      <c r="A113" s="6" t="inlineStr">
        <is>
          <t>GRO2752</t>
        </is>
      </c>
      <c r="B113" s="6" t="inlineStr">
        <is>
          <t>Vents TT PRO 200 kevert áramlású csőventilátor 200 mm, kétsebességes, 830/1040 m3/h</t>
        </is>
      </c>
      <c r="C113" s="6" t="inlineStr">
        <is>
          <t>Csőventilátor, elszívó ventilátor</t>
        </is>
      </c>
      <c r="D113" s="6" t="inlineStr"/>
      <c r="E113" s="6" t="inlineStr">
        <is>
          <t>Erős</t>
        </is>
      </c>
      <c r="F113" s="6" t="inlineStr">
        <is>
          <t>az elmúlt 30 napban</t>
        </is>
      </c>
      <c r="G113" s="6" t="inlineStr">
        <is>
          <t>Csőventilátor (Can-Fan, Vents, Prima Klima, AC Infinity, Garden Highpro, DF16)</t>
        </is>
      </c>
    </row>
    <row r="114">
      <c r="A114" s="6" t="inlineStr">
        <is>
          <t>GRO2753</t>
        </is>
      </c>
      <c r="B114" s="6" t="inlineStr">
        <is>
          <t>Vents TT PRO 250 kevert áramlású csőventilátor 250 mm, kétsebességes, 1110/1400 m3/h</t>
        </is>
      </c>
      <c r="C114" s="6" t="inlineStr">
        <is>
          <t>Csőventilátor, elszívó ventilátor</t>
        </is>
      </c>
      <c r="D114" s="6" t="inlineStr"/>
      <c r="E114" s="6" t="inlineStr">
        <is>
          <t>Erős</t>
        </is>
      </c>
      <c r="F114" s="6" t="inlineStr">
        <is>
          <t>az elmúlt 30 napban</t>
        </is>
      </c>
      <c r="G114" s="6" t="inlineStr">
        <is>
          <t>Csőventilátor (Can-Fan, Vents, Prima Klima, AC Infinity, Garden Highpro, DF16)</t>
        </is>
      </c>
    </row>
    <row r="115">
      <c r="A115" s="6" t="inlineStr">
        <is>
          <t>GRO2754</t>
        </is>
      </c>
      <c r="B115" s="6" t="inlineStr">
        <is>
          <t>Vents TT PRO 315 kevert áramlású csőventilátor 315 mm, kétsebességes, 1570/2050 m3/h</t>
        </is>
      </c>
      <c r="C115" s="6" t="inlineStr">
        <is>
          <t>Csőventilátor, elszívó ventilátor</t>
        </is>
      </c>
      <c r="D115" s="6" t="inlineStr"/>
      <c r="E115" s="6" t="inlineStr">
        <is>
          <t>Erős</t>
        </is>
      </c>
      <c r="F115" s="6" t="inlineStr">
        <is>
          <t>az elmúlt 30 napban</t>
        </is>
      </c>
      <c r="G115" s="6" t="inlineStr">
        <is>
          <t>Csőventilátor (Can-Fan, Vents, Prima Klima, AC Infinity, Garden Highpro, DF16)</t>
        </is>
      </c>
    </row>
    <row r="116">
      <c r="A116" s="6" t="inlineStr">
        <is>
          <t>GRO2895</t>
        </is>
      </c>
      <c r="B116" s="6" t="inlineStr">
        <is>
          <t>Vents VK Q 250 centrifugális csatornaventilátor 250 mm, műanyag házzal, nedves helyiségekbe is</t>
        </is>
      </c>
      <c r="C116" s="6" t="inlineStr">
        <is>
          <t>Csőventilátor, elszívó ventilátor</t>
        </is>
      </c>
      <c r="D116" s="6" t="inlineStr"/>
      <c r="E116" s="6" t="inlineStr">
        <is>
          <t>Erős</t>
        </is>
      </c>
      <c r="F116" s="6" t="inlineStr">
        <is>
          <t>az elmúlt 30 napban</t>
        </is>
      </c>
      <c r="G116" s="6" t="inlineStr">
        <is>
          <t>Csőventilátor (Can-Fan, Vents, Prima Klima, AC Infinity, Garden Highpro, DF16)</t>
        </is>
      </c>
    </row>
    <row r="117">
      <c r="A117" s="6" t="inlineStr">
        <is>
          <t>GRO2989</t>
        </is>
      </c>
      <c r="B117" s="6" t="inlineStr">
        <is>
          <t>Can-Fan Max-Fan Pro AC diagonális csőventilátor 315 mm, 3180 m3/h, 3 fokozatú kapcsolóval</t>
        </is>
      </c>
      <c r="C117" s="6" t="inlineStr">
        <is>
          <t>Csőventilátor, elszívó ventilátor</t>
        </is>
      </c>
      <c r="D117" s="6" t="inlineStr"/>
      <c r="E117" s="6" t="inlineStr">
        <is>
          <t>Erős</t>
        </is>
      </c>
      <c r="F117" s="6" t="inlineStr">
        <is>
          <t>az elmúlt 30 napban</t>
        </is>
      </c>
      <c r="G117" s="6" t="inlineStr">
        <is>
          <t>Csőventilátor (Can-Fan, Vents, Prima Klima, AC Infinity, Garden Highpro, DF16)</t>
        </is>
      </c>
    </row>
    <row r="118">
      <c r="A118" s="6" t="inlineStr">
        <is>
          <t>GRO2992</t>
        </is>
      </c>
      <c r="B118" s="6" t="inlineStr">
        <is>
          <t>Can-Fan Max-Fan Pro AC diagonális csőventilátor 150 mm, 600 m3/h, 2 fokozatú kapcsolóval</t>
        </is>
      </c>
      <c r="C118" s="6" t="inlineStr">
        <is>
          <t>Csőventilátor, elszívó ventilátor</t>
        </is>
      </c>
      <c r="D118" s="6" t="inlineStr"/>
      <c r="E118" s="6" t="inlineStr">
        <is>
          <t>Erős</t>
        </is>
      </c>
      <c r="F118" s="6" t="inlineStr">
        <is>
          <t>az elmúlt 30 napban</t>
        </is>
      </c>
      <c r="G118" s="6" t="inlineStr">
        <is>
          <t>Csőventilátor (Can-Fan, Vents, Prima Klima, AC Infinity, Garden Highpro, DF16)</t>
        </is>
      </c>
    </row>
    <row r="119">
      <c r="A119" s="6" t="inlineStr">
        <is>
          <t>GRO3105</t>
        </is>
      </c>
      <c r="B119" s="6" t="inlineStr">
        <is>
          <t>Vents TT PRO 200 Un csőventilátor termosztáttal, sebességszabályzóval és kábellel, 200 mm, 1040 m3/h</t>
        </is>
      </c>
      <c r="C119" s="6" t="inlineStr">
        <is>
          <t>Csőventilátor, elszívó ventilátor</t>
        </is>
      </c>
      <c r="D119" s="6" t="inlineStr">
        <is>
          <t>Klímavezérlő: ventilátor-szabályzó, termosztát, higrosztát</t>
        </is>
      </c>
      <c r="E119" s="6" t="inlineStr">
        <is>
          <t>Erős</t>
        </is>
      </c>
      <c r="F119" s="6" t="inlineStr">
        <is>
          <t>az elmúlt 30 napban</t>
        </is>
      </c>
      <c r="G119" s="6" t="inlineStr">
        <is>
          <t>Csőventilátor beépített / mellékelt szabályzóval (TC, Un, Cloudline)</t>
        </is>
      </c>
    </row>
    <row r="120">
      <c r="A120" s="6" t="inlineStr">
        <is>
          <t>GRO3106</t>
        </is>
      </c>
      <c r="B120" s="6" t="inlineStr">
        <is>
          <t>Vents TT PRO 250 Un csőventilátor termosztáttal, sebességszabályzóval és kábellel, 250 mm, 1400 m3/h</t>
        </is>
      </c>
      <c r="C120" s="6" t="inlineStr">
        <is>
          <t>Csőventilátor, elszívó ventilátor</t>
        </is>
      </c>
      <c r="D120" s="6" t="inlineStr">
        <is>
          <t>Klímavezérlő: ventilátor-szabályzó, termosztát, higrosztát</t>
        </is>
      </c>
      <c r="E120" s="6" t="inlineStr">
        <is>
          <t>Erős</t>
        </is>
      </c>
      <c r="F120" s="6" t="inlineStr">
        <is>
          <t>az elmúlt 30 napban</t>
        </is>
      </c>
      <c r="G120" s="6" t="inlineStr">
        <is>
          <t>Csőventilátor beépített / mellékelt szabályzóval (TC, Un, Cloudline)</t>
        </is>
      </c>
    </row>
    <row r="121">
      <c r="A121" s="6" t="inlineStr">
        <is>
          <t>GRO3123</t>
        </is>
      </c>
      <c r="B121" s="6" t="inlineStr">
        <is>
          <t>Can-Fan RK 125L centrifugális csőventilátor 125 mm, 350 m3/h</t>
        </is>
      </c>
      <c r="C121" s="6" t="inlineStr">
        <is>
          <t>Csőventilátor, elszívó ventilátor</t>
        </is>
      </c>
      <c r="D121" s="6" t="inlineStr"/>
      <c r="E121" s="6" t="inlineStr">
        <is>
          <t>Erős</t>
        </is>
      </c>
      <c r="F121" s="6" t="inlineStr">
        <is>
          <t>az elmúlt 30 napban</t>
        </is>
      </c>
      <c r="G121" s="6" t="inlineStr">
        <is>
          <t>Csőventilátor (Can-Fan, Vents, Prima Klima, AC Infinity, Garden Highpro, DF16)</t>
        </is>
      </c>
    </row>
    <row r="122">
      <c r="A122" s="6" t="inlineStr">
        <is>
          <t>GRO3128</t>
        </is>
      </c>
      <c r="B122" s="6" t="inlineStr">
        <is>
          <t>Can-Fan ISO-Max hangszigetelt csőventilátor 315 mm, 3260 m3/h</t>
        </is>
      </c>
      <c r="C122" s="6" t="inlineStr">
        <is>
          <t>Csőventilátor, elszívó ventilátor</t>
        </is>
      </c>
      <c r="D122" s="6" t="inlineStr"/>
      <c r="E122" s="6" t="inlineStr">
        <is>
          <t>Erős</t>
        </is>
      </c>
      <c r="F122" s="6" t="inlineStr">
        <is>
          <t>az elmúlt 30 napban</t>
        </is>
      </c>
      <c r="G122" s="6" t="inlineStr">
        <is>
          <t>Csőventilátor (Can-Fan, Vents, Prima Klima, AC Infinity, Garden Highpro, DF16)</t>
        </is>
      </c>
    </row>
    <row r="123">
      <c r="A123" s="6" t="inlineStr">
        <is>
          <t>GRO3132</t>
        </is>
      </c>
      <c r="B123" s="6" t="inlineStr">
        <is>
          <t>Can Fan csőventilátor RK 125</t>
        </is>
      </c>
      <c r="C123" s="6" t="inlineStr">
        <is>
          <t>Csőventilátor, elszívó ventilátor</t>
        </is>
      </c>
      <c r="D123" s="6" t="inlineStr"/>
      <c r="E123" s="6" t="inlineStr">
        <is>
          <t>Erős</t>
        </is>
      </c>
      <c r="F123" s="6" t="inlineStr">
        <is>
          <t>az elmúlt 30 napban</t>
        </is>
      </c>
      <c r="G123" s="6" t="inlineStr">
        <is>
          <t>Csőventilátor (Can-Fan, Vents, Prima Klima, AC Infinity, Garden Highpro, DF16)</t>
        </is>
      </c>
    </row>
    <row r="124">
      <c r="A124" s="6" t="inlineStr">
        <is>
          <t>GRO3133</t>
        </is>
      </c>
      <c r="B124" s="6" t="inlineStr">
        <is>
          <t>Can-Fan RK 150 centrifugális csőventilátor 150 mm, 470 m3/h</t>
        </is>
      </c>
      <c r="C124" s="6" t="inlineStr">
        <is>
          <t>Csőventilátor, elszívó ventilátor</t>
        </is>
      </c>
      <c r="D124" s="6" t="inlineStr"/>
      <c r="E124" s="6" t="inlineStr">
        <is>
          <t>Erős</t>
        </is>
      </c>
      <c r="F124" s="6" t="inlineStr">
        <is>
          <t>az elmúlt 30 napban</t>
        </is>
      </c>
      <c r="G124" s="6" t="inlineStr">
        <is>
          <t>Csőventilátor (Can-Fan, Vents, Prima Klima, AC Infinity, Garden Highpro, DF16)</t>
        </is>
      </c>
    </row>
    <row r="125">
      <c r="A125" s="6" t="inlineStr">
        <is>
          <t>GRO3250</t>
        </is>
      </c>
      <c r="B125" s="6" t="inlineStr">
        <is>
          <t>Can-Fan RK 100L centrifugális csőventilátor 100 mm, 270 m3/h</t>
        </is>
      </c>
      <c r="C125" s="6" t="inlineStr">
        <is>
          <t>Csőventilátor, elszívó ventilátor</t>
        </is>
      </c>
      <c r="D125" s="6" t="inlineStr"/>
      <c r="E125" s="6" t="inlineStr">
        <is>
          <t>Erős</t>
        </is>
      </c>
      <c r="F125" s="6" t="inlineStr">
        <is>
          <t>az elmúlt 30 napban</t>
        </is>
      </c>
      <c r="G125" s="6" t="inlineStr">
        <is>
          <t>Csőventilátor (Can-Fan, Vents, Prima Klima, AC Infinity, Garden Highpro, DF16)</t>
        </is>
      </c>
    </row>
    <row r="126">
      <c r="A126" s="6" t="inlineStr">
        <is>
          <t>GRO3251</t>
        </is>
      </c>
      <c r="B126" s="6" t="inlineStr">
        <is>
          <t>Can-Fan Max-Fan Pro AC diagonális csőventilátor 160 mm, 615 m3/h, 2 fokozatú kapcsolóval</t>
        </is>
      </c>
      <c r="C126" s="6" t="inlineStr">
        <is>
          <t>Csőventilátor, elszívó ventilátor</t>
        </is>
      </c>
      <c r="D126" s="6" t="inlineStr"/>
      <c r="E126" s="6" t="inlineStr">
        <is>
          <t>Erős</t>
        </is>
      </c>
      <c r="F126" s="6" t="inlineStr">
        <is>
          <t>az elmúlt 30 napban</t>
        </is>
      </c>
      <c r="G126" s="6" t="inlineStr">
        <is>
          <t>Csőventilátor (Can-Fan, Vents, Prima Klima, AC Infinity, Garden Highpro, DF16)</t>
        </is>
      </c>
    </row>
    <row r="127">
      <c r="A127" s="6" t="inlineStr">
        <is>
          <t>GRO3253</t>
        </is>
      </c>
      <c r="B127" s="6" t="inlineStr">
        <is>
          <t>Can Fan csőventilátor RK160</t>
        </is>
      </c>
      <c r="C127" s="6" t="inlineStr">
        <is>
          <t>Csőventilátor, elszívó ventilátor</t>
        </is>
      </c>
      <c r="D127" s="6" t="inlineStr"/>
      <c r="E127" s="6" t="inlineStr">
        <is>
          <t>Erős</t>
        </is>
      </c>
      <c r="F127" s="6" t="inlineStr">
        <is>
          <t>az elmúlt 30 napban</t>
        </is>
      </c>
      <c r="G127" s="6" t="inlineStr">
        <is>
          <t>Csőventilátor (Can-Fan, Vents, Prima Klima, AC Infinity, Garden Highpro, DF16)</t>
        </is>
      </c>
    </row>
    <row r="128">
      <c r="A128" s="6" t="inlineStr">
        <is>
          <t>GRO3354</t>
        </is>
      </c>
      <c r="B128" s="6" t="inlineStr">
        <is>
          <t>Can-Fan ISO-Max hangszigetelt csőventilátor 160 mm 430 m3/h (3 sebesség)</t>
        </is>
      </c>
      <c r="C128" s="6" t="inlineStr">
        <is>
          <t>Csőventilátor, elszívó ventilátor</t>
        </is>
      </c>
      <c r="D128" s="6" t="inlineStr"/>
      <c r="E128" s="6" t="inlineStr">
        <is>
          <t>Erős</t>
        </is>
      </c>
      <c r="F128" s="6" t="inlineStr">
        <is>
          <t>az elmúlt 30 napban</t>
        </is>
      </c>
      <c r="G128" s="6" t="inlineStr">
        <is>
          <t>Csőventilátor (Can-Fan, Vents, Prima Klima, AC Infinity, Garden Highpro, DF16)</t>
        </is>
      </c>
    </row>
    <row r="129">
      <c r="A129" s="6" t="inlineStr">
        <is>
          <t>GRO3480</t>
        </is>
      </c>
      <c r="B129" s="6" t="inlineStr">
        <is>
          <t>Vents VK EC ventilátor Vents VK EC 200</t>
        </is>
      </c>
      <c r="C129" s="6" t="inlineStr">
        <is>
          <t>Csőventilátor, elszívó ventilátor</t>
        </is>
      </c>
      <c r="D129" s="6" t="inlineStr"/>
      <c r="E129" s="6" t="inlineStr">
        <is>
          <t>Erős</t>
        </is>
      </c>
      <c r="F129" s="6" t="inlineStr">
        <is>
          <t>az elmúlt 30 napban</t>
        </is>
      </c>
      <c r="G129" s="6" t="inlineStr">
        <is>
          <t>EC motoros csőventilátor</t>
        </is>
      </c>
    </row>
    <row r="130">
      <c r="A130" s="6" t="inlineStr">
        <is>
          <t>GRO3481</t>
        </is>
      </c>
      <c r="B130" s="6" t="inlineStr">
        <is>
          <t>Vents VK EC ventilátor Vents VK EC 250</t>
        </is>
      </c>
      <c r="C130" s="6" t="inlineStr">
        <is>
          <t>Csőventilátor, elszívó ventilátor</t>
        </is>
      </c>
      <c r="D130" s="6" t="inlineStr"/>
      <c r="E130" s="6" t="inlineStr">
        <is>
          <t>Erős</t>
        </is>
      </c>
      <c r="F130" s="6" t="inlineStr">
        <is>
          <t>az elmúlt 30 napban</t>
        </is>
      </c>
      <c r="G130" s="6" t="inlineStr">
        <is>
          <t>EC motoros csőventilátor</t>
        </is>
      </c>
    </row>
    <row r="131">
      <c r="A131" s="6" t="inlineStr">
        <is>
          <t>GRO3611</t>
        </is>
      </c>
      <c r="B131" s="6" t="inlineStr">
        <is>
          <t>Secret Jardin DF16 elszívó ventilátor 150/250/350 m3/h</t>
        </is>
      </c>
      <c r="C131" s="6" t="inlineStr">
        <is>
          <t>Csőventilátor, elszívó ventilátor</t>
        </is>
      </c>
      <c r="D131" s="6" t="inlineStr"/>
      <c r="E131" s="6" t="inlineStr">
        <is>
          <t>Erős</t>
        </is>
      </c>
      <c r="F131" s="6" t="inlineStr">
        <is>
          <t>az elmúlt 30 napban</t>
        </is>
      </c>
      <c r="G131" s="6" t="inlineStr">
        <is>
          <t>Csőventilátor (Can-Fan, Vents, Prima Klima, AC Infinity, Garden Highpro, DF16)</t>
        </is>
      </c>
    </row>
    <row r="132">
      <c r="A132" s="6" t="inlineStr">
        <is>
          <t>GRO3637</t>
        </is>
      </c>
      <c r="B132" s="6" t="inlineStr">
        <is>
          <t>Prima klima ventilátor (hőmérsékletszabályzós) PK100-TC</t>
        </is>
      </c>
      <c r="C132" s="6" t="inlineStr">
        <is>
          <t>Csőventilátor, elszívó ventilátor</t>
        </is>
      </c>
      <c r="D132" s="6" t="inlineStr">
        <is>
          <t>Klímavezérlő: ventilátor-szabályzó, termosztát, higrosztát</t>
        </is>
      </c>
      <c r="E132" s="6" t="inlineStr">
        <is>
          <t>Erős</t>
        </is>
      </c>
      <c r="F132" s="6" t="inlineStr">
        <is>
          <t>az elmúlt 30 napban</t>
        </is>
      </c>
      <c r="G132" s="6" t="inlineStr">
        <is>
          <t>Csőventilátor beépített / mellékelt szabályzóval (TC, Un, Cloudline)</t>
        </is>
      </c>
    </row>
    <row r="133">
      <c r="A133" s="6" t="inlineStr">
        <is>
          <t>GRO3638</t>
        </is>
      </c>
      <c r="B133" s="6" t="inlineStr">
        <is>
          <t>Prima klima ventilátor (2 sebességes) PK125-2</t>
        </is>
      </c>
      <c r="C133" s="6" t="inlineStr">
        <is>
          <t>Csőventilátor, elszívó ventilátor</t>
        </is>
      </c>
      <c r="D133" s="6" t="inlineStr"/>
      <c r="E133" s="6" t="inlineStr">
        <is>
          <t>Erős</t>
        </is>
      </c>
      <c r="F133" s="6" t="inlineStr">
        <is>
          <t>az elmúlt 30 napban</t>
        </is>
      </c>
      <c r="G133" s="6" t="inlineStr">
        <is>
          <t>Csőventilátor (Can-Fan, Vents, Prima Klima, AC Infinity, Garden Highpro, DF16)</t>
        </is>
      </c>
    </row>
    <row r="134">
      <c r="A134" s="6" t="inlineStr">
        <is>
          <t>GRO3640</t>
        </is>
      </c>
      <c r="B134" s="6" t="inlineStr">
        <is>
          <t>Prima klima ventilátor (hőmérsékletszabályzós) PK125-TC</t>
        </is>
      </c>
      <c r="C134" s="6" t="inlineStr">
        <is>
          <t>Csőventilátor, elszívó ventilátor</t>
        </is>
      </c>
      <c r="D134" s="6" t="inlineStr">
        <is>
          <t>Klímavezérlő: ventilátor-szabályzó, termosztát, higrosztát</t>
        </is>
      </c>
      <c r="E134" s="6" t="inlineStr">
        <is>
          <t>Erős</t>
        </is>
      </c>
      <c r="F134" s="6" t="inlineStr">
        <is>
          <t>az elmúlt 30 napban</t>
        </is>
      </c>
      <c r="G134" s="6" t="inlineStr">
        <is>
          <t>Csőventilátor beépített / mellékelt szabályzóval (TC, Un, Cloudline)</t>
        </is>
      </c>
    </row>
    <row r="135">
      <c r="A135" s="6" t="inlineStr">
        <is>
          <t>GRO3641</t>
        </is>
      </c>
      <c r="B135" s="6" t="inlineStr">
        <is>
          <t>Prima klima ventilátor (2 sebességes) PK150-2</t>
        </is>
      </c>
      <c r="C135" s="6" t="inlineStr">
        <is>
          <t>Csőventilátor, elszívó ventilátor</t>
        </is>
      </c>
      <c r="D135" s="6" t="inlineStr"/>
      <c r="E135" s="6" t="inlineStr">
        <is>
          <t>Erős</t>
        </is>
      </c>
      <c r="F135" s="6" t="inlineStr">
        <is>
          <t>az elmúlt 30 napban</t>
        </is>
      </c>
      <c r="G135" s="6" t="inlineStr">
        <is>
          <t>Csőventilátor (Can-Fan, Vents, Prima Klima, AC Infinity, Garden Highpro, DF16)</t>
        </is>
      </c>
    </row>
    <row r="136">
      <c r="A136" s="6" t="inlineStr">
        <is>
          <t>GRO3642</t>
        </is>
      </c>
      <c r="B136" s="6" t="inlineStr">
        <is>
          <t>Prima klima ventilátor (hőmérsékletszabályzós) PK150-TC</t>
        </is>
      </c>
      <c r="C136" s="6" t="inlineStr">
        <is>
          <t>Csőventilátor, elszívó ventilátor</t>
        </is>
      </c>
      <c r="D136" s="6" t="inlineStr">
        <is>
          <t>Klímavezérlő: ventilátor-szabályzó, termosztát, higrosztát</t>
        </is>
      </c>
      <c r="E136" s="6" t="inlineStr">
        <is>
          <t>Erős</t>
        </is>
      </c>
      <c r="F136" s="6" t="inlineStr">
        <is>
          <t>az elmúlt 30 napban</t>
        </is>
      </c>
      <c r="G136" s="6" t="inlineStr">
        <is>
          <t>Csőventilátor beépített / mellékelt szabályzóval (TC, Un, Cloudline)</t>
        </is>
      </c>
    </row>
    <row r="137">
      <c r="A137" s="6" t="inlineStr">
        <is>
          <t>GRO3643</t>
        </is>
      </c>
      <c r="B137" s="6" t="inlineStr">
        <is>
          <t>Prima klima ventilátor (2 sebességes) PK160-2</t>
        </is>
      </c>
      <c r="C137" s="6" t="inlineStr">
        <is>
          <t>Csőventilátor, elszívó ventilátor</t>
        </is>
      </c>
      <c r="D137" s="6" t="inlineStr"/>
      <c r="E137" s="6" t="inlineStr">
        <is>
          <t>Erős</t>
        </is>
      </c>
      <c r="F137" s="6" t="inlineStr">
        <is>
          <t>az elmúlt 30 napban</t>
        </is>
      </c>
      <c r="G137" s="6" t="inlineStr">
        <is>
          <t>Csőventilátor (Can-Fan, Vents, Prima Klima, AC Infinity, Garden Highpro, DF16)</t>
        </is>
      </c>
    </row>
    <row r="138">
      <c r="A138" s="6" t="inlineStr">
        <is>
          <t>GRO3699</t>
        </is>
      </c>
      <c r="B138" s="6" t="inlineStr">
        <is>
          <t>Prima klima EC ventilátor (hőmérsékletszabályzós) PK125EC-TC</t>
        </is>
      </c>
      <c r="C138" s="6" t="inlineStr">
        <is>
          <t>Csőventilátor, elszívó ventilátor</t>
        </is>
      </c>
      <c r="D138" s="6" t="inlineStr">
        <is>
          <t>Klímavezérlő: ventilátor-szabályzó, termosztát, higrosztát</t>
        </is>
      </c>
      <c r="E138" s="6" t="inlineStr">
        <is>
          <t>Erős</t>
        </is>
      </c>
      <c r="F138" s="6" t="inlineStr">
        <is>
          <t>az elmúlt 30 napban</t>
        </is>
      </c>
      <c r="G138" s="6" t="inlineStr">
        <is>
          <t>Csőventilátor beépített / mellékelt szabályzóval (TC, Un, Cloudline)</t>
        </is>
      </c>
    </row>
    <row r="139">
      <c r="A139" s="6" t="inlineStr">
        <is>
          <t>GRO3701</t>
        </is>
      </c>
      <c r="B139" s="6" t="inlineStr">
        <is>
          <t>Prima klima EC ventilátor (hőmérsékletszabályzós) PK250EC-TC</t>
        </is>
      </c>
      <c r="C139" s="6" t="inlineStr">
        <is>
          <t>Csőventilátor, elszívó ventilátor</t>
        </is>
      </c>
      <c r="D139" s="6" t="inlineStr">
        <is>
          <t>Klímavezérlő: ventilátor-szabályzó, termosztát, higrosztát</t>
        </is>
      </c>
      <c r="E139" s="6" t="inlineStr">
        <is>
          <t>Erős</t>
        </is>
      </c>
      <c r="F139" s="6" t="inlineStr">
        <is>
          <t>az elmúlt 30 napban</t>
        </is>
      </c>
      <c r="G139" s="6" t="inlineStr">
        <is>
          <t>Csőventilátor beépített / mellékelt szabályzóval (TC, Un, Cloudline)</t>
        </is>
      </c>
    </row>
    <row r="140">
      <c r="A140" s="6" t="inlineStr">
        <is>
          <t>GRO3716</t>
        </is>
      </c>
      <c r="B140" s="6" t="inlineStr">
        <is>
          <t>Prima klima EC ventilátor (hőmérsékletszabályzós) PK150EC-TC</t>
        </is>
      </c>
      <c r="C140" s="6" t="inlineStr">
        <is>
          <t>Csőventilátor, elszívó ventilátor</t>
        </is>
      </c>
      <c r="D140" s="6" t="inlineStr">
        <is>
          <t>Klímavezérlő: ventilátor-szabályzó, termosztát, higrosztát</t>
        </is>
      </c>
      <c r="E140" s="6" t="inlineStr">
        <is>
          <t>Erős</t>
        </is>
      </c>
      <c r="F140" s="6" t="inlineStr">
        <is>
          <t>az elmúlt 30 napban</t>
        </is>
      </c>
      <c r="G140" s="6" t="inlineStr">
        <is>
          <t>Csőventilátor beépített / mellékelt szabályzóval (TC, Un, Cloudline)</t>
        </is>
      </c>
    </row>
    <row r="141">
      <c r="A141" s="6" t="inlineStr">
        <is>
          <t>GRO3763</t>
        </is>
      </c>
      <c r="B141" s="6" t="inlineStr">
        <is>
          <t>Secret Jardin DF16 elszívó ventilátor 50/100/150 m3/h</t>
        </is>
      </c>
      <c r="C141" s="6" t="inlineStr">
        <is>
          <t>Csőventilátor, elszívó ventilátor</t>
        </is>
      </c>
      <c r="D141" s="6" t="inlineStr"/>
      <c r="E141" s="6" t="inlineStr">
        <is>
          <t>Erős</t>
        </is>
      </c>
      <c r="F141" s="6" t="inlineStr">
        <is>
          <t>az elmúlt 30 napban</t>
        </is>
      </c>
      <c r="G141" s="6" t="inlineStr">
        <is>
          <t>Csőventilátor (Can-Fan, Vents, Prima Klima, AC Infinity, Garden Highpro, DF16)</t>
        </is>
      </c>
    </row>
    <row r="142">
      <c r="A142" s="6" t="inlineStr">
        <is>
          <t>GRO3813</t>
        </is>
      </c>
      <c r="B142" s="6" t="inlineStr">
        <is>
          <t>Vents Stream ventilátor</t>
        </is>
      </c>
      <c r="C142" s="6" t="inlineStr">
        <is>
          <t>Csőventilátor, elszívó ventilátor</t>
        </is>
      </c>
      <c r="D142" s="6" t="inlineStr"/>
      <c r="E142" s="6" t="inlineStr">
        <is>
          <t>Erős</t>
        </is>
      </c>
      <c r="F142" s="6" t="inlineStr">
        <is>
          <t>az elmúlt 30 napban</t>
        </is>
      </c>
      <c r="G142" s="6" t="inlineStr">
        <is>
          <t>Csőventilátor (Can-Fan, Vents, Prima Klima, AC Infinity, Garden Highpro, DF16)</t>
        </is>
      </c>
    </row>
    <row r="143">
      <c r="A143" s="6" t="inlineStr">
        <is>
          <t>GRO3815</t>
        </is>
      </c>
      <c r="B143" s="6" t="inlineStr">
        <is>
          <t>Vents Boost ventilátor</t>
        </is>
      </c>
      <c r="C143" s="6" t="inlineStr">
        <is>
          <t>Csőventilátor, elszívó ventilátor</t>
        </is>
      </c>
      <c r="D143" s="6" t="inlineStr"/>
      <c r="E143" s="6" t="inlineStr">
        <is>
          <t>Erős</t>
        </is>
      </c>
      <c r="F143" s="6" t="inlineStr">
        <is>
          <t>az elmúlt 30 napban</t>
        </is>
      </c>
      <c r="G143" s="6" t="inlineStr">
        <is>
          <t>Csőventilátor (Can-Fan, Vents, Prima Klima, AC Infinity, Garden Highpro, DF16)</t>
        </is>
      </c>
    </row>
    <row r="144">
      <c r="A144" s="6" t="inlineStr">
        <is>
          <t>GRO4080</t>
        </is>
      </c>
      <c r="B144" s="6" t="inlineStr">
        <is>
          <t>Prima klima 125WHSP ventilátor (hőmérsékletszabályzós)</t>
        </is>
      </c>
      <c r="C144" s="6" t="inlineStr">
        <is>
          <t>Csőventilátor, elszívó ventilátor</t>
        </is>
      </c>
      <c r="D144" s="6" t="inlineStr">
        <is>
          <t>Klímavezérlő: ventilátor-szabályzó, termosztát, higrosztát</t>
        </is>
      </c>
      <c r="E144" s="6" t="inlineStr">
        <is>
          <t>Erős</t>
        </is>
      </c>
      <c r="F144" s="6" t="inlineStr">
        <is>
          <t>az elmúlt 30 napban</t>
        </is>
      </c>
      <c r="G144" s="6" t="inlineStr">
        <is>
          <t>Csőventilátor beépített / mellékelt szabályzóval (TC, Un, Cloudline)</t>
        </is>
      </c>
    </row>
    <row r="145">
      <c r="A145" s="6" t="inlineStr">
        <is>
          <t>GRO4081</t>
        </is>
      </c>
      <c r="B145" s="6" t="inlineStr">
        <is>
          <t>Prima klima 160WHSP ventilátor (hőmérsékletszabályzós)</t>
        </is>
      </c>
      <c r="C145" s="6" t="inlineStr">
        <is>
          <t>Csőventilátor, elszívó ventilátor</t>
        </is>
      </c>
      <c r="D145" s="6" t="inlineStr">
        <is>
          <t>Klímavezérlő: ventilátor-szabályzó, termosztát, higrosztát</t>
        </is>
      </c>
      <c r="E145" s="6" t="inlineStr">
        <is>
          <t>Erős</t>
        </is>
      </c>
      <c r="F145" s="6" t="inlineStr">
        <is>
          <t>az elmúlt 30 napban</t>
        </is>
      </c>
      <c r="G145" s="6" t="inlineStr">
        <is>
          <t>Csőventilátor beépített / mellékelt szabályzóval (TC, Un, Cloudline)</t>
        </is>
      </c>
    </row>
    <row r="146">
      <c r="A146" s="6" t="inlineStr">
        <is>
          <t>GRO4082</t>
        </is>
      </c>
      <c r="B146" s="6" t="inlineStr">
        <is>
          <t>Prima klima PK200EC-TC ventilátor (hőmérsékletszabályzós)</t>
        </is>
      </c>
      <c r="C146" s="6" t="inlineStr">
        <is>
          <t>Csőventilátor, elszívó ventilátor</t>
        </is>
      </c>
      <c r="D146" s="6" t="inlineStr">
        <is>
          <t>Klímavezérlő: ventilátor-szabályzó, termosztát, higrosztát</t>
        </is>
      </c>
      <c r="E146" s="6" t="inlineStr">
        <is>
          <t>Erős</t>
        </is>
      </c>
      <c r="F146" s="6" t="inlineStr">
        <is>
          <t>az elmúlt 30 napban</t>
        </is>
      </c>
      <c r="G146" s="6" t="inlineStr">
        <is>
          <t>Csőventilátor beépített / mellékelt szabályzóval (TC, Un, Cloudline)</t>
        </is>
      </c>
    </row>
    <row r="147">
      <c r="A147" s="6" t="inlineStr">
        <is>
          <t>GRO4107</t>
        </is>
      </c>
      <c r="B147" s="6" t="inlineStr">
        <is>
          <t>AC Infinity Cloudline Pro S4 ventilátor</t>
        </is>
      </c>
      <c r="C147" s="6" t="inlineStr">
        <is>
          <t>Csőventilátor, elszívó ventilátor</t>
        </is>
      </c>
      <c r="D147" s="6" t="inlineStr"/>
      <c r="E147" s="6" t="inlineStr">
        <is>
          <t>Erős</t>
        </is>
      </c>
      <c r="F147" s="6" t="inlineStr">
        <is>
          <t>az elmúlt 30 napban</t>
        </is>
      </c>
      <c r="G147" s="6" t="inlineStr">
        <is>
          <t>Csőventilátor (Can-Fan, Vents, Prima Klima, AC Infinity, Garden Highpro, DF16)</t>
        </is>
      </c>
    </row>
    <row r="148">
      <c r="A148" s="6" t="inlineStr">
        <is>
          <t>GRO4108</t>
        </is>
      </c>
      <c r="B148" s="6" t="inlineStr">
        <is>
          <t>AC Infinity Cloudline Pro T4 ventilátor</t>
        </is>
      </c>
      <c r="C148" s="6" t="inlineStr">
        <is>
          <t>Csőventilátor, elszívó ventilátor</t>
        </is>
      </c>
      <c r="D148" s="6" t="inlineStr"/>
      <c r="E148" s="6" t="inlineStr">
        <is>
          <t>Erős</t>
        </is>
      </c>
      <c r="F148" s="6" t="inlineStr">
        <is>
          <t>az elmúlt 30 napban</t>
        </is>
      </c>
      <c r="G148" s="6" t="inlineStr">
        <is>
          <t>Csőventilátor (Can-Fan, Vents, Prima Klima, AC Infinity, Garden Highpro, DF16)</t>
        </is>
      </c>
    </row>
    <row r="149">
      <c r="A149" s="6" t="inlineStr">
        <is>
          <t>GRO4118</t>
        </is>
      </c>
      <c r="B149" s="6" t="inlineStr">
        <is>
          <t>Garden Highpro Inline ventilátor (150 mm)</t>
        </is>
      </c>
      <c r="C149" s="6" t="inlineStr">
        <is>
          <t>Csőventilátor, elszívó ventilátor</t>
        </is>
      </c>
      <c r="D149" s="6" t="inlineStr"/>
      <c r="E149" s="6" t="inlineStr">
        <is>
          <t>Erős</t>
        </is>
      </c>
      <c r="F149" s="6" t="inlineStr">
        <is>
          <t>az elmúlt 30 napban</t>
        </is>
      </c>
      <c r="G149" s="6" t="inlineStr">
        <is>
          <t>Csőventilátor (Can-Fan, Vents, Prima Klima, AC Infinity, Garden Highpro, DF16)</t>
        </is>
      </c>
    </row>
    <row r="150">
      <c r="A150" s="6" t="inlineStr">
        <is>
          <t>GRO4121</t>
        </is>
      </c>
      <c r="B150" s="6" t="inlineStr">
        <is>
          <t>Garden Highpro 2 sebességes ventilátor (150 mm)</t>
        </is>
      </c>
      <c r="C150" s="6" t="inlineStr">
        <is>
          <t>Csőventilátor, elszívó ventilátor</t>
        </is>
      </c>
      <c r="D150" s="6" t="inlineStr"/>
      <c r="E150" s="6" t="inlineStr">
        <is>
          <t>Erős</t>
        </is>
      </c>
      <c r="F150" s="6" t="inlineStr">
        <is>
          <t>az elmúlt 30 napban</t>
        </is>
      </c>
      <c r="G150" s="6" t="inlineStr">
        <is>
          <t>Csőventilátor (Can-Fan, Vents, Prima Klima, AC Infinity, Garden Highpro, DF16)</t>
        </is>
      </c>
    </row>
    <row r="151">
      <c r="A151" s="6" t="inlineStr">
        <is>
          <t>GRO4191</t>
        </is>
      </c>
      <c r="B151" s="6" t="inlineStr">
        <is>
          <t>AC Infinity Cloudline Lite A4 ventilátor sebességszabályzóval 100 mm</t>
        </is>
      </c>
      <c r="C151" s="6" t="inlineStr">
        <is>
          <t>Csőventilátor, elszívó ventilátor</t>
        </is>
      </c>
      <c r="D151" s="6" t="inlineStr">
        <is>
          <t>Klímavezérlő: ventilátor-szabályzó, termosztát, higrosztát</t>
        </is>
      </c>
      <c r="E151" s="6" t="inlineStr">
        <is>
          <t>Erős</t>
        </is>
      </c>
      <c r="F151" s="6" t="inlineStr">
        <is>
          <t>az elmúlt 30 napban</t>
        </is>
      </c>
      <c r="G151" s="6" t="inlineStr">
        <is>
          <t>Csőventilátor beépített / mellékelt szabályzóval (TC, Un, Cloudline)</t>
        </is>
      </c>
    </row>
    <row r="152">
      <c r="A152" s="6" t="inlineStr">
        <is>
          <t>GRO4192</t>
        </is>
      </c>
      <c r="B152" s="6" t="inlineStr">
        <is>
          <t>AC Infinity Cloudline Lite A6 ventilátor sebességszabályzóval 150 mm</t>
        </is>
      </c>
      <c r="C152" s="6" t="inlineStr">
        <is>
          <t>Csőventilátor, elszívó ventilátor</t>
        </is>
      </c>
      <c r="D152" s="6" t="inlineStr">
        <is>
          <t>Klímavezérlő: ventilátor-szabályzó, termosztát, higrosztát</t>
        </is>
      </c>
      <c r="E152" s="6" t="inlineStr">
        <is>
          <t>Erős</t>
        </is>
      </c>
      <c r="F152" s="6" t="inlineStr">
        <is>
          <t>az elmúlt 30 napban</t>
        </is>
      </c>
      <c r="G152" s="6" t="inlineStr">
        <is>
          <t>Csőventilátor beépített / mellékelt szabályzóval (TC, Un, Cloudline)</t>
        </is>
      </c>
    </row>
    <row r="153">
      <c r="A153" s="6" t="inlineStr">
        <is>
          <t>GRO4194</t>
        </is>
      </c>
      <c r="B153" s="6" t="inlineStr">
        <is>
          <t>AC Infinity Cloudline pro S6 Inline ventilátor sebességszabályzóval 150 mm</t>
        </is>
      </c>
      <c r="C153" s="6" t="inlineStr">
        <is>
          <t>Csőventilátor, elszívó ventilátor</t>
        </is>
      </c>
      <c r="D153" s="6" t="inlineStr">
        <is>
          <t>Klímavezérlő: ventilátor-szabályzó, termosztát, higrosztát</t>
        </is>
      </c>
      <c r="E153" s="6" t="inlineStr">
        <is>
          <t>Erős</t>
        </is>
      </c>
      <c r="F153" s="6" t="inlineStr">
        <is>
          <t>az elmúlt 30 napban</t>
        </is>
      </c>
      <c r="G153" s="6" t="inlineStr">
        <is>
          <t>Csőventilátor beépített / mellékelt szabályzóval (TC, Un, Cloudline)</t>
        </is>
      </c>
    </row>
    <row r="154">
      <c r="A154" s="6" t="inlineStr">
        <is>
          <t>GRO4195</t>
        </is>
      </c>
      <c r="B154" s="6" t="inlineStr">
        <is>
          <t>AC Infinity Cloudline pro T6 Inline ventillátor hőmérséklet és páratartalom szabályzóval 150 mm</t>
        </is>
      </c>
      <c r="C154" s="6" t="inlineStr">
        <is>
          <t>Csőventilátor, elszívó ventilátor</t>
        </is>
      </c>
      <c r="D154" s="6" t="inlineStr">
        <is>
          <t>Klímavezérlő: ventilátor-szabályzó, termosztát, higrosztát</t>
        </is>
      </c>
      <c r="E154" s="6" t="inlineStr">
        <is>
          <t>Erős</t>
        </is>
      </c>
      <c r="F154" s="6" t="inlineStr">
        <is>
          <t>az elmúlt 30 napban</t>
        </is>
      </c>
      <c r="G154" s="6" t="inlineStr">
        <is>
          <t>Csőventilátor beépített / mellékelt szabályzóval (TC, Un, Cloudline)</t>
        </is>
      </c>
    </row>
    <row r="155">
      <c r="A155" s="6" t="inlineStr">
        <is>
          <t>GRO4280</t>
        </is>
      </c>
      <c r="B155" s="6" t="inlineStr">
        <is>
          <t>Prima Klima PK250-A1 Ventilátor 1 speed 250 mm 1050 m3/h</t>
        </is>
      </c>
      <c r="C155" s="6" t="inlineStr">
        <is>
          <t>Csőventilátor, elszívó ventilátor</t>
        </is>
      </c>
      <c r="D155" s="6" t="inlineStr"/>
      <c r="E155" s="6" t="inlineStr">
        <is>
          <t>Erős</t>
        </is>
      </c>
      <c r="F155" s="6" t="inlineStr">
        <is>
          <t>az elmúlt 30 napban</t>
        </is>
      </c>
      <c r="G155" s="6" t="inlineStr">
        <is>
          <t>Csőventilátor (Can-Fan, Vents, Prima Klima, AC Infinity, Garden Highpro, DF16)</t>
        </is>
      </c>
    </row>
    <row r="156">
      <c r="A156" s="6" t="inlineStr">
        <is>
          <t>GRO4364</t>
        </is>
      </c>
      <c r="B156" s="6" t="inlineStr">
        <is>
          <t>AC Infinity Cloudline T8 Inline ventilátor hőmérséklet és pára szabályzóval 200 mm 1371 m3/h</t>
        </is>
      </c>
      <c r="C156" s="6" t="inlineStr">
        <is>
          <t>Csőventilátor, elszívó ventilátor</t>
        </is>
      </c>
      <c r="D156" s="6" t="inlineStr">
        <is>
          <t>Klímavezérlő: ventilátor-szabályzó, termosztát, higrosztát</t>
        </is>
      </c>
      <c r="E156" s="6" t="inlineStr">
        <is>
          <t>Erős</t>
        </is>
      </c>
      <c r="F156" s="6" t="inlineStr">
        <is>
          <t>az elmúlt 30 napban</t>
        </is>
      </c>
      <c r="G156" s="6" t="inlineStr">
        <is>
          <t>Csőventilátor beépített / mellékelt szabályzóval (TC, Un, Cloudline)</t>
        </is>
      </c>
    </row>
    <row r="157">
      <c r="A157" s="6" t="inlineStr">
        <is>
          <t>GRO4600</t>
        </is>
      </c>
      <c r="B157" s="6" t="inlineStr">
        <is>
          <t>Vents TT 100 EC eco csőventilátor 100 mm, 210 m3/h, fekete</t>
        </is>
      </c>
      <c r="C157" s="6" t="inlineStr">
        <is>
          <t>Csőventilátor, elszívó ventilátor</t>
        </is>
      </c>
      <c r="D157" s="6" t="inlineStr"/>
      <c r="E157" s="6" t="inlineStr">
        <is>
          <t>Erős</t>
        </is>
      </c>
      <c r="F157" s="6" t="inlineStr">
        <is>
          <t>az elmúlt 30 napban</t>
        </is>
      </c>
      <c r="G157" s="6" t="inlineStr">
        <is>
          <t>EC motoros csőventilátor</t>
        </is>
      </c>
    </row>
    <row r="158">
      <c r="A158" s="6" t="inlineStr">
        <is>
          <t>GRO4601</t>
        </is>
      </c>
      <c r="B158" s="6" t="inlineStr">
        <is>
          <t>Vents TT 125 EC Eco csőventilátor 125 mm, 275 m3/h</t>
        </is>
      </c>
      <c r="C158" s="6" t="inlineStr">
        <is>
          <t>Csőventilátor, elszívó ventilátor</t>
        </is>
      </c>
      <c r="D158" s="6" t="inlineStr"/>
      <c r="E158" s="6" t="inlineStr">
        <is>
          <t>Erős</t>
        </is>
      </c>
      <c r="F158" s="6" t="inlineStr">
        <is>
          <t>az elmúlt 30 napban</t>
        </is>
      </c>
      <c r="G158" s="6" t="inlineStr">
        <is>
          <t>EC motoros csőventilátor</t>
        </is>
      </c>
    </row>
    <row r="159">
      <c r="A159" s="6" t="inlineStr">
        <is>
          <t>GRO0795</t>
        </is>
      </c>
      <c r="B159" s="6" t="inlineStr">
        <is>
          <t>Digitális hőmérséklet- és páratartalom-mérő kábel nélkül, minimum és maximum kijelzéssel</t>
        </is>
      </c>
      <c r="C159" s="6" t="inlineStr">
        <is>
          <t>Hő- és páratartalom-mérő</t>
        </is>
      </c>
      <c r="D159" s="6" t="inlineStr"/>
      <c r="E159" s="6" t="inlineStr">
        <is>
          <t>Erős</t>
        </is>
      </c>
      <c r="F159" s="6" t="inlineStr">
        <is>
          <t>az elmúlt 30 napban</t>
        </is>
      </c>
      <c r="G159" s="6" t="inlineStr">
        <is>
          <t>Digitális hő- és páratartalom-mérő (thermo-higrométer) – a Mérőműszer ágban is</t>
        </is>
      </c>
    </row>
    <row r="160">
      <c r="A160" s="6" t="inlineStr">
        <is>
          <t>GRO0796</t>
        </is>
      </c>
      <c r="B160" s="6" t="inlineStr">
        <is>
          <t>Digitális hőmérséklet- és páratartalom-mérő kábellel, minimum és maximum kijelzéssel</t>
        </is>
      </c>
      <c r="C160" s="6" t="inlineStr">
        <is>
          <t>Hő- és páratartalom-mérő</t>
        </is>
      </c>
      <c r="D160" s="6" t="inlineStr"/>
      <c r="E160" s="6" t="inlineStr">
        <is>
          <t>Erős</t>
        </is>
      </c>
      <c r="F160" s="6" t="inlineStr">
        <is>
          <t>az elmúlt 30 napban</t>
        </is>
      </c>
      <c r="G160" s="6" t="inlineStr">
        <is>
          <t>Digitális hő- és páratartalom-mérő (thermo-higrométer) – a Mérőműszer ágban is</t>
        </is>
      </c>
    </row>
    <row r="161">
      <c r="A161" s="6" t="inlineStr">
        <is>
          <t>GRO3565</t>
        </is>
      </c>
      <c r="B161" s="6" t="inlineStr">
        <is>
          <t>Cornwall Electronics digitális hőmérséklet- és páratartalom-mérő</t>
        </is>
      </c>
      <c r="C161" s="6" t="inlineStr">
        <is>
          <t>Hő- és páratartalom-mérő</t>
        </is>
      </c>
      <c r="D161" s="6" t="inlineStr"/>
      <c r="E161" s="6" t="inlineStr">
        <is>
          <t>Erős</t>
        </is>
      </c>
      <c r="F161" s="6" t="inlineStr">
        <is>
          <t>az elmúlt 30 napban</t>
        </is>
      </c>
      <c r="G161" s="6" t="inlineStr">
        <is>
          <t>Digitális hő- és páratartalom-mérő (thermo-higrométer) – a Mérőműszer ágban is</t>
        </is>
      </c>
    </row>
    <row r="162">
      <c r="A162" s="6" t="inlineStr">
        <is>
          <t>GRO4271</t>
        </is>
      </c>
      <c r="B162" s="6" t="inlineStr">
        <is>
          <t>GF Hőmérséklet és páratartalom mérő</t>
        </is>
      </c>
      <c r="C162" s="6" t="inlineStr">
        <is>
          <t>Hő- és páratartalom-mérő</t>
        </is>
      </c>
      <c r="D162" s="6" t="inlineStr"/>
      <c r="E162" s="6" t="inlineStr">
        <is>
          <t>Erős</t>
        </is>
      </c>
      <c r="F162" s="6" t="inlineStr">
        <is>
          <t>az elmúlt 30 napban</t>
        </is>
      </c>
      <c r="G162" s="6" t="inlineStr">
        <is>
          <t>Digitális hő- és páratartalom-mérő (thermo-higrométer) – a Mérőműszer ágban is</t>
        </is>
      </c>
    </row>
    <row r="163">
      <c r="A163" s="6" t="inlineStr">
        <is>
          <t>GRO0774</t>
        </is>
      </c>
      <c r="B163" s="6" t="inlineStr">
        <is>
          <t>Csíptetős ventilátor 15 W, 19 cm, bilinccsel és támasztékkal</t>
        </is>
      </c>
      <c r="C163" s="6" t="inlineStr">
        <is>
          <t>Keringető ventilátor</t>
        </is>
      </c>
      <c r="D163" s="6" t="inlineStr"/>
      <c r="E163" s="6" t="inlineStr">
        <is>
          <t>Erős</t>
        </is>
      </c>
      <c r="F163" s="6" t="inlineStr">
        <is>
          <t>az elmúlt 30 napban</t>
        </is>
      </c>
      <c r="G163" s="6" t="inlineStr">
        <is>
          <t>Csíptetős / padló / fali keringető ventilátor</t>
        </is>
      </c>
    </row>
    <row r="164">
      <c r="A164" s="6" t="inlineStr">
        <is>
          <t>GRO1456</t>
        </is>
      </c>
      <c r="B164" s="6" t="inlineStr">
        <is>
          <t>Cornwall fém padlóventilátor 55 W, 30 cm, 3 sebességfokozattal, állítható dőlésszöggel</t>
        </is>
      </c>
      <c r="C164" s="6" t="inlineStr">
        <is>
          <t>Keringető ventilátor</t>
        </is>
      </c>
      <c r="D164" s="6" t="inlineStr"/>
      <c r="E164" s="6" t="inlineStr">
        <is>
          <t>Erős</t>
        </is>
      </c>
      <c r="F164" s="6" t="inlineStr">
        <is>
          <t>az elmúlt 30 napban</t>
        </is>
      </c>
      <c r="G164" s="6" t="inlineStr">
        <is>
          <t>Csíptetős / padló / fali keringető ventilátor</t>
        </is>
      </c>
    </row>
    <row r="165">
      <c r="A165" s="6" t="inlineStr">
        <is>
          <t>GRO1460</t>
        </is>
      </c>
      <c r="B165" s="6" t="inlineStr">
        <is>
          <t>Cornwall RF 40 padlóventilátor</t>
        </is>
      </c>
      <c r="C165" s="6" t="inlineStr">
        <is>
          <t>Keringető ventilátor</t>
        </is>
      </c>
      <c r="D165" s="6" t="inlineStr"/>
      <c r="E165" s="6" t="inlineStr">
        <is>
          <t>Erős</t>
        </is>
      </c>
      <c r="F165" s="6" t="inlineStr">
        <is>
          <t>az elmúlt 30 napban</t>
        </is>
      </c>
      <c r="G165" s="6" t="inlineStr">
        <is>
          <t>Csíptetős / padló / fali keringető ventilátor</t>
        </is>
      </c>
    </row>
    <row r="166">
      <c r="A166" s="6" t="inlineStr">
        <is>
          <t>GRO3433</t>
        </is>
      </c>
      <c r="B166" s="6" t="inlineStr">
        <is>
          <t>Cornwall Electronics csíptethető oszcilláló ventilátor</t>
        </is>
      </c>
      <c r="C166" s="6" t="inlineStr">
        <is>
          <t>Keringető ventilátor</t>
        </is>
      </c>
      <c r="D166" s="6" t="inlineStr"/>
      <c r="E166" s="6" t="inlineStr">
        <is>
          <t>Erős</t>
        </is>
      </c>
      <c r="F166" s="6" t="inlineStr">
        <is>
          <t>az elmúlt 30 napban</t>
        </is>
      </c>
      <c r="G166" s="6" t="inlineStr">
        <is>
          <t>Csíptetős / padló / fali keringető ventilátor</t>
        </is>
      </c>
    </row>
    <row r="167">
      <c r="A167" s="6" t="inlineStr">
        <is>
          <t>GRO3865</t>
        </is>
      </c>
      <c r="B167" s="6" t="inlineStr">
        <is>
          <t>Secret Jardin Monkey Fan ventilátor 1,5 W</t>
        </is>
      </c>
      <c r="C167" s="6" t="inlineStr">
        <is>
          <t>Keringető ventilátor</t>
        </is>
      </c>
      <c r="D167" s="6" t="inlineStr"/>
      <c r="E167" s="6" t="inlineStr">
        <is>
          <t>Erős</t>
        </is>
      </c>
      <c r="F167" s="6" t="inlineStr">
        <is>
          <t>az elmúlt 30 napban</t>
        </is>
      </c>
      <c r="G167" s="6" t="inlineStr">
        <is>
          <t>Csíptetős / padló / fali keringető ventilátor</t>
        </is>
      </c>
    </row>
    <row r="168">
      <c r="A168" s="6" t="inlineStr">
        <is>
          <t>GRO3866</t>
        </is>
      </c>
      <c r="B168" s="6" t="inlineStr">
        <is>
          <t>Secret Jardin Monkey Fan ventilátor 2,85 W</t>
        </is>
      </c>
      <c r="C168" s="6" t="inlineStr">
        <is>
          <t>Keringető ventilátor</t>
        </is>
      </c>
      <c r="D168" s="6" t="inlineStr"/>
      <c r="E168" s="6" t="inlineStr">
        <is>
          <t>Erős</t>
        </is>
      </c>
      <c r="F168" s="6" t="inlineStr">
        <is>
          <t>az elmúlt 30 napban</t>
        </is>
      </c>
      <c r="G168" s="6" t="inlineStr">
        <is>
          <t>Csíptetős / padló / fali keringető ventilátor</t>
        </is>
      </c>
    </row>
    <row r="169">
      <c r="A169" s="6" t="inlineStr">
        <is>
          <t>GRO3891</t>
        </is>
      </c>
      <c r="B169" s="6" t="inlineStr">
        <is>
          <t>Cornwall Electronics álló ventilátor</t>
        </is>
      </c>
      <c r="C169" s="6" t="inlineStr">
        <is>
          <t>Keringető ventilátor</t>
        </is>
      </c>
      <c r="D169" s="6" t="inlineStr"/>
      <c r="E169" s="6" t="inlineStr">
        <is>
          <t>Erős</t>
        </is>
      </c>
      <c r="F169" s="6" t="inlineStr">
        <is>
          <t>az elmúlt 30 napban</t>
        </is>
      </c>
      <c r="G169" s="6" t="inlineStr">
        <is>
          <t>Csíptetős / padló / fali keringető ventilátor</t>
        </is>
      </c>
    </row>
    <row r="170">
      <c r="A170" s="6" t="inlineStr">
        <is>
          <t>GRO3892</t>
        </is>
      </c>
      <c r="B170" s="6" t="inlineStr">
        <is>
          <t>Cornwall Electronics fali ventilátor</t>
        </is>
      </c>
      <c r="C170" s="6" t="inlineStr">
        <is>
          <t>Keringető ventilátor</t>
        </is>
      </c>
      <c r="D170" s="6" t="inlineStr"/>
      <c r="E170" s="6" t="inlineStr">
        <is>
          <t>Erős</t>
        </is>
      </c>
      <c r="F170" s="6" t="inlineStr">
        <is>
          <t>az elmúlt 30 napban</t>
        </is>
      </c>
      <c r="G170" s="6" t="inlineStr">
        <is>
          <t>Csíptetős / padló / fali keringető ventilátor</t>
        </is>
      </c>
    </row>
    <row r="171">
      <c r="A171" s="6" t="inlineStr">
        <is>
          <t>GRO4196</t>
        </is>
      </c>
      <c r="B171" s="6" t="inlineStr">
        <is>
          <t>AC Infinity Cloudray S6 GEN2 csíptethető ventillátor 10 sebességes automatikus oszcilláló 150 mm 535m3/h</t>
        </is>
      </c>
      <c r="C171" s="6" t="inlineStr">
        <is>
          <t>Keringető ventilátor</t>
        </is>
      </c>
      <c r="D171" s="6" t="inlineStr"/>
      <c r="E171" s="6" t="inlineStr">
        <is>
          <t>Erős</t>
        </is>
      </c>
      <c r="F171" s="6" t="inlineStr">
        <is>
          <t>az elmúlt 30 napban</t>
        </is>
      </c>
      <c r="G171" s="6" t="inlineStr">
        <is>
          <t>Csíptetős / padló / fali keringető ventilátor</t>
        </is>
      </c>
    </row>
    <row r="172">
      <c r="A172" s="6" t="inlineStr">
        <is>
          <t>GRO4197</t>
        </is>
      </c>
      <c r="B172" s="6" t="inlineStr">
        <is>
          <t>AC Infinity Cloudray S9 GEN2 csíptethető ventilátor 10 sebességes automatikus oszcilláló 225mm 688m3/h</t>
        </is>
      </c>
      <c r="C172" s="6" t="inlineStr">
        <is>
          <t>Keringető ventilátor</t>
        </is>
      </c>
      <c r="D172" s="6" t="inlineStr"/>
      <c r="E172" s="6" t="inlineStr">
        <is>
          <t>Erős</t>
        </is>
      </c>
      <c r="F172" s="6" t="inlineStr">
        <is>
          <t>az elmúlt 30 napban</t>
        </is>
      </c>
      <c r="G172" s="6" t="inlineStr">
        <is>
          <t>Csíptetős / padló / fali keringető ventilátor</t>
        </is>
      </c>
    </row>
    <row r="173">
      <c r="A173" s="6" t="inlineStr">
        <is>
          <t>GRO4208</t>
        </is>
      </c>
      <c r="B173" s="6" t="inlineStr">
        <is>
          <t>AC Infinity Cloudray A6 csíptethető ventilátor 10 sebességes manuális 150 mm</t>
        </is>
      </c>
      <c r="C173" s="6" t="inlineStr">
        <is>
          <t>Keringető ventilátor</t>
        </is>
      </c>
      <c r="D173" s="6" t="inlineStr"/>
      <c r="E173" s="6" t="inlineStr">
        <is>
          <t>Erős</t>
        </is>
      </c>
      <c r="F173" s="6" t="inlineStr">
        <is>
          <t>az elmúlt 30 napban</t>
        </is>
      </c>
      <c r="G173" s="6" t="inlineStr">
        <is>
          <t>Csíptetős / padló / fali keringető ventilátor</t>
        </is>
      </c>
    </row>
    <row r="174">
      <c r="A174" s="6" t="inlineStr">
        <is>
          <t>GRO4242</t>
        </is>
      </c>
      <c r="B174" s="6" t="inlineStr">
        <is>
          <t>GF Ventilátor csíptethető,oszcilláló d: 15 cm</t>
        </is>
      </c>
      <c r="C174" s="6" t="inlineStr">
        <is>
          <t>Keringető ventilátor</t>
        </is>
      </c>
      <c r="D174" s="6" t="inlineStr"/>
      <c r="E174" s="6" t="inlineStr">
        <is>
          <t>Erős</t>
        </is>
      </c>
      <c r="F174" s="6" t="inlineStr">
        <is>
          <t>az elmúlt 30 napban</t>
        </is>
      </c>
      <c r="G174" s="6" t="inlineStr">
        <is>
          <t>Csíptetős / padló / fali keringető ventilátor</t>
        </is>
      </c>
    </row>
    <row r="175">
      <c r="A175" s="6" t="inlineStr">
        <is>
          <t>GRO4381</t>
        </is>
      </c>
      <c r="B175" s="6" t="inlineStr">
        <is>
          <t>Secret Jardin Monkey Fan csíptethető ventilátor 18 cm 6,5 W</t>
        </is>
      </c>
      <c r="C175" s="6" t="inlineStr">
        <is>
          <t>Keringető ventilátor</t>
        </is>
      </c>
      <c r="D175" s="6" t="inlineStr"/>
      <c r="E175" s="6" t="inlineStr">
        <is>
          <t>Erős</t>
        </is>
      </c>
      <c r="F175" s="6" t="inlineStr">
        <is>
          <t>az elmúlt 30 napban</t>
        </is>
      </c>
      <c r="G175" s="6" t="inlineStr">
        <is>
          <t>Csíptetős / padló / fali keringető ventilátor</t>
        </is>
      </c>
    </row>
    <row r="176">
      <c r="A176" s="6" t="inlineStr">
        <is>
          <t>GRO0788</t>
        </is>
      </c>
      <c r="B176" s="6" t="inlineStr">
        <is>
          <t>Dimmerkapcsoló ventilátorokhoz és elszívókhoz 0-300 W, konnektorba dugható</t>
        </is>
      </c>
      <c r="C176" s="6" t="inlineStr">
        <is>
          <t>Klímavezérlő: ventilátor-szabályzó, termosztát, higrosztát</t>
        </is>
      </c>
      <c r="D176" s="6" t="inlineStr"/>
      <c r="E176" s="6" t="inlineStr">
        <is>
          <t>Erős</t>
        </is>
      </c>
      <c r="F176" s="6" t="inlineStr">
        <is>
          <t>az elmúlt 30 napban</t>
        </is>
      </c>
      <c r="G176" s="6" t="inlineStr">
        <is>
          <t>Ventilátor fordulatszám-, hőmérséklet-, nyomásszabályzó, környezeti vezérlő</t>
        </is>
      </c>
    </row>
    <row r="177">
      <c r="A177" s="6" t="inlineStr">
        <is>
          <t>GRO0789</t>
        </is>
      </c>
      <c r="B177" s="6" t="inlineStr">
        <is>
          <t>Digitális hőmérséklet-szabályozó termosztát fűtéshez és hűtéshez 3600 W-ig</t>
        </is>
      </c>
      <c r="C177" s="6" t="inlineStr">
        <is>
          <t>Klímavezérlő: ventilátor-szabályzó, termosztát, higrosztát</t>
        </is>
      </c>
      <c r="D177" s="6" t="inlineStr"/>
      <c r="E177" s="6" t="inlineStr">
        <is>
          <t>Erős</t>
        </is>
      </c>
      <c r="F177" s="6" t="inlineStr">
        <is>
          <t>az elmúlt 30 napban</t>
        </is>
      </c>
      <c r="G177" s="6" t="inlineStr">
        <is>
          <t>Termosztát (fűtés / hűtés / ventilátor kapcsolása)</t>
        </is>
      </c>
    </row>
    <row r="178">
      <c r="A178" s="6" t="inlineStr">
        <is>
          <t>GRO0790</t>
        </is>
      </c>
      <c r="B178" s="6" t="inlineStr">
        <is>
          <t>Digitális páratartalom-szabályozó párásításhoz és párátlanításhoz 30-90%</t>
        </is>
      </c>
      <c r="C178" s="6" t="inlineStr">
        <is>
          <t>Klímavezérlő: ventilátor-szabályzó, termosztát, higrosztát</t>
        </is>
      </c>
      <c r="D178" s="6" t="inlineStr">
        <is>
          <t>Párásító, Páramentesítő</t>
        </is>
      </c>
      <c r="E178" s="6" t="inlineStr">
        <is>
          <t>Erős</t>
        </is>
      </c>
      <c r="F178" s="6" t="inlineStr">
        <is>
          <t>az elmúlt 30 napban</t>
        </is>
      </c>
      <c r="G178" s="6" t="inlineStr">
        <is>
          <t>Páratartalom-szabályzó (higrosztát)</t>
        </is>
      </c>
    </row>
    <row r="179">
      <c r="A179" s="6" t="inlineStr">
        <is>
          <t>GRO1237</t>
        </is>
      </c>
      <c r="B179" s="6" t="inlineStr">
        <is>
          <t>Digitális ventilátorszabályzó páratartalom, hőmérséklet és negatív nyomás szerint, 230 V</t>
        </is>
      </c>
      <c r="C179" s="6" t="inlineStr">
        <is>
          <t>Klímavezérlő: ventilátor-szabályzó, termosztát, higrosztát</t>
        </is>
      </c>
      <c r="D179" s="6" t="inlineStr"/>
      <c r="E179" s="6" t="inlineStr">
        <is>
          <t>Erős</t>
        </is>
      </c>
      <c r="F179" s="6" t="inlineStr">
        <is>
          <t>az elmúlt 30 napban</t>
        </is>
      </c>
      <c r="G179" s="6" t="inlineStr">
        <is>
          <t>Ventilátor fordulatszám-, hőmérséklet-, nyomásszabályzó, környezeti vezérlő</t>
        </is>
      </c>
    </row>
    <row r="180">
      <c r="A180" s="6" t="inlineStr">
        <is>
          <t>GRO1239</t>
        </is>
      </c>
      <c r="B180" s="6" t="inlineStr">
        <is>
          <t>Digitális hőmérséklet és minimum sebesség szabályzó ventilátorokhoz, 230 V, 600 W</t>
        </is>
      </c>
      <c r="C180" s="6" t="inlineStr">
        <is>
          <t>Klímavezérlő: ventilátor-szabályzó, termosztát, higrosztát</t>
        </is>
      </c>
      <c r="D180" s="6" t="inlineStr"/>
      <c r="E180" s="6" t="inlineStr">
        <is>
          <t>Erős</t>
        </is>
      </c>
      <c r="F180" s="6" t="inlineStr">
        <is>
          <t>az elmúlt 30 napban</t>
        </is>
      </c>
      <c r="G180" s="6" t="inlineStr">
        <is>
          <t>Ventilátor fordulatszám-, hőmérséklet-, nyomásszabályzó, környezeti vezérlő</t>
        </is>
      </c>
    </row>
    <row r="181">
      <c r="A181" s="6" t="inlineStr">
        <is>
          <t>GRO1439</t>
        </is>
      </c>
      <c r="B181" s="6" t="inlineStr">
        <is>
          <t>Superpro AC-1 analóg klímaszabályzó hőmérséklet, páratartalom és CO2 vezérléséhez</t>
        </is>
      </c>
      <c r="C181" s="6" t="inlineStr">
        <is>
          <t>Klímavezérlő: ventilátor-szabályzó, termosztát, higrosztát</t>
        </is>
      </c>
      <c r="D181" s="6" t="inlineStr">
        <is>
          <t>CO2-pótlás, CO2-mérő</t>
        </is>
      </c>
      <c r="E181" s="6" t="inlineStr">
        <is>
          <t>Erős</t>
        </is>
      </c>
      <c r="F181" s="6" t="inlineStr">
        <is>
          <t>az elmúlt 30 napban</t>
        </is>
      </c>
      <c r="G181" s="6" t="inlineStr">
        <is>
          <t>Superpro klímaszabályzó (hő, pára, CO2)</t>
        </is>
      </c>
    </row>
    <row r="182">
      <c r="A182" s="6" t="inlineStr">
        <is>
          <t>GRO2039</t>
        </is>
      </c>
      <c r="B182" s="6" t="inlineStr">
        <is>
          <t>Vents VK Un termosztát + dimmer kapcsoló + kábel 125 Un</t>
        </is>
      </c>
      <c r="C182" s="6" t="inlineStr">
        <is>
          <t>Klímavezérlő: ventilátor-szabályzó, termosztát, higrosztát</t>
        </is>
      </c>
      <c r="D182" s="6" t="inlineStr"/>
      <c r="E182" s="6" t="inlineStr">
        <is>
          <t>Erős</t>
        </is>
      </c>
      <c r="F182" s="6" t="inlineStr">
        <is>
          <t>az elmúlt 30 napban</t>
        </is>
      </c>
      <c r="G182" s="6" t="inlineStr">
        <is>
          <t>Ventilátor fordulatszám-, hőmérséklet-, nyomásszabályzó, környezeti vezérlő</t>
        </is>
      </c>
    </row>
    <row r="183">
      <c r="A183" s="6" t="inlineStr">
        <is>
          <t>GRO2132</t>
        </is>
      </c>
      <c r="B183" s="6" t="inlineStr">
        <is>
          <t>Vents VK Un termosztát + dimmer kapcsoló + kábel 250 Un</t>
        </is>
      </c>
      <c r="C183" s="6" t="inlineStr">
        <is>
          <t>Klímavezérlő: ventilátor-szabályzó, termosztát, higrosztát</t>
        </is>
      </c>
      <c r="D183" s="6" t="inlineStr"/>
      <c r="E183" s="6" t="inlineStr">
        <is>
          <t>Erős</t>
        </is>
      </c>
      <c r="F183" s="6" t="inlineStr">
        <is>
          <t>az elmúlt 30 napban</t>
        </is>
      </c>
      <c r="G183" s="6" t="inlineStr">
        <is>
          <t>Ventilátor fordulatszám-, hőmérséklet-, nyomásszabályzó, környezeti vezérlő</t>
        </is>
      </c>
    </row>
    <row r="184">
      <c r="A184" s="6" t="inlineStr">
        <is>
          <t>GRO2392</t>
        </is>
      </c>
      <c r="B184" s="6" t="inlineStr">
        <is>
          <t>Vents RT-10 mechanikus hőmérséklet-szabályzó termosztát 10–30 °C, 230 V, 10 A</t>
        </is>
      </c>
      <c r="C184" s="6" t="inlineStr">
        <is>
          <t>Klímavezérlő: ventilátor-szabályzó, termosztát, higrosztát</t>
        </is>
      </c>
      <c r="D184" s="6" t="inlineStr"/>
      <c r="E184" s="6" t="inlineStr">
        <is>
          <t>Erős</t>
        </is>
      </c>
      <c r="F184" s="6" t="inlineStr">
        <is>
          <t>az elmúlt 30 napban</t>
        </is>
      </c>
      <c r="G184" s="6" t="inlineStr">
        <is>
          <t>Termosztát (fűtés / hűtés / ventilátor kapcsolása)</t>
        </is>
      </c>
    </row>
    <row r="185">
      <c r="A185" s="6" t="inlineStr">
        <is>
          <t>GRO2799</t>
        </is>
      </c>
      <c r="B185" s="6" t="inlineStr">
        <is>
          <t>Digitális termosztát és időkapcsoló 0–40 °C, 16 A, fűtéshez, 1 m-es vízálló hőérzékelővel</t>
        </is>
      </c>
      <c r="C185" s="6" t="inlineStr">
        <is>
          <t>Klímavezérlő: ventilátor-szabályzó, termosztát, higrosztát</t>
        </is>
      </c>
      <c r="D185" s="6" t="inlineStr"/>
      <c r="E185" s="6" t="inlineStr">
        <is>
          <t>Erős</t>
        </is>
      </c>
      <c r="F185" s="6" t="inlineStr">
        <is>
          <t>az elmúlt 30 napban</t>
        </is>
      </c>
      <c r="G185" s="6" t="inlineStr">
        <is>
          <t>Termosztát (fűtés / hűtés / ventilátor kapcsolása)</t>
        </is>
      </c>
    </row>
    <row r="186">
      <c r="A186" s="6" t="inlineStr">
        <is>
          <t>GRO3184</t>
        </is>
      </c>
      <c r="B186" s="6" t="inlineStr">
        <is>
          <t>GSE hőmérséklet-szabályzó 1 ventilátorhoz, 2 A, 230 V, minimum fordulat beállítással</t>
        </is>
      </c>
      <c r="C186" s="6" t="inlineStr">
        <is>
          <t>Klímavezérlő: ventilátor-szabályzó, termosztát, higrosztát</t>
        </is>
      </c>
      <c r="D186" s="6" t="inlineStr"/>
      <c r="E186" s="6" t="inlineStr">
        <is>
          <t>Erős</t>
        </is>
      </c>
      <c r="F186" s="6" t="inlineStr">
        <is>
          <t>az elmúlt 30 napban</t>
        </is>
      </c>
      <c r="G186" s="6" t="inlineStr">
        <is>
          <t>Ventilátor fordulatszám-, hőmérséklet-, nyomásszabályzó, környezeti vezérlő</t>
        </is>
      </c>
    </row>
    <row r="187">
      <c r="A187" s="6" t="inlineStr">
        <is>
          <t>GRO3272</t>
        </is>
      </c>
      <c r="B187" s="6" t="inlineStr">
        <is>
          <t>CAN-Fan LCD EC ventilátor vezérlő</t>
        </is>
      </c>
      <c r="C187" s="6" t="inlineStr">
        <is>
          <t>Klímavezérlő: ventilátor-szabályzó, termosztát, higrosztát</t>
        </is>
      </c>
      <c r="D187" s="6" t="inlineStr"/>
      <c r="E187" s="6" t="inlineStr">
        <is>
          <t>Erős</t>
        </is>
      </c>
      <c r="F187" s="6" t="inlineStr">
        <is>
          <t>az elmúlt 30 napban</t>
        </is>
      </c>
      <c r="G187" s="6" t="inlineStr">
        <is>
          <t>Ventilátor fordulatszám-, hőmérséklet-, nyomásszabályzó, környezeti vezérlő</t>
        </is>
      </c>
    </row>
    <row r="188">
      <c r="A188" s="6" t="inlineStr">
        <is>
          <t>GRO3376</t>
        </is>
      </c>
      <c r="B188" s="6" t="inlineStr">
        <is>
          <t>GSE hőmérséklet- és minimum sebesség szabályzó</t>
        </is>
      </c>
      <c r="C188" s="6" t="inlineStr">
        <is>
          <t>Klímavezérlő: ventilátor-szabályzó, termosztát, higrosztát</t>
        </is>
      </c>
      <c r="D188" s="6" t="inlineStr"/>
      <c r="E188" s="6" t="inlineStr">
        <is>
          <t>Erős</t>
        </is>
      </c>
      <c r="F188" s="6" t="inlineStr">
        <is>
          <t>az elmúlt 30 napban</t>
        </is>
      </c>
      <c r="G188" s="6" t="inlineStr">
        <is>
          <t>Ventilátor fordulatszám-, hőmérséklet-, nyomásszabályzó, környezeti vezérlő</t>
        </is>
      </c>
    </row>
    <row r="189">
      <c r="A189" s="6" t="inlineStr">
        <is>
          <t>GRO4198</t>
        </is>
      </c>
      <c r="B189" s="6" t="inlineStr">
        <is>
          <t>AC Infinity Controller 69 Pro Bluetooth+WiFi 4 eszköz független vezérléséhez</t>
        </is>
      </c>
      <c r="C189" s="6" t="inlineStr">
        <is>
          <t>Klímavezérlő: ventilátor-szabályzó, termosztát, higrosztát</t>
        </is>
      </c>
      <c r="D189" s="6" t="inlineStr"/>
      <c r="E189" s="6" t="inlineStr">
        <is>
          <t>Erős</t>
        </is>
      </c>
      <c r="F189" s="6" t="inlineStr">
        <is>
          <t>az elmúlt 30 napban</t>
        </is>
      </c>
      <c r="G189" s="6" t="inlineStr">
        <is>
          <t>Ventilátor fordulatszám-, hőmérséklet-, nyomásszabályzó, környezeti vezérlő</t>
        </is>
      </c>
    </row>
    <row r="190">
      <c r="A190" s="6" t="inlineStr">
        <is>
          <t>GRO4199</t>
        </is>
      </c>
      <c r="B190" s="6" t="inlineStr">
        <is>
          <t>AC Infinity Controller AI+ intelligens környezeti vezérlés</t>
        </is>
      </c>
      <c r="C190" s="6" t="inlineStr">
        <is>
          <t>Klímavezérlő: ventilátor-szabályzó, termosztát, higrosztát</t>
        </is>
      </c>
      <c r="D190" s="6" t="inlineStr"/>
      <c r="E190" s="6" t="inlineStr">
        <is>
          <t>Erős</t>
        </is>
      </c>
      <c r="F190" s="6" t="inlineStr">
        <is>
          <t>az elmúlt 30 napban</t>
        </is>
      </c>
      <c r="G190" s="6" t="inlineStr">
        <is>
          <t>Ventilátor fordulatszám-, hőmérséklet-, nyomásszabályzó, környezeti vezérlő</t>
        </is>
      </c>
    </row>
    <row r="191">
      <c r="A191" s="6" t="inlineStr">
        <is>
          <t>GRO4339</t>
        </is>
      </c>
      <c r="B191" s="6" t="inlineStr">
        <is>
          <t>OptiClimate Maxi Controller vezérlőegység 5 m interlink kábellel</t>
        </is>
      </c>
      <c r="C191" s="6" t="inlineStr">
        <is>
          <t>Klímavezérlő: ventilátor-szabályzó, termosztát, higrosztát</t>
        </is>
      </c>
      <c r="D191" s="6" t="inlineStr"/>
      <c r="E191" s="6" t="inlineStr">
        <is>
          <t>Erős</t>
        </is>
      </c>
      <c r="F191" s="6" t="inlineStr">
        <is>
          <t>az elmúlt 30 napban</t>
        </is>
      </c>
      <c r="G191" s="6" t="inlineStr">
        <is>
          <t>Ventilátor fordulatszám-, hőmérséklet-, nyomásszabályzó, környezeti vezérlő</t>
        </is>
      </c>
    </row>
    <row r="192">
      <c r="A192" s="6" t="inlineStr">
        <is>
          <t>GRO0306</t>
        </is>
      </c>
      <c r="B192" s="6" t="inlineStr">
        <is>
          <t>Flexibilis alumínium légcsatorna cső Aluflex 102 mm, 10 m</t>
        </is>
      </c>
      <c r="C192" s="6" t="inlineStr">
        <is>
          <t>Légtechnikai cső, idom, bilincs</t>
        </is>
      </c>
      <c r="D192" s="6" t="inlineStr"/>
      <c r="E192" s="6" t="inlineStr">
        <is>
          <t>Erős</t>
        </is>
      </c>
      <c r="F192" s="6" t="inlineStr">
        <is>
          <t>az elmúlt 30 napban</t>
        </is>
      </c>
      <c r="G192" s="6" t="inlineStr">
        <is>
          <t>Flexibilis légcsatorna cső (Aluflex, Sonoflex, Combiflex)</t>
        </is>
      </c>
    </row>
    <row r="193">
      <c r="A193" s="6" t="inlineStr">
        <is>
          <t>GRO0307</t>
        </is>
      </c>
      <c r="B193" s="6" t="inlineStr">
        <is>
          <t>Flexibilis alumínium légcsatorna cső Aluflex 127 mm, 10 m</t>
        </is>
      </c>
      <c r="C193" s="6" t="inlineStr">
        <is>
          <t>Légtechnikai cső, idom, bilincs</t>
        </is>
      </c>
      <c r="D193" s="6" t="inlineStr"/>
      <c r="E193" s="6" t="inlineStr">
        <is>
          <t>Erős</t>
        </is>
      </c>
      <c r="F193" s="6" t="inlineStr">
        <is>
          <t>az elmúlt 30 napban</t>
        </is>
      </c>
      <c r="G193" s="6" t="inlineStr">
        <is>
          <t>Flexibilis légcsatorna cső (Aluflex, Sonoflex, Combiflex)</t>
        </is>
      </c>
    </row>
    <row r="194">
      <c r="A194" s="6" t="inlineStr">
        <is>
          <t>GRO0308</t>
        </is>
      </c>
      <c r="B194" s="6" t="inlineStr">
        <is>
          <t>Flexibilis alumínium légcsatorna cső Aluflex 152 mm, 10 m</t>
        </is>
      </c>
      <c r="C194" s="6" t="inlineStr">
        <is>
          <t>Légtechnikai cső, idom, bilincs</t>
        </is>
      </c>
      <c r="D194" s="6" t="inlineStr"/>
      <c r="E194" s="6" t="inlineStr">
        <is>
          <t>Erős</t>
        </is>
      </c>
      <c r="F194" s="6" t="inlineStr">
        <is>
          <t>az elmúlt 30 napban</t>
        </is>
      </c>
      <c r="G194" s="6" t="inlineStr">
        <is>
          <t>Flexibilis légcsatorna cső (Aluflex, Sonoflex, Combiflex)</t>
        </is>
      </c>
    </row>
    <row r="195">
      <c r="A195" s="6" t="inlineStr">
        <is>
          <t>GRO0310</t>
        </is>
      </c>
      <c r="B195" s="6" t="inlineStr">
        <is>
          <t>Flexibilis alumínium légcsatorna cső Aluflex 203 mm, 10 m</t>
        </is>
      </c>
      <c r="C195" s="6" t="inlineStr">
        <is>
          <t>Légtechnikai cső, idom, bilincs</t>
        </is>
      </c>
      <c r="D195" s="6" t="inlineStr"/>
      <c r="E195" s="6" t="inlineStr">
        <is>
          <t>Erős</t>
        </is>
      </c>
      <c r="F195" s="6" t="inlineStr">
        <is>
          <t>az elmúlt 30 napban</t>
        </is>
      </c>
      <c r="G195" s="6" t="inlineStr">
        <is>
          <t>Flexibilis légcsatorna cső (Aluflex, Sonoflex, Combiflex)</t>
        </is>
      </c>
    </row>
    <row r="196">
      <c r="A196" s="6" t="inlineStr">
        <is>
          <t>GRO0312</t>
        </is>
      </c>
      <c r="B196" s="6" t="inlineStr">
        <is>
          <t>Flexibilis alumínium légcsatorna cső Aluflex 315 mm, 10 m</t>
        </is>
      </c>
      <c r="C196" s="6" t="inlineStr">
        <is>
          <t>Légtechnikai cső, idom, bilincs</t>
        </is>
      </c>
      <c r="D196" s="6" t="inlineStr"/>
      <c r="E196" s="6" t="inlineStr">
        <is>
          <t>Erős</t>
        </is>
      </c>
      <c r="F196" s="6" t="inlineStr">
        <is>
          <t>az elmúlt 30 napban</t>
        </is>
      </c>
      <c r="G196" s="6" t="inlineStr">
        <is>
          <t>Flexibilis légcsatorna cső (Aluflex, Sonoflex, Combiflex)</t>
        </is>
      </c>
    </row>
    <row r="197">
      <c r="A197" s="6" t="inlineStr">
        <is>
          <t>GRO0317</t>
        </is>
      </c>
      <c r="B197" s="6" t="inlineStr">
        <is>
          <t>Sonoflex hang- és hőszigetelt flexibilis légcsatorna cső 102 mm, 10 m</t>
        </is>
      </c>
      <c r="C197" s="6" t="inlineStr">
        <is>
          <t>Légtechnikai cső, idom, bilincs</t>
        </is>
      </c>
      <c r="D197" s="6" t="inlineStr"/>
      <c r="E197" s="6" t="inlineStr">
        <is>
          <t>Erős</t>
        </is>
      </c>
      <c r="F197" s="6" t="inlineStr">
        <is>
          <t>az elmúlt 30 napban</t>
        </is>
      </c>
      <c r="G197" s="6" t="inlineStr">
        <is>
          <t>Flexibilis légcsatorna cső (Aluflex, Sonoflex, Combiflex)</t>
        </is>
      </c>
    </row>
    <row r="198">
      <c r="A198" s="6" t="inlineStr">
        <is>
          <t>GRO0318</t>
        </is>
      </c>
      <c r="B198" s="6" t="inlineStr">
        <is>
          <t>Sonoflex hang- és hőszigetelt flexibilis légcsatorna cső 127 mm, 10 m</t>
        </is>
      </c>
      <c r="C198" s="6" t="inlineStr">
        <is>
          <t>Légtechnikai cső, idom, bilincs</t>
        </is>
      </c>
      <c r="D198" s="6" t="inlineStr"/>
      <c r="E198" s="6" t="inlineStr">
        <is>
          <t>Erős</t>
        </is>
      </c>
      <c r="F198" s="6" t="inlineStr">
        <is>
          <t>az elmúlt 30 napban</t>
        </is>
      </c>
      <c r="G198" s="6" t="inlineStr">
        <is>
          <t>Flexibilis légcsatorna cső (Aluflex, Sonoflex, Combiflex)</t>
        </is>
      </c>
    </row>
    <row r="199">
      <c r="A199" s="6" t="inlineStr">
        <is>
          <t>GRO0319</t>
        </is>
      </c>
      <c r="B199" s="6" t="inlineStr">
        <is>
          <t>Sonoflex hang- és hőszigetelt flexibilis légcsatorna cső 152 mm, 10 m</t>
        </is>
      </c>
      <c r="C199" s="6" t="inlineStr">
        <is>
          <t>Légtechnikai cső, idom, bilincs</t>
        </is>
      </c>
      <c r="D199" s="6" t="inlineStr"/>
      <c r="E199" s="6" t="inlineStr">
        <is>
          <t>Erős</t>
        </is>
      </c>
      <c r="F199" s="6" t="inlineStr">
        <is>
          <t>az elmúlt 30 napban</t>
        </is>
      </c>
      <c r="G199" s="6" t="inlineStr">
        <is>
          <t>Flexibilis légcsatorna cső (Aluflex, Sonoflex, Combiflex)</t>
        </is>
      </c>
    </row>
    <row r="200">
      <c r="A200" s="6" t="inlineStr">
        <is>
          <t>GRO0321</t>
        </is>
      </c>
      <c r="B200" s="6" t="inlineStr">
        <is>
          <t>Sonoflex hang- és hőszigetelt flexibilis légcsatorna cső 203 mm, 10 m</t>
        </is>
      </c>
      <c r="C200" s="6" t="inlineStr">
        <is>
          <t>Légtechnikai cső, idom, bilincs</t>
        </is>
      </c>
      <c r="D200" s="6" t="inlineStr"/>
      <c r="E200" s="6" t="inlineStr">
        <is>
          <t>Erős</t>
        </is>
      </c>
      <c r="F200" s="6" t="inlineStr">
        <is>
          <t>az elmúlt 30 napban</t>
        </is>
      </c>
      <c r="G200" s="6" t="inlineStr">
        <is>
          <t>Flexibilis légcsatorna cső (Aluflex, Sonoflex, Combiflex)</t>
        </is>
      </c>
    </row>
    <row r="201">
      <c r="A201" s="6" t="inlineStr">
        <is>
          <t>GRO0322</t>
        </is>
      </c>
      <c r="B201" s="6" t="inlineStr">
        <is>
          <t>Sonoflex hang- és hőszigetelt flexibilis légcsatorna cső 254 mm, 10 m</t>
        </is>
      </c>
      <c r="C201" s="6" t="inlineStr">
        <is>
          <t>Légtechnikai cső, idom, bilincs</t>
        </is>
      </c>
      <c r="D201" s="6" t="inlineStr"/>
      <c r="E201" s="6" t="inlineStr">
        <is>
          <t>Erős</t>
        </is>
      </c>
      <c r="F201" s="6" t="inlineStr">
        <is>
          <t>az elmúlt 30 napban</t>
        </is>
      </c>
      <c r="G201" s="6" t="inlineStr">
        <is>
          <t>Flexibilis légcsatorna cső (Aluflex, Sonoflex, Combiflex)</t>
        </is>
      </c>
    </row>
    <row r="202">
      <c r="A202" s="6" t="inlineStr">
        <is>
          <t>GRO0330</t>
        </is>
      </c>
      <c r="B202" s="6" t="inlineStr">
        <is>
          <t>Combiflex 6 rétegű flexibilis alumínium légcsatorna cső 102 mm, 10 m</t>
        </is>
      </c>
      <c r="C202" s="6" t="inlineStr">
        <is>
          <t>Légtechnikai cső, idom, bilincs</t>
        </is>
      </c>
      <c r="D202" s="6" t="inlineStr"/>
      <c r="E202" s="6" t="inlineStr">
        <is>
          <t>Erős</t>
        </is>
      </c>
      <c r="F202" s="6" t="inlineStr">
        <is>
          <t>az elmúlt 30 napban</t>
        </is>
      </c>
      <c r="G202" s="6" t="inlineStr">
        <is>
          <t>Flexibilis légcsatorna cső (Aluflex, Sonoflex, Combiflex)</t>
        </is>
      </c>
    </row>
    <row r="203">
      <c r="A203" s="6" t="inlineStr">
        <is>
          <t>GRO0331</t>
        </is>
      </c>
      <c r="B203" s="6" t="inlineStr">
        <is>
          <t>Combiflex 6 rétegű flexibilis alumínium légcsatorna cső 127 mm, 10 m</t>
        </is>
      </c>
      <c r="C203" s="6" t="inlineStr">
        <is>
          <t>Légtechnikai cső, idom, bilincs</t>
        </is>
      </c>
      <c r="D203" s="6" t="inlineStr"/>
      <c r="E203" s="6" t="inlineStr">
        <is>
          <t>Erős</t>
        </is>
      </c>
      <c r="F203" s="6" t="inlineStr">
        <is>
          <t>az elmúlt 30 napban</t>
        </is>
      </c>
      <c r="G203" s="6" t="inlineStr">
        <is>
          <t>Flexibilis légcsatorna cső (Aluflex, Sonoflex, Combiflex)</t>
        </is>
      </c>
    </row>
    <row r="204">
      <c r="A204" s="6" t="inlineStr">
        <is>
          <t>GRO0332</t>
        </is>
      </c>
      <c r="B204" s="6" t="inlineStr">
        <is>
          <t>Combiflex 6 rétegű flexibilis alumínium légcsatorna cső 152 mm, 10 m</t>
        </is>
      </c>
      <c r="C204" s="6" t="inlineStr">
        <is>
          <t>Légtechnikai cső, idom, bilincs</t>
        </is>
      </c>
      <c r="D204" s="6" t="inlineStr"/>
      <c r="E204" s="6" t="inlineStr">
        <is>
          <t>Erős</t>
        </is>
      </c>
      <c r="F204" s="6" t="inlineStr">
        <is>
          <t>az elmúlt 30 napban</t>
        </is>
      </c>
      <c r="G204" s="6" t="inlineStr">
        <is>
          <t>Flexibilis légcsatorna cső (Aluflex, Sonoflex, Combiflex)</t>
        </is>
      </c>
    </row>
    <row r="205">
      <c r="A205" s="6" t="inlineStr">
        <is>
          <t>GRO0334</t>
        </is>
      </c>
      <c r="B205" s="6" t="inlineStr">
        <is>
          <t>Combiflex 6 rétegű flexibilis alumínium légcsatorna cső 203 mm, 10 m</t>
        </is>
      </c>
      <c r="C205" s="6" t="inlineStr">
        <is>
          <t>Légtechnikai cső, idom, bilincs</t>
        </is>
      </c>
      <c r="D205" s="6" t="inlineStr"/>
      <c r="E205" s="6" t="inlineStr">
        <is>
          <t>Erős</t>
        </is>
      </c>
      <c r="F205" s="6" t="inlineStr">
        <is>
          <t>az elmúlt 30 napban</t>
        </is>
      </c>
      <c r="G205" s="6" t="inlineStr">
        <is>
          <t>Flexibilis légcsatorna cső (Aluflex, Sonoflex, Combiflex)</t>
        </is>
      </c>
    </row>
    <row r="206">
      <c r="A206" s="6" t="inlineStr">
        <is>
          <t>GRO0335</t>
        </is>
      </c>
      <c r="B206" s="6" t="inlineStr">
        <is>
          <t>Combiflex 6 rétegű flexibilis alumínium légcsatorna cső 254 mm, 10 m</t>
        </is>
      </c>
      <c r="C206" s="6" t="inlineStr">
        <is>
          <t>Légtechnikai cső, idom, bilincs</t>
        </is>
      </c>
      <c r="D206" s="6" t="inlineStr"/>
      <c r="E206" s="6" t="inlineStr">
        <is>
          <t>Erős</t>
        </is>
      </c>
      <c r="F206" s="6" t="inlineStr">
        <is>
          <t>az elmúlt 30 napban</t>
        </is>
      </c>
      <c r="G206" s="6" t="inlineStr">
        <is>
          <t>Flexibilis légcsatorna cső (Aluflex, Sonoflex, Combiflex)</t>
        </is>
      </c>
    </row>
    <row r="207">
      <c r="A207" s="6" t="inlineStr">
        <is>
          <t>GRO0336</t>
        </is>
      </c>
      <c r="B207" s="6" t="inlineStr">
        <is>
          <t>Combiflex 6 rétegű flexibilis alumínium légcsatorna cső 315 mm, 10 m</t>
        </is>
      </c>
      <c r="C207" s="6" t="inlineStr">
        <is>
          <t>Légtechnikai cső, idom, bilincs</t>
        </is>
      </c>
      <c r="D207" s="6" t="inlineStr"/>
      <c r="E207" s="6" t="inlineStr">
        <is>
          <t>Erős</t>
        </is>
      </c>
      <c r="F207" s="6" t="inlineStr">
        <is>
          <t>az elmúlt 30 napban</t>
        </is>
      </c>
      <c r="G207" s="6" t="inlineStr">
        <is>
          <t>Flexibilis légcsatorna cső (Aluflex, Sonoflex, Combiflex)</t>
        </is>
      </c>
    </row>
    <row r="208">
      <c r="A208" s="6" t="inlineStr">
        <is>
          <t>GRO0355</t>
        </is>
      </c>
      <c r="B208" s="6" t="inlineStr">
        <is>
          <t>Bővítő cső 100–125 mm légcsatornához, szellőzőrendszerekhez</t>
        </is>
      </c>
      <c r="C208" s="6" t="inlineStr">
        <is>
          <t>Légtechnikai cső, idom, bilincs</t>
        </is>
      </c>
      <c r="D208" s="6" t="inlineStr"/>
      <c r="E208" s="6" t="inlineStr">
        <is>
          <t>Erős</t>
        </is>
      </c>
      <c r="F208" s="6" t="inlineStr">
        <is>
          <t>az elmúlt 30 napban</t>
        </is>
      </c>
      <c r="G208" s="6" t="inlineStr">
        <is>
          <t>Idom, bővítő / szűkítő, csőtoldó, visszacsapó szelep, csőkapcsoló</t>
        </is>
      </c>
    </row>
    <row r="209">
      <c r="A209" s="6" t="inlineStr">
        <is>
          <t>GRO0358</t>
        </is>
      </c>
      <c r="B209" s="6" t="inlineStr">
        <is>
          <t>Bővítő cső 125–150 mm légcsatornához, szellőzőrendszerekhez</t>
        </is>
      </c>
      <c r="C209" s="6" t="inlineStr">
        <is>
          <t>Légtechnikai cső, idom, bilincs</t>
        </is>
      </c>
      <c r="D209" s="6" t="inlineStr"/>
      <c r="E209" s="6" t="inlineStr">
        <is>
          <t>Erős</t>
        </is>
      </c>
      <c r="F209" s="6" t="inlineStr">
        <is>
          <t>az elmúlt 30 napban</t>
        </is>
      </c>
      <c r="G209" s="6" t="inlineStr">
        <is>
          <t>Idom, bővítő / szűkítő, csőtoldó, visszacsapó szelep, csőkapcsoló</t>
        </is>
      </c>
    </row>
    <row r="210">
      <c r="A210" s="6" t="inlineStr">
        <is>
          <t>GRO0361</t>
        </is>
      </c>
      <c r="B210" s="6" t="inlineStr">
        <is>
          <t>Bővítő cső 160–200 mm légcsatornához, szellőzőrendszerekhez</t>
        </is>
      </c>
      <c r="C210" s="6" t="inlineStr">
        <is>
          <t>Légtechnikai cső, idom, bilincs</t>
        </is>
      </c>
      <c r="D210" s="6" t="inlineStr"/>
      <c r="E210" s="6" t="inlineStr">
        <is>
          <t>Erős</t>
        </is>
      </c>
      <c r="F210" s="6" t="inlineStr">
        <is>
          <t>az elmúlt 30 napban</t>
        </is>
      </c>
      <c r="G210" s="6" t="inlineStr">
        <is>
          <t>Idom, bővítő / szűkítő, csőtoldó, visszacsapó szelep, csőkapcsoló</t>
        </is>
      </c>
    </row>
    <row r="211">
      <c r="A211" s="6" t="inlineStr">
        <is>
          <t>GRO0604</t>
        </is>
      </c>
      <c r="B211" s="6" t="inlineStr">
        <is>
          <t>Lépcsős bővítő cső 80/100/120/125/150 mm légcsatornához</t>
        </is>
      </c>
      <c r="C211" s="6" t="inlineStr">
        <is>
          <t>Légtechnikai cső, idom, bilincs</t>
        </is>
      </c>
      <c r="D211" s="6" t="inlineStr"/>
      <c r="E211" s="6" t="inlineStr">
        <is>
          <t>Erős</t>
        </is>
      </c>
      <c r="F211" s="6" t="inlineStr">
        <is>
          <t>az elmúlt 30 napban</t>
        </is>
      </c>
      <c r="G211" s="6" t="inlineStr">
        <is>
          <t>Idom, bővítő / szűkítő, csőtoldó, visszacsapó szelep, csőkapcsoló</t>
        </is>
      </c>
    </row>
    <row r="212">
      <c r="A212" s="6" t="inlineStr">
        <is>
          <t>GRO1056</t>
        </is>
      </c>
      <c r="B212" s="6" t="inlineStr">
        <is>
          <t>Bővítő cső 250–315 mm légcsatornához, szellőzőrendszerekhez</t>
        </is>
      </c>
      <c r="C212" s="6" t="inlineStr">
        <is>
          <t>Légtechnikai cső, idom, bilincs</t>
        </is>
      </c>
      <c r="D212" s="6" t="inlineStr"/>
      <c r="E212" s="6" t="inlineStr">
        <is>
          <t>Erős</t>
        </is>
      </c>
      <c r="F212" s="6" t="inlineStr">
        <is>
          <t>az elmúlt 30 napban</t>
        </is>
      </c>
      <c r="G212" s="6" t="inlineStr">
        <is>
          <t>Idom, bővítő / szűkítő, csőtoldó, visszacsapó szelep, csőkapcsoló</t>
        </is>
      </c>
    </row>
    <row r="213">
      <c r="A213" s="6" t="inlineStr">
        <is>
          <t>GRO1060</t>
        </is>
      </c>
      <c r="B213" s="6" t="inlineStr">
        <is>
          <t>Bővítő cső 200–250 mm légcsatornához, szellőzőrendszerekhez</t>
        </is>
      </c>
      <c r="C213" s="6" t="inlineStr">
        <is>
          <t>Légtechnikai cső, idom, bilincs</t>
        </is>
      </c>
      <c r="D213" s="6" t="inlineStr"/>
      <c r="E213" s="6" t="inlineStr">
        <is>
          <t>Erős</t>
        </is>
      </c>
      <c r="F213" s="6" t="inlineStr">
        <is>
          <t>az elmúlt 30 napban</t>
        </is>
      </c>
      <c r="G213" s="6" t="inlineStr">
        <is>
          <t>Idom, bővítő / szűkítő, csőtoldó, visszacsapó szelep, csőkapcsoló</t>
        </is>
      </c>
    </row>
    <row r="214">
      <c r="A214" s="6" t="inlineStr">
        <is>
          <t>GRO1062</t>
        </is>
      </c>
      <c r="B214" s="6" t="inlineStr">
        <is>
          <t>Bővítő cső 150–160 mm légcsatornához, szellőzőrendszerekhez</t>
        </is>
      </c>
      <c r="C214" s="6" t="inlineStr">
        <is>
          <t>Légtechnikai cső, idom, bilincs</t>
        </is>
      </c>
      <c r="D214" s="6" t="inlineStr"/>
      <c r="E214" s="6" t="inlineStr">
        <is>
          <t>Erős</t>
        </is>
      </c>
      <c r="F214" s="6" t="inlineStr">
        <is>
          <t>az elmúlt 30 napban</t>
        </is>
      </c>
      <c r="G214" s="6" t="inlineStr">
        <is>
          <t>Idom, bővítő / szűkítő, csőtoldó, visszacsapó szelep, csőkapcsoló</t>
        </is>
      </c>
    </row>
    <row r="215">
      <c r="A215" s="6" t="inlineStr">
        <is>
          <t>GRO1436</t>
        </is>
      </c>
      <c r="B215" s="6" t="inlineStr">
        <is>
          <t>Can Filters Silencer CFS02 ventilátor hangtompító 125 mm, 45 cm, ásványgyapot szigeteléssel</t>
        </is>
      </c>
      <c r="C215" s="6" t="inlineStr">
        <is>
          <t>Légtechnikai cső, idom, bilincs</t>
        </is>
      </c>
      <c r="D215" s="6" t="inlineStr">
        <is>
          <t>Csőventilátor, elszívó ventilátor</t>
        </is>
      </c>
      <c r="E215" s="6" t="inlineStr">
        <is>
          <t>Erős</t>
        </is>
      </c>
      <c r="F215" s="6" t="inlineStr">
        <is>
          <t>az elmúlt 30 napban</t>
        </is>
      </c>
      <c r="G215" s="6" t="inlineStr">
        <is>
          <t>Ventilátor hangtompító (Can Filters Silencer)</t>
        </is>
      </c>
    </row>
    <row r="216">
      <c r="A216" s="6" t="inlineStr">
        <is>
          <t>GRO1664</t>
        </is>
      </c>
      <c r="B216" s="6" t="inlineStr">
        <is>
          <t>Can Filters Silencer CFS06 ventilátor hangtompító 200 mm, 45 cm, ásványgyapot szigeteléssel</t>
        </is>
      </c>
      <c r="C216" s="6" t="inlineStr">
        <is>
          <t>Légtechnikai cső, idom, bilincs</t>
        </is>
      </c>
      <c r="D216" s="6" t="inlineStr">
        <is>
          <t>Csőventilátor, elszívó ventilátor</t>
        </is>
      </c>
      <c r="E216" s="6" t="inlineStr">
        <is>
          <t>Erős</t>
        </is>
      </c>
      <c r="F216" s="6" t="inlineStr">
        <is>
          <t>az elmúlt 30 napban</t>
        </is>
      </c>
      <c r="G216" s="6" t="inlineStr">
        <is>
          <t>Ventilátor hangtompító (Can Filters Silencer)</t>
        </is>
      </c>
    </row>
    <row r="217">
      <c r="A217" s="6" t="inlineStr">
        <is>
          <t>GRO1668</t>
        </is>
      </c>
      <c r="B217" s="6" t="inlineStr">
        <is>
          <t>Keskeny légtechnikai bilincs 110–130 mm, horganyzott acél, Vents C 125 Zn</t>
        </is>
      </c>
      <c r="C217" s="6" t="inlineStr">
        <is>
          <t>Légtechnikai cső, idom, bilincs</t>
        </is>
      </c>
      <c r="D217" s="6" t="inlineStr"/>
      <c r="E217" s="6" t="inlineStr">
        <is>
          <t>Erős</t>
        </is>
      </c>
      <c r="F217" s="6" t="inlineStr">
        <is>
          <t>az elmúlt 30 napban</t>
        </is>
      </c>
      <c r="G217" s="6" t="inlineStr">
        <is>
          <t>Légtechnikai bilincs</t>
        </is>
      </c>
    </row>
    <row r="218">
      <c r="A218" s="6" t="inlineStr">
        <is>
          <t>GRO1669</t>
        </is>
      </c>
      <c r="B218" s="6" t="inlineStr">
        <is>
          <t>Keskeny légtechnikai bilincs 140–160 mm, horganyzott acél</t>
        </is>
      </c>
      <c r="C218" s="6" t="inlineStr">
        <is>
          <t>Légtechnikai cső, idom, bilincs</t>
        </is>
      </c>
      <c r="D218" s="6" t="inlineStr"/>
      <c r="E218" s="6" t="inlineStr">
        <is>
          <t>Erős</t>
        </is>
      </c>
      <c r="F218" s="6" t="inlineStr">
        <is>
          <t>az elmúlt 30 napban</t>
        </is>
      </c>
      <c r="G218" s="6" t="inlineStr">
        <is>
          <t>Légtechnikai bilincs</t>
        </is>
      </c>
    </row>
    <row r="219">
      <c r="A219" s="6" t="inlineStr">
        <is>
          <t>GRO1834</t>
        </is>
      </c>
      <c r="B219" s="6" t="inlineStr">
        <is>
          <t>Can Filters Silencer CFS04 ventilátor hangtompító 150 mm, 45 cm, ásványgyapot szigeteléssel</t>
        </is>
      </c>
      <c r="C219" s="6" t="inlineStr">
        <is>
          <t>Légtechnikai cső, idom, bilincs</t>
        </is>
      </c>
      <c r="D219" s="6" t="inlineStr">
        <is>
          <t>Csőventilátor, elszívó ventilátor</t>
        </is>
      </c>
      <c r="E219" s="6" t="inlineStr">
        <is>
          <t>Erős</t>
        </is>
      </c>
      <c r="F219" s="6" t="inlineStr">
        <is>
          <t>az elmúlt 30 napban</t>
        </is>
      </c>
      <c r="G219" s="6" t="inlineStr">
        <is>
          <t>Ventilátor hangtompító (Can Filters Silencer)</t>
        </is>
      </c>
    </row>
    <row r="220">
      <c r="A220" s="6" t="inlineStr">
        <is>
          <t>GRO1934</t>
        </is>
      </c>
      <c r="B220" s="6" t="inlineStr">
        <is>
          <t>Bővítő cső 125–160 mm légcsatornához, szellőzőrendszerekhez</t>
        </is>
      </c>
      <c r="C220" s="6" t="inlineStr">
        <is>
          <t>Légtechnikai cső, idom, bilincs</t>
        </is>
      </c>
      <c r="D220" s="6" t="inlineStr"/>
      <c r="E220" s="6" t="inlineStr">
        <is>
          <t>Erős</t>
        </is>
      </c>
      <c r="F220" s="6" t="inlineStr">
        <is>
          <t>az elmúlt 30 napban</t>
        </is>
      </c>
      <c r="G220" s="6" t="inlineStr">
        <is>
          <t>Idom, bővítő / szűkítő, csőtoldó, visszacsapó szelep, csőkapcsoló</t>
        </is>
      </c>
    </row>
    <row r="221">
      <c r="A221" s="6" t="inlineStr">
        <is>
          <t>GRO1935</t>
        </is>
      </c>
      <c r="B221" s="6" t="inlineStr">
        <is>
          <t>Bővítő cső 150–200 mm légcsatornához, szellőzőrendszerekhez</t>
        </is>
      </c>
      <c r="C221" s="6" t="inlineStr">
        <is>
          <t>Légtechnikai cső, idom, bilincs</t>
        </is>
      </c>
      <c r="D221" s="6" t="inlineStr"/>
      <c r="E221" s="6" t="inlineStr">
        <is>
          <t>Erős</t>
        </is>
      </c>
      <c r="F221" s="6" t="inlineStr">
        <is>
          <t>az elmúlt 30 napban</t>
        </is>
      </c>
      <c r="G221" s="6" t="inlineStr">
        <is>
          <t>Idom, bővítő / szűkítő, csőtoldó, visszacsapó szelep, csőkapcsoló</t>
        </is>
      </c>
    </row>
    <row r="222">
      <c r="A222" s="6" t="inlineStr">
        <is>
          <t>GRO1941</t>
        </is>
      </c>
      <c r="B222" s="6" t="inlineStr">
        <is>
          <t>Fém visszacsapó szelep 100 mm légcsatornába, rozsdamentes acélrugókkal</t>
        </is>
      </c>
      <c r="C222" s="6" t="inlineStr">
        <is>
          <t>Légtechnikai cső, idom, bilincs</t>
        </is>
      </c>
      <c r="D222" s="6" t="inlineStr"/>
      <c r="E222" s="6" t="inlineStr">
        <is>
          <t>Erős</t>
        </is>
      </c>
      <c r="F222" s="6" t="inlineStr">
        <is>
          <t>az elmúlt 30 napban</t>
        </is>
      </c>
      <c r="G222" s="6" t="inlineStr">
        <is>
          <t>Idom, bővítő / szűkítő, csőtoldó, visszacsapó szelep, csőkapcsoló</t>
        </is>
      </c>
    </row>
    <row r="223">
      <c r="A223" s="6" t="inlineStr">
        <is>
          <t>GRO1959</t>
        </is>
      </c>
      <c r="B223" s="6" t="inlineStr">
        <is>
          <t>Műanyag csőtoldó visszacsapószeleppel 100 mm légcsatornához</t>
        </is>
      </c>
      <c r="C223" s="6" t="inlineStr">
        <is>
          <t>Légtechnikai cső, idom, bilincs</t>
        </is>
      </c>
      <c r="D223" s="6" t="inlineStr"/>
      <c r="E223" s="6" t="inlineStr">
        <is>
          <t>Erős</t>
        </is>
      </c>
      <c r="F223" s="6" t="inlineStr">
        <is>
          <t>az elmúlt 30 napban</t>
        </is>
      </c>
      <c r="G223" s="6" t="inlineStr">
        <is>
          <t>Idom, bővítő / szűkítő, csőtoldó, visszacsapó szelep, csőkapcsoló</t>
        </is>
      </c>
    </row>
    <row r="224">
      <c r="A224" s="6" t="inlineStr">
        <is>
          <t>GRO1960</t>
        </is>
      </c>
      <c r="B224" s="6" t="inlineStr">
        <is>
          <t>Műanyag csőtoldó visszacsapószeleppel 125 mm légcsatornához</t>
        </is>
      </c>
      <c r="C224" s="6" t="inlineStr">
        <is>
          <t>Légtechnikai cső, idom, bilincs</t>
        </is>
      </c>
      <c r="D224" s="6" t="inlineStr"/>
      <c r="E224" s="6" t="inlineStr">
        <is>
          <t>Erős</t>
        </is>
      </c>
      <c r="F224" s="6" t="inlineStr">
        <is>
          <t>az elmúlt 30 napban</t>
        </is>
      </c>
      <c r="G224" s="6" t="inlineStr">
        <is>
          <t>Idom, bővítő / szűkítő, csőtoldó, visszacsapó szelep, csőkapcsoló</t>
        </is>
      </c>
    </row>
    <row r="225">
      <c r="A225" s="6" t="inlineStr">
        <is>
          <t>GRO1961</t>
        </is>
      </c>
      <c r="B225" s="6" t="inlineStr">
        <is>
          <t>Műanyag csőtoldó visszacsapószeleppel 150 mm légcsatornához</t>
        </is>
      </c>
      <c r="C225" s="6" t="inlineStr">
        <is>
          <t>Légtechnikai cső, idom, bilincs</t>
        </is>
      </c>
      <c r="D225" s="6" t="inlineStr"/>
      <c r="E225" s="6" t="inlineStr">
        <is>
          <t>Erős</t>
        </is>
      </c>
      <c r="F225" s="6" t="inlineStr">
        <is>
          <t>az elmúlt 30 napban</t>
        </is>
      </c>
      <c r="G225" s="6" t="inlineStr">
        <is>
          <t>Idom, bővítő / szűkítő, csőtoldó, visszacsapó szelep, csőkapcsoló</t>
        </is>
      </c>
    </row>
    <row r="226">
      <c r="A226" s="6" t="inlineStr">
        <is>
          <t>GRO1962</t>
        </is>
      </c>
      <c r="B226" s="6" t="inlineStr">
        <is>
          <t>Műanyag csőtoldó visszacsapószeleppel 200 mm légcsatornához</t>
        </is>
      </c>
      <c r="C226" s="6" t="inlineStr">
        <is>
          <t>Légtechnikai cső, idom, bilincs</t>
        </is>
      </c>
      <c r="D226" s="6" t="inlineStr"/>
      <c r="E226" s="6" t="inlineStr">
        <is>
          <t>Erős</t>
        </is>
      </c>
      <c r="F226" s="6" t="inlineStr">
        <is>
          <t>az elmúlt 30 napban</t>
        </is>
      </c>
      <c r="G226" s="6" t="inlineStr">
        <is>
          <t>Idom, bővítő / szűkítő, csőtoldó, visszacsapó szelep, csőkapcsoló</t>
        </is>
      </c>
    </row>
    <row r="227">
      <c r="A227" s="6" t="inlineStr">
        <is>
          <t>GRO1967</t>
        </is>
      </c>
      <c r="B227" s="6" t="inlineStr">
        <is>
          <t>Műanyag csőtoldó 100 mm azonos átmérőjű légcsatornák összekötéséhez</t>
        </is>
      </c>
      <c r="C227" s="6" t="inlineStr">
        <is>
          <t>Légtechnikai cső, idom, bilincs</t>
        </is>
      </c>
      <c r="D227" s="6" t="inlineStr"/>
      <c r="E227" s="6" t="inlineStr">
        <is>
          <t>Erős</t>
        </is>
      </c>
      <c r="F227" s="6" t="inlineStr">
        <is>
          <t>az elmúlt 30 napban</t>
        </is>
      </c>
      <c r="G227" s="6" t="inlineStr">
        <is>
          <t>Idom, bővítő / szűkítő, csőtoldó, visszacsapó szelep, csőkapcsoló</t>
        </is>
      </c>
    </row>
    <row r="228">
      <c r="A228" s="6" t="inlineStr">
        <is>
          <t>GRO1968</t>
        </is>
      </c>
      <c r="B228" s="6" t="inlineStr">
        <is>
          <t>Műanyag csőtoldó 125 mm</t>
        </is>
      </c>
      <c r="C228" s="6" t="inlineStr">
        <is>
          <t>Légtechnikai cső, idom, bilincs</t>
        </is>
      </c>
      <c r="D228" s="6" t="inlineStr"/>
      <c r="E228" s="6" t="inlineStr">
        <is>
          <t>Erős</t>
        </is>
      </c>
      <c r="F228" s="6" t="inlineStr">
        <is>
          <t>az elmúlt 30 napban</t>
        </is>
      </c>
      <c r="G228" s="6" t="inlineStr">
        <is>
          <t>Idom, bővítő / szűkítő, csőtoldó, visszacsapó szelep, csőkapcsoló</t>
        </is>
      </c>
    </row>
    <row r="229">
      <c r="A229" s="6" t="inlineStr">
        <is>
          <t>GRO1969</t>
        </is>
      </c>
      <c r="B229" s="6" t="inlineStr">
        <is>
          <t>Műanyag csőtoldó 150 mm azonos átmérőjű légcsatornák összekötéséhez</t>
        </is>
      </c>
      <c r="C229" s="6" t="inlineStr">
        <is>
          <t>Légtechnikai cső, idom, bilincs</t>
        </is>
      </c>
      <c r="D229" s="6" t="inlineStr"/>
      <c r="E229" s="6" t="inlineStr">
        <is>
          <t>Erős</t>
        </is>
      </c>
      <c r="F229" s="6" t="inlineStr">
        <is>
          <t>az elmúlt 30 napban</t>
        </is>
      </c>
      <c r="G229" s="6" t="inlineStr">
        <is>
          <t>Idom, bővítő / szűkítő, csőtoldó, visszacsapó szelep, csőkapcsoló</t>
        </is>
      </c>
    </row>
    <row r="230">
      <c r="A230" s="6" t="inlineStr">
        <is>
          <t>GRO1970</t>
        </is>
      </c>
      <c r="B230" s="6" t="inlineStr">
        <is>
          <t>Műanyag csőtoldó 200 mm azonos átmérőjű légcsatornák összekötéséhez</t>
        </is>
      </c>
      <c r="C230" s="6" t="inlineStr">
        <is>
          <t>Légtechnikai cső, idom, bilincs</t>
        </is>
      </c>
      <c r="D230" s="6" t="inlineStr"/>
      <c r="E230" s="6" t="inlineStr">
        <is>
          <t>Erős</t>
        </is>
      </c>
      <c r="F230" s="6" t="inlineStr">
        <is>
          <t>az elmúlt 30 napban</t>
        </is>
      </c>
      <c r="G230" s="6" t="inlineStr">
        <is>
          <t>Idom, bővítő / szűkítő, csőtoldó, visszacsapó szelep, csőkapcsoló</t>
        </is>
      </c>
    </row>
    <row r="231">
      <c r="A231" s="6" t="inlineStr">
        <is>
          <t>GRO1971</t>
        </is>
      </c>
      <c r="B231" s="6" t="inlineStr">
        <is>
          <t>Műanyag szűkítő / bővítő cső 80–100 mm légcsatornákhoz, szellőzőrendszerekhez</t>
        </is>
      </c>
      <c r="C231" s="6" t="inlineStr">
        <is>
          <t>Légtechnikai cső, idom, bilincs</t>
        </is>
      </c>
      <c r="D231" s="6" t="inlineStr"/>
      <c r="E231" s="6" t="inlineStr">
        <is>
          <t>Erős</t>
        </is>
      </c>
      <c r="F231" s="6" t="inlineStr">
        <is>
          <t>az elmúlt 30 napban</t>
        </is>
      </c>
      <c r="G231" s="6" t="inlineStr">
        <is>
          <t>Idom, bővítő / szűkítő, csőtoldó, visszacsapó szelep, csőkapcsoló</t>
        </is>
      </c>
    </row>
    <row r="232">
      <c r="A232" s="6" t="inlineStr">
        <is>
          <t>GRO1972</t>
        </is>
      </c>
      <c r="B232" s="6" t="inlineStr">
        <is>
          <t>Műanyag szűkítő / bővítő cső 100–125 mm légcsatornákhoz, szellőzőrendszerekhez</t>
        </is>
      </c>
      <c r="C232" s="6" t="inlineStr">
        <is>
          <t>Légtechnikai cső, idom, bilincs</t>
        </is>
      </c>
      <c r="D232" s="6" t="inlineStr"/>
      <c r="E232" s="6" t="inlineStr">
        <is>
          <t>Erős</t>
        </is>
      </c>
      <c r="F232" s="6" t="inlineStr">
        <is>
          <t>az elmúlt 30 napban</t>
        </is>
      </c>
      <c r="G232" s="6" t="inlineStr">
        <is>
          <t>Idom, bővítő / szűkítő, csőtoldó, visszacsapó szelep, csőkapcsoló</t>
        </is>
      </c>
    </row>
    <row r="233">
      <c r="A233" s="6" t="inlineStr">
        <is>
          <t>GRO1973</t>
        </is>
      </c>
      <c r="B233" s="6" t="inlineStr">
        <is>
          <t>Műanyag szűkítő / bővítő cső 125–150 mm légcsatornákhoz, szellőzőrendszerekhez</t>
        </is>
      </c>
      <c r="C233" s="6" t="inlineStr">
        <is>
          <t>Légtechnikai cső, idom, bilincs</t>
        </is>
      </c>
      <c r="D233" s="6" t="inlineStr"/>
      <c r="E233" s="6" t="inlineStr">
        <is>
          <t>Erős</t>
        </is>
      </c>
      <c r="F233" s="6" t="inlineStr">
        <is>
          <t>az elmúlt 30 napban</t>
        </is>
      </c>
      <c r="G233" s="6" t="inlineStr">
        <is>
          <t>Idom, bővítő / szűkítő, csőtoldó, visszacsapó szelep, csőkapcsoló</t>
        </is>
      </c>
    </row>
    <row r="234">
      <c r="A234" s="6" t="inlineStr">
        <is>
          <t>GRO1974</t>
        </is>
      </c>
      <c r="B234" s="6" t="inlineStr">
        <is>
          <t>Műanyag szűkítő / bővítő cső 150–200 mm légcsatornákhoz, szellőzőrendszerekhez</t>
        </is>
      </c>
      <c r="C234" s="6" t="inlineStr">
        <is>
          <t>Légtechnikai cső, idom, bilincs</t>
        </is>
      </c>
      <c r="D234" s="6" t="inlineStr"/>
      <c r="E234" s="6" t="inlineStr">
        <is>
          <t>Erős</t>
        </is>
      </c>
      <c r="F234" s="6" t="inlineStr">
        <is>
          <t>az elmúlt 30 napban</t>
        </is>
      </c>
      <c r="G234" s="6" t="inlineStr">
        <is>
          <t>Idom, bővítő / szűkítő, csőtoldó, visszacsapó szelep, csőkapcsoló</t>
        </is>
      </c>
    </row>
    <row r="235">
      <c r="A235" s="6" t="inlineStr">
        <is>
          <t>GRO1975</t>
        </is>
      </c>
      <c r="B235" s="6" t="inlineStr">
        <is>
          <t>Fém visszacsapó szelep 125 mm légcsatornába, rozsdamentes acélrugókkal</t>
        </is>
      </c>
      <c r="C235" s="6" t="inlineStr">
        <is>
          <t>Légtechnikai cső, idom, bilincs</t>
        </is>
      </c>
      <c r="D235" s="6" t="inlineStr"/>
      <c r="E235" s="6" t="inlineStr">
        <is>
          <t>Erős</t>
        </is>
      </c>
      <c r="F235" s="6" t="inlineStr">
        <is>
          <t>az elmúlt 30 napban</t>
        </is>
      </c>
      <c r="G235" s="6" t="inlineStr">
        <is>
          <t>Idom, bővítő / szűkítő, csőtoldó, visszacsapó szelep, csőkapcsoló</t>
        </is>
      </c>
    </row>
    <row r="236">
      <c r="A236" s="6" t="inlineStr">
        <is>
          <t>GRO1978</t>
        </is>
      </c>
      <c r="B236" s="6" t="inlineStr">
        <is>
          <t>Fém visszacsapó szelep 250 mm légcsatornába, rozsdamentes acélrugókkal</t>
        </is>
      </c>
      <c r="C236" s="6" t="inlineStr">
        <is>
          <t>Légtechnikai cső, idom, bilincs</t>
        </is>
      </c>
      <c r="D236" s="6" t="inlineStr"/>
      <c r="E236" s="6" t="inlineStr">
        <is>
          <t>Erős</t>
        </is>
      </c>
      <c r="F236" s="6" t="inlineStr">
        <is>
          <t>az elmúlt 30 napban</t>
        </is>
      </c>
      <c r="G236" s="6" t="inlineStr">
        <is>
          <t>Idom, bővítő / szűkítő, csőtoldó, visszacsapó szelep, csőkapcsoló</t>
        </is>
      </c>
    </row>
    <row r="237">
      <c r="A237" s="6" t="inlineStr">
        <is>
          <t>GRO2094</t>
        </is>
      </c>
      <c r="B237" s="6" t="inlineStr">
        <is>
          <t>Can Filters Silencer CFS07 ventilátor hangtompító 250 mm, 45 cm, ásványgyapot szigeteléssel</t>
        </is>
      </c>
      <c r="C237" s="6" t="inlineStr">
        <is>
          <t>Légtechnikai cső, idom, bilincs</t>
        </is>
      </c>
      <c r="D237" s="6" t="inlineStr">
        <is>
          <t>Csőventilátor, elszívó ventilátor</t>
        </is>
      </c>
      <c r="E237" s="6" t="inlineStr">
        <is>
          <t>Erős</t>
        </is>
      </c>
      <c r="F237" s="6" t="inlineStr">
        <is>
          <t>az elmúlt 30 napban</t>
        </is>
      </c>
      <c r="G237" s="6" t="inlineStr">
        <is>
          <t>Ventilátor hangtompító (Can Filters Silencer)</t>
        </is>
      </c>
    </row>
    <row r="238">
      <c r="A238" s="6" t="inlineStr">
        <is>
          <t>GRO2140</t>
        </is>
      </c>
      <c r="B238" s="6" t="inlineStr">
        <is>
          <t>Duct Tape szürke ragasztószalag 50 mm, 10 m, légcsövekhez és javításokhoz</t>
        </is>
      </c>
      <c r="C238" s="6" t="inlineStr">
        <is>
          <t>Légtechnikai cső, idom, bilincs</t>
        </is>
      </c>
      <c r="D238" s="6" t="inlineStr"/>
      <c r="E238" s="6" t="inlineStr">
        <is>
          <t>Erős</t>
        </is>
      </c>
      <c r="F238" s="6" t="inlineStr">
        <is>
          <t>az elmúlt 30 napban</t>
        </is>
      </c>
      <c r="G238" s="6" t="inlineStr">
        <is>
          <t>Alumínium / Duct Tape ragasztószalag</t>
        </is>
      </c>
    </row>
    <row r="239">
      <c r="A239" s="6" t="inlineStr">
        <is>
          <t>GRO2141</t>
        </is>
      </c>
      <c r="B239" s="6" t="inlineStr">
        <is>
          <t>Duct Tape PVC ragasztószalag 50 mm, 30 m, légcsövekhez és javításokhoz</t>
        </is>
      </c>
      <c r="C239" s="6" t="inlineStr">
        <is>
          <t>Légtechnikai cső, idom, bilincs</t>
        </is>
      </c>
      <c r="D239" s="6" t="inlineStr"/>
      <c r="E239" s="6" t="inlineStr">
        <is>
          <t>Erős</t>
        </is>
      </c>
      <c r="F239" s="6" t="inlineStr">
        <is>
          <t>az elmúlt 30 napban</t>
        </is>
      </c>
      <c r="G239" s="6" t="inlineStr">
        <is>
          <t>Alumínium / Duct Tape ragasztószalag</t>
        </is>
      </c>
    </row>
    <row r="240">
      <c r="A240" s="6" t="inlineStr">
        <is>
          <t>GRO2142</t>
        </is>
      </c>
      <c r="B240" s="6" t="inlineStr">
        <is>
          <t>Duct Tape PVC ragasztószalag 50 mm, 10 m, légcsövekhez és javításokhoz</t>
        </is>
      </c>
      <c r="C240" s="6" t="inlineStr">
        <is>
          <t>Légtechnikai cső, idom, bilincs</t>
        </is>
      </c>
      <c r="D240" s="6" t="inlineStr"/>
      <c r="E240" s="6" t="inlineStr">
        <is>
          <t>Erős</t>
        </is>
      </c>
      <c r="F240" s="6" t="inlineStr">
        <is>
          <t>az elmúlt 30 napban</t>
        </is>
      </c>
      <c r="G240" s="6" t="inlineStr">
        <is>
          <t>Alumínium / Duct Tape ragasztószalag</t>
        </is>
      </c>
    </row>
    <row r="241">
      <c r="A241" s="6" t="inlineStr">
        <is>
          <t>GRO2144</t>
        </is>
      </c>
      <c r="B241" s="6" t="inlineStr">
        <is>
          <t>Fém keresztidom 150 mm légcsatornák négyirányú összekötéséhez</t>
        </is>
      </c>
      <c r="C241" s="6" t="inlineStr">
        <is>
          <t>Légtechnikai cső, idom, bilincs</t>
        </is>
      </c>
      <c r="D241" s="6" t="inlineStr"/>
      <c r="E241" s="6" t="inlineStr">
        <is>
          <t>Erős</t>
        </is>
      </c>
      <c r="F241" s="6" t="inlineStr">
        <is>
          <t>az elmúlt 30 napban</t>
        </is>
      </c>
      <c r="G241" s="6" t="inlineStr">
        <is>
          <t>Idom, bővítő / szűkítő, csőtoldó, visszacsapó szelep, csőkapcsoló</t>
        </is>
      </c>
    </row>
    <row r="242">
      <c r="A242" s="6" t="inlineStr">
        <is>
          <t>GRO2153</t>
        </is>
      </c>
      <c r="B242" s="6" t="inlineStr">
        <is>
          <t>Keskeny légtechnikai bilincs 190–210 mm, horganyzott acél, Vents C 200 Zn</t>
        </is>
      </c>
      <c r="C242" s="6" t="inlineStr">
        <is>
          <t>Légtechnikai cső, idom, bilincs</t>
        </is>
      </c>
      <c r="D242" s="6" t="inlineStr"/>
      <c r="E242" s="6" t="inlineStr">
        <is>
          <t>Erős</t>
        </is>
      </c>
      <c r="F242" s="6" t="inlineStr">
        <is>
          <t>az elmúlt 30 napban</t>
        </is>
      </c>
      <c r="G242" s="6" t="inlineStr">
        <is>
          <t>Légtechnikai bilincs</t>
        </is>
      </c>
    </row>
    <row r="243">
      <c r="A243" s="6" t="inlineStr">
        <is>
          <t>GRO2154</t>
        </is>
      </c>
      <c r="B243" s="6" t="inlineStr">
        <is>
          <t>Keskeny légtechnikai bilincs 240–260 mm, horganyzott acél, Vents C 250 Zn</t>
        </is>
      </c>
      <c r="C243" s="6" t="inlineStr">
        <is>
          <t>Légtechnikai cső, idom, bilincs</t>
        </is>
      </c>
      <c r="D243" s="6" t="inlineStr"/>
      <c r="E243" s="6" t="inlineStr">
        <is>
          <t>Erős</t>
        </is>
      </c>
      <c r="F243" s="6" t="inlineStr">
        <is>
          <t>az elmúlt 30 napban</t>
        </is>
      </c>
      <c r="G243" s="6" t="inlineStr">
        <is>
          <t>Légtechnikai bilincs</t>
        </is>
      </c>
    </row>
    <row r="244">
      <c r="A244" s="6" t="inlineStr">
        <is>
          <t>GRO2155</t>
        </is>
      </c>
      <c r="B244" s="6" t="inlineStr">
        <is>
          <t>Keskeny légtechnikai bilincs 300–330 mm, horganyzott acél, Vents C 315 Zn</t>
        </is>
      </c>
      <c r="C244" s="6" t="inlineStr">
        <is>
          <t>Légtechnikai cső, idom, bilincs</t>
        </is>
      </c>
      <c r="D244" s="6" t="inlineStr"/>
      <c r="E244" s="6" t="inlineStr">
        <is>
          <t>Erős</t>
        </is>
      </c>
      <c r="F244" s="6" t="inlineStr">
        <is>
          <t>az elmúlt 30 napban</t>
        </is>
      </c>
      <c r="G244" s="6" t="inlineStr">
        <is>
          <t>Légtechnikai bilincs</t>
        </is>
      </c>
    </row>
    <row r="245">
      <c r="A245" s="6" t="inlineStr">
        <is>
          <t>GRO2156</t>
        </is>
      </c>
      <c r="B245" s="6" t="inlineStr">
        <is>
          <t>Csatos széles légtechnikai bilincs 250 mm, rezgéscsillapító, légcsövekhez</t>
        </is>
      </c>
      <c r="C245" s="6" t="inlineStr">
        <is>
          <t>Légtechnikai cső, idom, bilincs</t>
        </is>
      </c>
      <c r="D245" s="6" t="inlineStr"/>
      <c r="E245" s="6" t="inlineStr">
        <is>
          <t>Erős</t>
        </is>
      </c>
      <c r="F245" s="6" t="inlineStr">
        <is>
          <t>az elmúlt 30 napban</t>
        </is>
      </c>
      <c r="G245" s="6" t="inlineStr">
        <is>
          <t>Légtechnikai bilincs</t>
        </is>
      </c>
    </row>
    <row r="246">
      <c r="A246" s="6" t="inlineStr">
        <is>
          <t>GRO2157</t>
        </is>
      </c>
      <c r="B246" s="6" t="inlineStr">
        <is>
          <t>Csatos széles légtechnikai bilincs 315 mm, rezgéscsillapító, légcsövekhez</t>
        </is>
      </c>
      <c r="C246" s="6" t="inlineStr">
        <is>
          <t>Légtechnikai cső, idom, bilincs</t>
        </is>
      </c>
      <c r="D246" s="6" t="inlineStr"/>
      <c r="E246" s="6" t="inlineStr">
        <is>
          <t>Erős</t>
        </is>
      </c>
      <c r="F246" s="6" t="inlineStr">
        <is>
          <t>az elmúlt 30 napban</t>
        </is>
      </c>
      <c r="G246" s="6" t="inlineStr">
        <is>
          <t>Légtechnikai bilincs</t>
        </is>
      </c>
    </row>
    <row r="247">
      <c r="A247" s="6" t="inlineStr">
        <is>
          <t>GRO2164</t>
        </is>
      </c>
      <c r="B247" s="6" t="inlineStr">
        <is>
          <t>Vents horganyzott fém T idom 100 mm légcsatorna elágaztatásához</t>
        </is>
      </c>
      <c r="C247" s="6" t="inlineStr">
        <is>
          <t>Légtechnikai cső, idom, bilincs</t>
        </is>
      </c>
      <c r="D247" s="6" t="inlineStr"/>
      <c r="E247" s="6" t="inlineStr">
        <is>
          <t>Erős</t>
        </is>
      </c>
      <c r="F247" s="6" t="inlineStr">
        <is>
          <t>az elmúlt 30 napban</t>
        </is>
      </c>
      <c r="G247" s="6" t="inlineStr">
        <is>
          <t>Idom, bővítő / szűkítő, csőtoldó, visszacsapó szelep, csőkapcsoló</t>
        </is>
      </c>
    </row>
    <row r="248">
      <c r="A248" s="6" t="inlineStr">
        <is>
          <t>GRO2168</t>
        </is>
      </c>
      <c r="B248" s="6" t="inlineStr">
        <is>
          <t>Fém légtechnikai csatlakozó csonk 315 mm légcsatornákhoz és ventilátorokhoz</t>
        </is>
      </c>
      <c r="C248" s="6" t="inlineStr">
        <is>
          <t>Légtechnikai cső, idom, bilincs</t>
        </is>
      </c>
      <c r="D248" s="6" t="inlineStr"/>
      <c r="E248" s="6" t="inlineStr">
        <is>
          <t>Erős</t>
        </is>
      </c>
      <c r="F248" s="6" t="inlineStr">
        <is>
          <t>az elmúlt 30 napban</t>
        </is>
      </c>
      <c r="G248" s="6" t="inlineStr">
        <is>
          <t>Idom, bővítő / szűkítő, csőtoldó, visszacsapó szelep, csőkapcsoló</t>
        </is>
      </c>
    </row>
    <row r="249">
      <c r="A249" s="6" t="inlineStr">
        <is>
          <t>GRO2382</t>
        </is>
      </c>
      <c r="B249" s="6" t="inlineStr">
        <is>
          <t>Aluflex cső 254mm 3m</t>
        </is>
      </c>
      <c r="C249" s="6" t="inlineStr">
        <is>
          <t>Légtechnikai cső, idom, bilincs</t>
        </is>
      </c>
      <c r="D249" s="6" t="inlineStr"/>
      <c r="E249" s="6" t="inlineStr">
        <is>
          <t>Erős</t>
        </is>
      </c>
      <c r="F249" s="6" t="inlineStr">
        <is>
          <t>az elmúlt 30 napban</t>
        </is>
      </c>
      <c r="G249" s="6" t="inlineStr">
        <is>
          <t>Flexibilis légcsatorna cső (Aluflex, Sonoflex, Combiflex)</t>
        </is>
      </c>
    </row>
    <row r="250">
      <c r="A250" s="6" t="inlineStr">
        <is>
          <t>GRO2383</t>
        </is>
      </c>
      <c r="B250" s="6" t="inlineStr">
        <is>
          <t>Flexibilis alumínium légcsatorna cső Aluflex 315 mm, 3 m</t>
        </is>
      </c>
      <c r="C250" s="6" t="inlineStr">
        <is>
          <t>Légtechnikai cső, idom, bilincs</t>
        </is>
      </c>
      <c r="D250" s="6" t="inlineStr"/>
      <c r="E250" s="6" t="inlineStr">
        <is>
          <t>Erős</t>
        </is>
      </c>
      <c r="F250" s="6" t="inlineStr">
        <is>
          <t>az elmúlt 30 napban</t>
        </is>
      </c>
      <c r="G250" s="6" t="inlineStr">
        <is>
          <t>Flexibilis légcsatorna cső (Aluflex, Sonoflex, Combiflex)</t>
        </is>
      </c>
    </row>
    <row r="251">
      <c r="A251" s="6" t="inlineStr">
        <is>
          <t>GRO2390</t>
        </is>
      </c>
      <c r="B251" s="6" t="inlineStr">
        <is>
          <t>Műanyag szűkítő / bővítő cső 120–129 mm légcsatornákhoz, szellőzőrendszerekhez</t>
        </is>
      </c>
      <c r="C251" s="6" t="inlineStr">
        <is>
          <t>Légtechnikai cső, idom, bilincs</t>
        </is>
      </c>
      <c r="D251" s="6" t="inlineStr"/>
      <c r="E251" s="6" t="inlineStr">
        <is>
          <t>Erős</t>
        </is>
      </c>
      <c r="F251" s="6" t="inlineStr">
        <is>
          <t>az elmúlt 30 napban</t>
        </is>
      </c>
      <c r="G251" s="6" t="inlineStr">
        <is>
          <t>Idom, bővítő / szűkítő, csőtoldó, visszacsapó szelep, csőkapcsoló</t>
        </is>
      </c>
    </row>
    <row r="252">
      <c r="A252" s="6" t="inlineStr">
        <is>
          <t>GRO2391</t>
        </is>
      </c>
      <c r="B252" s="6" t="inlineStr">
        <is>
          <t>Duct Tape szürke ragasztószalag 50 mm, 30 m, légcsövekhez és javításokhoz</t>
        </is>
      </c>
      <c r="C252" s="6" t="inlineStr">
        <is>
          <t>Légtechnikai cső, idom, bilincs</t>
        </is>
      </c>
      <c r="D252" s="6" t="inlineStr"/>
      <c r="E252" s="6" t="inlineStr">
        <is>
          <t>Erős</t>
        </is>
      </c>
      <c r="F252" s="6" t="inlineStr">
        <is>
          <t>az elmúlt 30 napban</t>
        </is>
      </c>
      <c r="G252" s="6" t="inlineStr">
        <is>
          <t>Alumínium / Duct Tape ragasztószalag</t>
        </is>
      </c>
    </row>
    <row r="253">
      <c r="A253" s="6" t="inlineStr">
        <is>
          <t>GRO2587</t>
        </is>
      </c>
      <c r="B253" s="6" t="inlineStr">
        <is>
          <t>Műanyag csőtoldó és idomkapcsoló beépítőkerettel 100 mm légcsatornához</t>
        </is>
      </c>
      <c r="C253" s="6" t="inlineStr">
        <is>
          <t>Légtechnikai cső, idom, bilincs</t>
        </is>
      </c>
      <c r="D253" s="6" t="inlineStr"/>
      <c r="E253" s="6" t="inlineStr">
        <is>
          <t>Erős</t>
        </is>
      </c>
      <c r="F253" s="6" t="inlineStr">
        <is>
          <t>az elmúlt 30 napban</t>
        </is>
      </c>
      <c r="G253" s="6" t="inlineStr">
        <is>
          <t>Idom, bővítő / szűkítő, csőtoldó, visszacsapó szelep, csőkapcsoló</t>
        </is>
      </c>
    </row>
    <row r="254">
      <c r="A254" s="6" t="inlineStr">
        <is>
          <t>GRO2588</t>
        </is>
      </c>
      <c r="B254" s="6" t="inlineStr">
        <is>
          <t>Műanyag csőtoldó visszacsapószeleppel és beépítőkerettel 100 mm légcsatornához</t>
        </is>
      </c>
      <c r="C254" s="6" t="inlineStr">
        <is>
          <t>Légtechnikai cső, idom, bilincs</t>
        </is>
      </c>
      <c r="D254" s="6" t="inlineStr"/>
      <c r="E254" s="6" t="inlineStr">
        <is>
          <t>Erős</t>
        </is>
      </c>
      <c r="F254" s="6" t="inlineStr">
        <is>
          <t>az elmúlt 30 napban</t>
        </is>
      </c>
      <c r="G254" s="6" t="inlineStr">
        <is>
          <t>Idom, bővítő / szűkítő, csőtoldó, visszacsapó szelep, csőkapcsoló</t>
        </is>
      </c>
    </row>
    <row r="255">
      <c r="A255" s="6" t="inlineStr">
        <is>
          <t>GRO2589</t>
        </is>
      </c>
      <c r="B255" s="6" t="inlineStr">
        <is>
          <t>Műanyag csőtoldó és idomkapcsoló beépítőkerettel 125 mm légcsatornához</t>
        </is>
      </c>
      <c r="C255" s="6" t="inlineStr">
        <is>
          <t>Légtechnikai cső, idom, bilincs</t>
        </is>
      </c>
      <c r="D255" s="6" t="inlineStr"/>
      <c r="E255" s="6" t="inlineStr">
        <is>
          <t>Erős</t>
        </is>
      </c>
      <c r="F255" s="6" t="inlineStr">
        <is>
          <t>az elmúlt 30 napban</t>
        </is>
      </c>
      <c r="G255" s="6" t="inlineStr">
        <is>
          <t>Idom, bővítő / szűkítő, csőtoldó, visszacsapó szelep, csőkapcsoló</t>
        </is>
      </c>
    </row>
    <row r="256">
      <c r="A256" s="6" t="inlineStr">
        <is>
          <t>GRO2590</t>
        </is>
      </c>
      <c r="B256" s="6" t="inlineStr">
        <is>
          <t>Műanyag csőtoldó visszacsapószeleppel és beépítőkerettel 125 mm légcsatornához</t>
        </is>
      </c>
      <c r="C256" s="6" t="inlineStr">
        <is>
          <t>Légtechnikai cső, idom, bilincs</t>
        </is>
      </c>
      <c r="D256" s="6" t="inlineStr"/>
      <c r="E256" s="6" t="inlineStr">
        <is>
          <t>Erős</t>
        </is>
      </c>
      <c r="F256" s="6" t="inlineStr">
        <is>
          <t>az elmúlt 30 napban</t>
        </is>
      </c>
      <c r="G256" s="6" t="inlineStr">
        <is>
          <t>Idom, bővítő / szűkítő, csőtoldó, visszacsapó szelep, csőkapcsoló</t>
        </is>
      </c>
    </row>
    <row r="257">
      <c r="A257" s="6" t="inlineStr">
        <is>
          <t>GRO2591</t>
        </is>
      </c>
      <c r="B257" s="6" t="inlineStr">
        <is>
          <t>Műanyag csőtoldó és idomkapcsoló beépítőkerettel 150 mm légcsatornához</t>
        </is>
      </c>
      <c r="C257" s="6" t="inlineStr">
        <is>
          <t>Légtechnikai cső, idom, bilincs</t>
        </is>
      </c>
      <c r="D257" s="6" t="inlineStr"/>
      <c r="E257" s="6" t="inlineStr">
        <is>
          <t>Erős</t>
        </is>
      </c>
      <c r="F257" s="6" t="inlineStr">
        <is>
          <t>az elmúlt 30 napban</t>
        </is>
      </c>
      <c r="G257" s="6" t="inlineStr">
        <is>
          <t>Idom, bővítő / szűkítő, csőtoldó, visszacsapó szelep, csőkapcsoló</t>
        </is>
      </c>
    </row>
    <row r="258">
      <c r="A258" s="6" t="inlineStr">
        <is>
          <t>GRO2592</t>
        </is>
      </c>
      <c r="B258" s="6" t="inlineStr">
        <is>
          <t>Műanyag csőtoldó visszacsapószeleppel és beépítőkerettel 150 mm légcsatornához</t>
        </is>
      </c>
      <c r="C258" s="6" t="inlineStr">
        <is>
          <t>Légtechnikai cső, idom, bilincs</t>
        </is>
      </c>
      <c r="D258" s="6" t="inlineStr"/>
      <c r="E258" s="6" t="inlineStr">
        <is>
          <t>Erős</t>
        </is>
      </c>
      <c r="F258" s="6" t="inlineStr">
        <is>
          <t>az elmúlt 30 napban</t>
        </is>
      </c>
      <c r="G258" s="6" t="inlineStr">
        <is>
          <t>Idom, bővítő / szűkítő, csőtoldó, visszacsapó szelep, csőkapcsoló</t>
        </is>
      </c>
    </row>
    <row r="259">
      <c r="A259" s="6" t="inlineStr">
        <is>
          <t>GRO2593</t>
        </is>
      </c>
      <c r="B259" s="6" t="inlineStr">
        <is>
          <t>Műanyag csőtoldó és idomkapcsoló beépítőkerettel 200 mm légcsatornához</t>
        </is>
      </c>
      <c r="C259" s="6" t="inlineStr">
        <is>
          <t>Légtechnikai cső, idom, bilincs</t>
        </is>
      </c>
      <c r="D259" s="6" t="inlineStr"/>
      <c r="E259" s="6" t="inlineStr">
        <is>
          <t>Erős</t>
        </is>
      </c>
      <c r="F259" s="6" t="inlineStr">
        <is>
          <t>az elmúlt 30 napban</t>
        </is>
      </c>
      <c r="G259" s="6" t="inlineStr">
        <is>
          <t>Idom, bővítő / szűkítő, csőtoldó, visszacsapó szelep, csőkapcsoló</t>
        </is>
      </c>
    </row>
    <row r="260">
      <c r="A260" s="6" t="inlineStr">
        <is>
          <t>GRO2594</t>
        </is>
      </c>
      <c r="B260" s="6" t="inlineStr">
        <is>
          <t>Műanyag csőtoldó visszacsapószeleppel és beépítőkerettel 200 mm légcsatornához</t>
        </is>
      </c>
      <c r="C260" s="6" t="inlineStr">
        <is>
          <t>Légtechnikai cső, idom, bilincs</t>
        </is>
      </c>
      <c r="D260" s="6" t="inlineStr"/>
      <c r="E260" s="6" t="inlineStr">
        <is>
          <t>Erős</t>
        </is>
      </c>
      <c r="F260" s="6" t="inlineStr">
        <is>
          <t>az elmúlt 30 napban</t>
        </is>
      </c>
      <c r="G260" s="6" t="inlineStr">
        <is>
          <t>Idom, bővítő / szűkítő, csőtoldó, visszacsapó szelep, csőkapcsoló</t>
        </is>
      </c>
    </row>
    <row r="261">
      <c r="A261" s="6" t="inlineStr">
        <is>
          <t>GRO2596</t>
        </is>
      </c>
      <c r="B261" s="6" t="inlineStr">
        <is>
          <t>Üvegszál erősítésű alumínium ragasztószalag 50 mm, 50 m, légcsatornákhoz</t>
        </is>
      </c>
      <c r="C261" s="6" t="inlineStr">
        <is>
          <t>Légtechnikai cső, idom, bilincs</t>
        </is>
      </c>
      <c r="D261" s="6" t="inlineStr"/>
      <c r="E261" s="6" t="inlineStr">
        <is>
          <t>Erős</t>
        </is>
      </c>
      <c r="F261" s="6" t="inlineStr">
        <is>
          <t>az elmúlt 30 napban</t>
        </is>
      </c>
      <c r="G261" s="6" t="inlineStr">
        <is>
          <t>Alumínium / Duct Tape ragasztószalag</t>
        </is>
      </c>
    </row>
    <row r="262">
      <c r="A262" s="6" t="inlineStr">
        <is>
          <t>GRO2597</t>
        </is>
      </c>
      <c r="B262" s="6" t="inlineStr">
        <is>
          <t>Duct Tape PVC ragasztószalag 50 mm, 50 m, légcsövekhez és javításokhoz</t>
        </is>
      </c>
      <c r="C262" s="6" t="inlineStr">
        <is>
          <t>Légtechnikai cső, idom, bilincs</t>
        </is>
      </c>
      <c r="D262" s="6" t="inlineStr"/>
      <c r="E262" s="6" t="inlineStr">
        <is>
          <t>Erős</t>
        </is>
      </c>
      <c r="F262" s="6" t="inlineStr">
        <is>
          <t>az elmúlt 30 napban</t>
        </is>
      </c>
      <c r="G262" s="6" t="inlineStr">
        <is>
          <t>Alumínium / Duct Tape ragasztószalag</t>
        </is>
      </c>
    </row>
    <row r="263">
      <c r="A263" s="6" t="inlineStr">
        <is>
          <t>GRO2598</t>
        </is>
      </c>
      <c r="B263" s="6" t="inlineStr">
        <is>
          <t>Bővítő cső 100–150 mm légcsatornához, szellőzőrendszerekhez</t>
        </is>
      </c>
      <c r="C263" s="6" t="inlineStr">
        <is>
          <t>Légtechnikai cső, idom, bilincs</t>
        </is>
      </c>
      <c r="D263" s="6" t="inlineStr"/>
      <c r="E263" s="6" t="inlineStr">
        <is>
          <t>Erős</t>
        </is>
      </c>
      <c r="F263" s="6" t="inlineStr">
        <is>
          <t>az elmúlt 30 napban</t>
        </is>
      </c>
      <c r="G263" s="6" t="inlineStr">
        <is>
          <t>Idom, bővítő / szűkítő, csőtoldó, visszacsapó szelep, csőkapcsoló</t>
        </is>
      </c>
    </row>
    <row r="264">
      <c r="A264" s="6" t="inlineStr">
        <is>
          <t>GRO2601</t>
        </is>
      </c>
      <c r="B264" s="6" t="inlineStr">
        <is>
          <t>Keskeny légtechnikai bilincs 90–110 mm, horganyzott acél, Vents C 100 Zn</t>
        </is>
      </c>
      <c r="C264" s="6" t="inlineStr">
        <is>
          <t>Légtechnikai cső, idom, bilincs</t>
        </is>
      </c>
      <c r="D264" s="6" t="inlineStr"/>
      <c r="E264" s="6" t="inlineStr">
        <is>
          <t>Erős</t>
        </is>
      </c>
      <c r="F264" s="6" t="inlineStr">
        <is>
          <t>az elmúlt 30 napban</t>
        </is>
      </c>
      <c r="G264" s="6" t="inlineStr">
        <is>
          <t>Légtechnikai bilincs</t>
        </is>
      </c>
    </row>
    <row r="265">
      <c r="A265" s="6" t="inlineStr">
        <is>
          <t>GRO2602</t>
        </is>
      </c>
      <c r="B265" s="6" t="inlineStr">
        <is>
          <t>Csatos széles légtechnikai bilincs 200 mm, rezgéscsillapító, légcsövekhez</t>
        </is>
      </c>
      <c r="C265" s="6" t="inlineStr">
        <is>
          <t>Légtechnikai cső, idom, bilincs</t>
        </is>
      </c>
      <c r="D265" s="6" t="inlineStr"/>
      <c r="E265" s="6" t="inlineStr">
        <is>
          <t>Erős</t>
        </is>
      </c>
      <c r="F265" s="6" t="inlineStr">
        <is>
          <t>az elmúlt 30 napban</t>
        </is>
      </c>
      <c r="G265" s="6" t="inlineStr">
        <is>
          <t>Légtechnikai bilincs</t>
        </is>
      </c>
    </row>
    <row r="266">
      <c r="A266" s="6" t="inlineStr">
        <is>
          <t>GRO2603</t>
        </is>
      </c>
      <c r="B266" s="6" t="inlineStr">
        <is>
          <t>Falhoz rögzíthető csatos légtechnikai bilincs 315 mm, galvanizált acél</t>
        </is>
      </c>
      <c r="C266" s="6" t="inlineStr">
        <is>
          <t>Légtechnikai cső, idom, bilincs</t>
        </is>
      </c>
      <c r="D266" s="6" t="inlineStr"/>
      <c r="E266" s="6" t="inlineStr">
        <is>
          <t>Erős</t>
        </is>
      </c>
      <c r="F266" s="6" t="inlineStr">
        <is>
          <t>az elmúlt 30 napban</t>
        </is>
      </c>
      <c r="G266" s="6" t="inlineStr">
        <is>
          <t>Légtechnikai bilincs</t>
        </is>
      </c>
    </row>
    <row r="267">
      <c r="A267" s="6" t="inlineStr">
        <is>
          <t>GRO2736</t>
        </is>
      </c>
      <c r="B267" s="6" t="inlineStr">
        <is>
          <t>Can Filters Silencer CFS08 ventilátor hangtompító 200 mm, 50 cm, ásványgyapot szigeteléssel</t>
        </is>
      </c>
      <c r="C267" s="6" t="inlineStr">
        <is>
          <t>Légtechnikai cső, idom, bilincs</t>
        </is>
      </c>
      <c r="D267" s="6" t="inlineStr">
        <is>
          <t>Csőventilátor, elszívó ventilátor</t>
        </is>
      </c>
      <c r="E267" s="6" t="inlineStr">
        <is>
          <t>Erős</t>
        </is>
      </c>
      <c r="F267" s="6" t="inlineStr">
        <is>
          <t>az elmúlt 30 napban</t>
        </is>
      </c>
      <c r="G267" s="6" t="inlineStr">
        <is>
          <t>Ventilátor hangtompító (Can Filters Silencer)</t>
        </is>
      </c>
    </row>
    <row r="268">
      <c r="A268" s="6" t="inlineStr">
        <is>
          <t>GRO2756</t>
        </is>
      </c>
      <c r="B268" s="6" t="inlineStr">
        <is>
          <t>Keskeny csatos légtechnikai bilincs 60–165 mm, állítható fém csőbilincs</t>
        </is>
      </c>
      <c r="C268" s="6" t="inlineStr">
        <is>
          <t>Légtechnikai cső, idom, bilincs</t>
        </is>
      </c>
      <c r="D268" s="6" t="inlineStr"/>
      <c r="E268" s="6" t="inlineStr">
        <is>
          <t>Erős</t>
        </is>
      </c>
      <c r="F268" s="6" t="inlineStr">
        <is>
          <t>az elmúlt 30 napban</t>
        </is>
      </c>
      <c r="G268" s="6" t="inlineStr">
        <is>
          <t>Légtechnikai bilincs</t>
        </is>
      </c>
    </row>
    <row r="269">
      <c r="A269" s="6" t="inlineStr">
        <is>
          <t>GRO2889</t>
        </is>
      </c>
      <c r="B269" s="6" t="inlineStr">
        <is>
          <t>Alumínium ragasztószalag 50 mm, 50 m, légzáró, UV-álló, légcsatornákhoz</t>
        </is>
      </c>
      <c r="C269" s="6" t="inlineStr">
        <is>
          <t>Légtechnikai cső, idom, bilincs</t>
        </is>
      </c>
      <c r="D269" s="6" t="inlineStr"/>
      <c r="E269" s="6" t="inlineStr">
        <is>
          <t>Erős</t>
        </is>
      </c>
      <c r="F269" s="6" t="inlineStr">
        <is>
          <t>az elmúlt 30 napban</t>
        </is>
      </c>
      <c r="G269" s="6" t="inlineStr">
        <is>
          <t>Alumínium / Duct Tape ragasztószalag</t>
        </is>
      </c>
    </row>
    <row r="270">
      <c r="A270" s="6" t="inlineStr">
        <is>
          <t>GRO2890</t>
        </is>
      </c>
      <c r="B270" s="6" t="inlineStr">
        <is>
          <t>Alumínium ragasztószalag 50 mm, 30 m, légzáró, UV-álló, légcsatornákhoz</t>
        </is>
      </c>
      <c r="C270" s="6" t="inlineStr">
        <is>
          <t>Légtechnikai cső, idom, bilincs</t>
        </is>
      </c>
      <c r="D270" s="6" t="inlineStr"/>
      <c r="E270" s="6" t="inlineStr">
        <is>
          <t>Erős</t>
        </is>
      </c>
      <c r="F270" s="6" t="inlineStr">
        <is>
          <t>az elmúlt 30 napban</t>
        </is>
      </c>
      <c r="G270" s="6" t="inlineStr">
        <is>
          <t>Alumínium / Duct Tape ragasztószalag</t>
        </is>
      </c>
    </row>
    <row r="271">
      <c r="A271" s="6" t="inlineStr">
        <is>
          <t>GRO2891</t>
        </is>
      </c>
      <c r="B271" s="6" t="inlineStr">
        <is>
          <t>Alumínium ragasztószalag 50 mm, 10 m, légzáró, UV-álló, légcsatornákhoz</t>
        </is>
      </c>
      <c r="C271" s="6" t="inlineStr">
        <is>
          <t>Légtechnikai cső, idom, bilincs</t>
        </is>
      </c>
      <c r="D271" s="6" t="inlineStr"/>
      <c r="E271" s="6" t="inlineStr">
        <is>
          <t>Erős</t>
        </is>
      </c>
      <c r="F271" s="6" t="inlineStr">
        <is>
          <t>az elmúlt 30 napban</t>
        </is>
      </c>
      <c r="G271" s="6" t="inlineStr">
        <is>
          <t>Alumínium / Duct Tape ragasztószalag</t>
        </is>
      </c>
    </row>
    <row r="272">
      <c r="A272" s="6" t="inlineStr">
        <is>
          <t>GRO3028</t>
        </is>
      </c>
      <c r="B272" s="6" t="inlineStr">
        <is>
          <t>Flexibilis alumínium légcsatorna cső Aluflex 315 mm, 5 m</t>
        </is>
      </c>
      <c r="C272" s="6" t="inlineStr">
        <is>
          <t>Légtechnikai cső, idom, bilincs</t>
        </is>
      </c>
      <c r="D272" s="6" t="inlineStr"/>
      <c r="E272" s="6" t="inlineStr">
        <is>
          <t>Erős</t>
        </is>
      </c>
      <c r="F272" s="6" t="inlineStr">
        <is>
          <t>az elmúlt 30 napban</t>
        </is>
      </c>
      <c r="G272" s="6" t="inlineStr">
        <is>
          <t>Flexibilis légcsatorna cső (Aluflex, Sonoflex, Combiflex)</t>
        </is>
      </c>
    </row>
    <row r="273">
      <c r="A273" s="6" t="inlineStr">
        <is>
          <t>GRO3059</t>
        </is>
      </c>
      <c r="B273" s="6" t="inlineStr">
        <is>
          <t>Can Filters Silencer CFS10 ventilátor hangtompító 315 mm, 50 cm, ásványgyapot szigeteléssel</t>
        </is>
      </c>
      <c r="C273" s="6" t="inlineStr">
        <is>
          <t>Légtechnikai cső, idom, bilincs</t>
        </is>
      </c>
      <c r="D273" s="6" t="inlineStr">
        <is>
          <t>Csőventilátor, elszívó ventilátor</t>
        </is>
      </c>
      <c r="E273" s="6" t="inlineStr">
        <is>
          <t>Erős</t>
        </is>
      </c>
      <c r="F273" s="6" t="inlineStr">
        <is>
          <t>az elmúlt 30 napban</t>
        </is>
      </c>
      <c r="G273" s="6" t="inlineStr">
        <is>
          <t>Ventilátor hangtompító (Can Filters Silencer)</t>
        </is>
      </c>
    </row>
    <row r="274">
      <c r="A274" s="6" t="inlineStr">
        <is>
          <t>GRO3275</t>
        </is>
      </c>
      <c r="B274" s="6" t="inlineStr">
        <is>
          <t>Műanyag szűkítő / bővítő cső 150-160</t>
        </is>
      </c>
      <c r="C274" s="6" t="inlineStr">
        <is>
          <t>Légtechnikai cső, idom, bilincs</t>
        </is>
      </c>
      <c r="D274" s="6" t="inlineStr"/>
      <c r="E274" s="6" t="inlineStr">
        <is>
          <t>Erős</t>
        </is>
      </c>
      <c r="F274" s="6" t="inlineStr">
        <is>
          <t>az elmúlt 30 napban</t>
        </is>
      </c>
      <c r="G274" s="6" t="inlineStr">
        <is>
          <t>Idom, bővítő / szűkítő, csőtoldó, visszacsapó szelep, csőkapcsoló</t>
        </is>
      </c>
    </row>
    <row r="275">
      <c r="A275" s="6" t="inlineStr">
        <is>
          <t>GRO3543</t>
        </is>
      </c>
      <c r="B275" s="6" t="inlineStr">
        <is>
          <t>Can Filter Silencer (Ventilátor hangtompító) CFS09</t>
        </is>
      </c>
      <c r="C275" s="6" t="inlineStr">
        <is>
          <t>Légtechnikai cső, idom, bilincs</t>
        </is>
      </c>
      <c r="D275" s="6" t="inlineStr">
        <is>
          <t>Csőventilátor, elszívó ventilátor</t>
        </is>
      </c>
      <c r="E275" s="6" t="inlineStr">
        <is>
          <t>Erős</t>
        </is>
      </c>
      <c r="F275" s="6" t="inlineStr">
        <is>
          <t>az elmúlt 30 napban</t>
        </is>
      </c>
      <c r="G275" s="6" t="inlineStr">
        <is>
          <t>Ventilátor hangtompító (Can Filters Silencer)</t>
        </is>
      </c>
    </row>
    <row r="276">
      <c r="A276" s="6" t="inlineStr">
        <is>
          <t>GRO3545</t>
        </is>
      </c>
      <c r="B276" s="6" t="inlineStr">
        <is>
          <t>Can Filter Silencer (Ventilátor hangtompító) CFS03</t>
        </is>
      </c>
      <c r="C276" s="6" t="inlineStr">
        <is>
          <t>Légtechnikai cső, idom, bilincs</t>
        </is>
      </c>
      <c r="D276" s="6" t="inlineStr">
        <is>
          <t>Csőventilátor, elszívó ventilátor</t>
        </is>
      </c>
      <c r="E276" s="6" t="inlineStr">
        <is>
          <t>Erős</t>
        </is>
      </c>
      <c r="F276" s="6" t="inlineStr">
        <is>
          <t>az elmúlt 30 napban</t>
        </is>
      </c>
      <c r="G276" s="6" t="inlineStr">
        <is>
          <t>Ventilátor hangtompító (Can Filters Silencer)</t>
        </is>
      </c>
    </row>
    <row r="277">
      <c r="A277" s="6" t="inlineStr">
        <is>
          <t>GRO3546</t>
        </is>
      </c>
      <c r="B277" s="6" t="inlineStr">
        <is>
          <t>Can Filter Silencer (Ventilátor hangtompító CFS01</t>
        </is>
      </c>
      <c r="C277" s="6" t="inlineStr">
        <is>
          <t>Légtechnikai cső, idom, bilincs</t>
        </is>
      </c>
      <c r="D277" s="6" t="inlineStr">
        <is>
          <t>Csőventilátor, elszívó ventilátor</t>
        </is>
      </c>
      <c r="E277" s="6" t="inlineStr">
        <is>
          <t>Erős</t>
        </is>
      </c>
      <c r="F277" s="6" t="inlineStr">
        <is>
          <t>az elmúlt 30 napban</t>
        </is>
      </c>
      <c r="G277" s="6" t="inlineStr">
        <is>
          <t>Ventilátor hangtompító (Can Filters Silencer)</t>
        </is>
      </c>
    </row>
    <row r="278">
      <c r="A278" s="6" t="inlineStr">
        <is>
          <t>GRO3580</t>
        </is>
      </c>
      <c r="B278" s="6" t="inlineStr">
        <is>
          <t>Légtechnikai csőkapcsoló Ø200 mm</t>
        </is>
      </c>
      <c r="C278" s="6" t="inlineStr">
        <is>
          <t>Légtechnikai cső, idom, bilincs</t>
        </is>
      </c>
      <c r="D278" s="6" t="inlineStr"/>
      <c r="E278" s="6" t="inlineStr">
        <is>
          <t>Erős</t>
        </is>
      </c>
      <c r="F278" s="6" t="inlineStr">
        <is>
          <t>az elmúlt 30 napban</t>
        </is>
      </c>
      <c r="G278" s="6" t="inlineStr">
        <is>
          <t>Idom, bővítő / szűkítő, csőtoldó, visszacsapó szelep, csőkapcsoló</t>
        </is>
      </c>
    </row>
    <row r="279">
      <c r="A279" s="6" t="inlineStr">
        <is>
          <t>GRO3581</t>
        </is>
      </c>
      <c r="B279" s="6" t="inlineStr">
        <is>
          <t>Légtechnikai csőkapcsoló Ø250 mm</t>
        </is>
      </c>
      <c r="C279" s="6" t="inlineStr">
        <is>
          <t>Légtechnikai cső, idom, bilincs</t>
        </is>
      </c>
      <c r="D279" s="6" t="inlineStr"/>
      <c r="E279" s="6" t="inlineStr">
        <is>
          <t>Erős</t>
        </is>
      </c>
      <c r="F279" s="6" t="inlineStr">
        <is>
          <t>az elmúlt 30 napban</t>
        </is>
      </c>
      <c r="G279" s="6" t="inlineStr">
        <is>
          <t>Idom, bővítő / szűkítő, csőtoldó, visszacsapó szelep, csőkapcsoló</t>
        </is>
      </c>
    </row>
    <row r="280">
      <c r="A280" s="6" t="inlineStr">
        <is>
          <t>GRO3582</t>
        </is>
      </c>
      <c r="B280" s="6" t="inlineStr">
        <is>
          <t>Légtechnikai csőkapcsoló Ø315 mm</t>
        </is>
      </c>
      <c r="C280" s="6" t="inlineStr">
        <is>
          <t>Légtechnikai cső, idom, bilincs</t>
        </is>
      </c>
      <c r="D280" s="6" t="inlineStr"/>
      <c r="E280" s="6" t="inlineStr">
        <is>
          <t>Erős</t>
        </is>
      </c>
      <c r="F280" s="6" t="inlineStr">
        <is>
          <t>az elmúlt 30 napban</t>
        </is>
      </c>
      <c r="G280" s="6" t="inlineStr">
        <is>
          <t>Idom, bővítő / szűkítő, csőtoldó, visszacsapó szelep, csőkapcsoló</t>
        </is>
      </c>
    </row>
    <row r="281">
      <c r="A281" s="6" t="inlineStr">
        <is>
          <t>GRO3588</t>
        </is>
      </c>
      <c r="B281" s="6" t="inlineStr">
        <is>
          <t>Légtechnikai idomkapcsoló Ø200 mm</t>
        </is>
      </c>
      <c r="C281" s="6" t="inlineStr">
        <is>
          <t>Légtechnikai cső, idom, bilincs</t>
        </is>
      </c>
      <c r="D281" s="6" t="inlineStr"/>
      <c r="E281" s="6" t="inlineStr">
        <is>
          <t>Erős</t>
        </is>
      </c>
      <c r="F281" s="6" t="inlineStr">
        <is>
          <t>az elmúlt 30 napban</t>
        </is>
      </c>
      <c r="G281" s="6" t="inlineStr">
        <is>
          <t>Idom, bővítő / szűkítő, csőtoldó, visszacsapó szelep, csőkapcsoló</t>
        </is>
      </c>
    </row>
    <row r="282">
      <c r="A282" s="6" t="inlineStr">
        <is>
          <t>GRO3590</t>
        </is>
      </c>
      <c r="B282" s="6" t="inlineStr">
        <is>
          <t>Légtechnikai idomkapcsoló Ø315 mm</t>
        </is>
      </c>
      <c r="C282" s="6" t="inlineStr">
        <is>
          <t>Légtechnikai cső, idom, bilincs</t>
        </is>
      </c>
      <c r="D282" s="6" t="inlineStr"/>
      <c r="E282" s="6" t="inlineStr">
        <is>
          <t>Erős</t>
        </is>
      </c>
      <c r="F282" s="6" t="inlineStr">
        <is>
          <t>az elmúlt 30 napban</t>
        </is>
      </c>
      <c r="G282" s="6" t="inlineStr">
        <is>
          <t>Idom, bővítő / szűkítő, csőtoldó, visszacsapó szelep, csőkapcsoló</t>
        </is>
      </c>
    </row>
    <row r="283">
      <c r="A283" s="6" t="inlineStr">
        <is>
          <t>GRO3591</t>
        </is>
      </c>
      <c r="B283" s="6" t="inlineStr">
        <is>
          <t>Légtechnikai idomkapcsoló Ø350 mm</t>
        </is>
      </c>
      <c r="C283" s="6" t="inlineStr">
        <is>
          <t>Légtechnikai cső, idom, bilincs</t>
        </is>
      </c>
      <c r="D283" s="6" t="inlineStr"/>
      <c r="E283" s="6" t="inlineStr">
        <is>
          <t>Erős</t>
        </is>
      </c>
      <c r="F283" s="6" t="inlineStr">
        <is>
          <t>az elmúlt 30 napban</t>
        </is>
      </c>
      <c r="G283" s="6" t="inlineStr">
        <is>
          <t>Idom, bővítő / szűkítő, csőtoldó, visszacsapó szelep, csőkapcsoló</t>
        </is>
      </c>
    </row>
    <row r="284">
      <c r="A284" s="6" t="inlineStr">
        <is>
          <t>GRO3718</t>
        </is>
      </c>
      <c r="B284" s="6" t="inlineStr">
        <is>
          <t>Secret Jardin légtechnika bilincs (gumi) RD100</t>
        </is>
      </c>
      <c r="C284" s="6" t="inlineStr">
        <is>
          <t>Légtechnikai cső, idom, bilincs</t>
        </is>
      </c>
      <c r="D284" s="6" t="inlineStr"/>
      <c r="E284" s="6" t="inlineStr">
        <is>
          <t>Erős</t>
        </is>
      </c>
      <c r="F284" s="6" t="inlineStr">
        <is>
          <t>az elmúlt 30 napban</t>
        </is>
      </c>
      <c r="G284" s="6" t="inlineStr">
        <is>
          <t>Légtechnikai bilincs</t>
        </is>
      </c>
    </row>
    <row r="285">
      <c r="A285" s="6" t="inlineStr">
        <is>
          <t>GRO3719</t>
        </is>
      </c>
      <c r="B285" s="6" t="inlineStr">
        <is>
          <t>Secret Jardin légtechnika bilincs (gumi) RD125</t>
        </is>
      </c>
      <c r="C285" s="6" t="inlineStr">
        <is>
          <t>Légtechnikai cső, idom, bilincs</t>
        </is>
      </c>
      <c r="D285" s="6" t="inlineStr"/>
      <c r="E285" s="6" t="inlineStr">
        <is>
          <t>Erős</t>
        </is>
      </c>
      <c r="F285" s="6" t="inlineStr">
        <is>
          <t>az elmúlt 30 napban</t>
        </is>
      </c>
      <c r="G285" s="6" t="inlineStr">
        <is>
          <t>Légtechnikai bilincs</t>
        </is>
      </c>
    </row>
    <row r="286">
      <c r="A286" s="6" t="inlineStr">
        <is>
          <t>GRO3720</t>
        </is>
      </c>
      <c r="B286" s="6" t="inlineStr">
        <is>
          <t>Secret Jardin légtechnika bilincs (gumi) RD150</t>
        </is>
      </c>
      <c r="C286" s="6" t="inlineStr">
        <is>
          <t>Légtechnikai cső, idom, bilincs</t>
        </is>
      </c>
      <c r="D286" s="6" t="inlineStr"/>
      <c r="E286" s="6" t="inlineStr">
        <is>
          <t>Erős</t>
        </is>
      </c>
      <c r="F286" s="6" t="inlineStr">
        <is>
          <t>az elmúlt 30 napban</t>
        </is>
      </c>
      <c r="G286" s="6" t="inlineStr">
        <is>
          <t>Légtechnikai bilincs</t>
        </is>
      </c>
    </row>
    <row r="287">
      <c r="A287" s="6" t="inlineStr">
        <is>
          <t>GRO3721</t>
        </is>
      </c>
      <c r="B287" s="6" t="inlineStr">
        <is>
          <t>Secret Jardin légtechnika bilincs (gumi) RD200</t>
        </is>
      </c>
      <c r="C287" s="6" t="inlineStr">
        <is>
          <t>Légtechnikai cső, idom, bilincs</t>
        </is>
      </c>
      <c r="D287" s="6" t="inlineStr"/>
      <c r="E287" s="6" t="inlineStr">
        <is>
          <t>Erős</t>
        </is>
      </c>
      <c r="F287" s="6" t="inlineStr">
        <is>
          <t>az elmúlt 30 napban</t>
        </is>
      </c>
      <c r="G287" s="6" t="inlineStr">
        <is>
          <t>Légtechnikai bilincs</t>
        </is>
      </c>
    </row>
    <row r="288">
      <c r="A288" s="6" t="inlineStr">
        <is>
          <t>GRO3722</t>
        </is>
      </c>
      <c r="B288" s="6" t="inlineStr">
        <is>
          <t>Secret Jardin légtechnika bilincs (gumi) RD250</t>
        </is>
      </c>
      <c r="C288" s="6" t="inlineStr">
        <is>
          <t>Légtechnikai cső, idom, bilincs</t>
        </is>
      </c>
      <c r="D288" s="6" t="inlineStr"/>
      <c r="E288" s="6" t="inlineStr">
        <is>
          <t>Erős</t>
        </is>
      </c>
      <c r="F288" s="6" t="inlineStr">
        <is>
          <t>az elmúlt 30 napban</t>
        </is>
      </c>
      <c r="G288" s="6" t="inlineStr">
        <is>
          <t>Légtechnikai bilincs</t>
        </is>
      </c>
    </row>
    <row r="289">
      <c r="A289" s="6" t="inlineStr">
        <is>
          <t>GRO3778</t>
        </is>
      </c>
      <c r="B289" s="6" t="inlineStr">
        <is>
          <t>Ona szövetszálas ragasztószalag 50 mm</t>
        </is>
      </c>
      <c r="C289" s="6" t="inlineStr">
        <is>
          <t>Légtechnikai cső, idom, bilincs</t>
        </is>
      </c>
      <c r="D289" s="6" t="inlineStr"/>
      <c r="E289" s="6" t="inlineStr">
        <is>
          <t>Erős</t>
        </is>
      </c>
      <c r="F289" s="6" t="inlineStr">
        <is>
          <t>az elmúlt 30 napban</t>
        </is>
      </c>
      <c r="G289" s="6" t="inlineStr">
        <is>
          <t>ONA ragasztószalag légcsatornához</t>
        </is>
      </c>
    </row>
    <row r="290">
      <c r="A290" s="6" t="inlineStr">
        <is>
          <t>GRO3779</t>
        </is>
      </c>
      <c r="B290" s="6" t="inlineStr">
        <is>
          <t>ONA fémezett fólia-ragasztószalag 75 mm</t>
        </is>
      </c>
      <c r="C290" s="6" t="inlineStr">
        <is>
          <t>Légtechnikai cső, idom, bilincs</t>
        </is>
      </c>
      <c r="D290" s="6" t="inlineStr"/>
      <c r="E290" s="6" t="inlineStr">
        <is>
          <t>Erős</t>
        </is>
      </c>
      <c r="F290" s="6" t="inlineStr">
        <is>
          <t>az elmúlt 30 napban</t>
        </is>
      </c>
      <c r="G290" s="6" t="inlineStr">
        <is>
          <t>ONA ragasztószalag légcsatornához</t>
        </is>
      </c>
    </row>
    <row r="291">
      <c r="A291" s="6" t="inlineStr">
        <is>
          <t>GRO4304</t>
        </is>
      </c>
      <c r="B291" s="6" t="inlineStr">
        <is>
          <t>AC Infinity Zajcsökkentő bilincs rozsdamentes acél 100mm</t>
        </is>
      </c>
      <c r="C291" s="6" t="inlineStr">
        <is>
          <t>Légtechnikai cső, idom, bilincs</t>
        </is>
      </c>
      <c r="D291" s="6" t="inlineStr"/>
      <c r="E291" s="6" t="inlineStr">
        <is>
          <t>Erős</t>
        </is>
      </c>
      <c r="F291" s="6" t="inlineStr">
        <is>
          <t>az elmúlt 30 napban</t>
        </is>
      </c>
      <c r="G291" s="6" t="inlineStr">
        <is>
          <t>Légtechnikai bilincs</t>
        </is>
      </c>
    </row>
    <row r="292">
      <c r="A292" s="6" t="inlineStr">
        <is>
          <t>GRO4305</t>
        </is>
      </c>
      <c r="B292" s="6" t="inlineStr">
        <is>
          <t>AC Infinity aluflex flexibilis cső d: 100 mm 2,44 m</t>
        </is>
      </c>
      <c r="C292" s="6" t="inlineStr">
        <is>
          <t>Légtechnikai cső, idom, bilincs</t>
        </is>
      </c>
      <c r="D292" s="6" t="inlineStr"/>
      <c r="E292" s="6" t="inlineStr">
        <is>
          <t>Erős</t>
        </is>
      </c>
      <c r="F292" s="6" t="inlineStr">
        <is>
          <t>az elmúlt 30 napban</t>
        </is>
      </c>
      <c r="G292" s="6" t="inlineStr">
        <is>
          <t>Flexibilis légcsatorna cső (Aluflex, Sonoflex, Combiflex)</t>
        </is>
      </c>
    </row>
    <row r="293">
      <c r="A293" s="6" t="inlineStr">
        <is>
          <t>GRO4501</t>
        </is>
      </c>
      <c r="B293" s="6" t="inlineStr">
        <is>
          <t>Flexibilis alumínium légcsatorna cső AC Infinity 150 mm, 2,4 m, 2 bilinccsel</t>
        </is>
      </c>
      <c r="C293" s="6" t="inlineStr">
        <is>
          <t>Légtechnikai cső, idom, bilincs</t>
        </is>
      </c>
      <c r="D293" s="6" t="inlineStr"/>
      <c r="E293" s="6" t="inlineStr">
        <is>
          <t>Erős</t>
        </is>
      </c>
      <c r="F293" s="6" t="inlineStr">
        <is>
          <t>az elmúlt 30 napban</t>
        </is>
      </c>
      <c r="G293" s="6" t="inlineStr">
        <is>
          <t>Flexibilis légcsatorna cső (Aluflex, Sonoflex, Combiflex)</t>
        </is>
      </c>
    </row>
    <row r="294">
      <c r="A294" s="6" t="inlineStr">
        <is>
          <t>GRO4529</t>
        </is>
      </c>
      <c r="B294" s="6" t="inlineStr">
        <is>
          <t>AC Infinity Aluflex négyrétegű flexibilis légcsatorna cső 200 mm, 7,6 m</t>
        </is>
      </c>
      <c r="C294" s="6" t="inlineStr">
        <is>
          <t>Légtechnikai cső, idom, bilincs</t>
        </is>
      </c>
      <c r="D294" s="6" t="inlineStr"/>
      <c r="E294" s="6" t="inlineStr">
        <is>
          <t>Erős</t>
        </is>
      </c>
      <c r="F294" s="6" t="inlineStr">
        <is>
          <t>az elmúlt 30 napban</t>
        </is>
      </c>
      <c r="G294" s="6" t="inlineStr">
        <is>
          <t>Flexibilis légcsatorna cső (Aluflex, Sonoflex, Combiflex)</t>
        </is>
      </c>
    </row>
    <row r="295">
      <c r="A295" s="6" t="inlineStr">
        <is>
          <t>GRO4703</t>
        </is>
      </c>
      <c r="B295" s="6" t="inlineStr">
        <is>
          <t>Aluflex flexibilis légcső 102 mm, 3 m</t>
        </is>
      </c>
      <c r="C295" s="6" t="inlineStr">
        <is>
          <t>Légtechnikai cső, idom, bilincs</t>
        </is>
      </c>
      <c r="D295" s="6" t="inlineStr"/>
      <c r="E295" s="6" t="inlineStr">
        <is>
          <t>Erős</t>
        </is>
      </c>
      <c r="F295" s="6" t="inlineStr">
        <is>
          <t>az elmúlt 30 napban</t>
        </is>
      </c>
      <c r="G295" s="6" t="inlineStr">
        <is>
          <t>Flexibilis légcsatorna cső (Aluflex, Sonoflex, Combiflex)</t>
        </is>
      </c>
    </row>
    <row r="296">
      <c r="A296" s="6" t="inlineStr">
        <is>
          <t>GRO4705</t>
        </is>
      </c>
      <c r="B296" s="6" t="inlineStr">
        <is>
          <t>Aluflex flexibilis légcső 152 mm, 3 m</t>
        </is>
      </c>
      <c r="C296" s="6" t="inlineStr">
        <is>
          <t>Légtechnikai cső, idom, bilincs</t>
        </is>
      </c>
      <c r="D296" s="6" t="inlineStr"/>
      <c r="E296" s="6" t="inlineStr">
        <is>
          <t>Erős</t>
        </is>
      </c>
      <c r="F296" s="6" t="inlineStr">
        <is>
          <t>az elmúlt 30 napban</t>
        </is>
      </c>
      <c r="G296" s="6" t="inlineStr">
        <is>
          <t>Flexibilis légcsatorna cső (Aluflex, Sonoflex, Combiflex)</t>
        </is>
      </c>
    </row>
    <row r="297">
      <c r="A297" s="6" t="inlineStr">
        <is>
          <t>GRO0791</t>
        </is>
      </c>
      <c r="B297" s="6" t="inlineStr">
        <is>
          <t>Peltier páramentesítő 250 ml/nap, 500 ml víztartály, kompakt méret</t>
        </is>
      </c>
      <c r="C297" s="6" t="inlineStr">
        <is>
          <t>Páramentesítő</t>
        </is>
      </c>
      <c r="D297" s="6" t="inlineStr"/>
      <c r="E297" s="6" t="inlineStr">
        <is>
          <t>Erős</t>
        </is>
      </c>
      <c r="F297" s="6" t="inlineStr">
        <is>
          <t>az elmúlt 30 napban</t>
        </is>
      </c>
      <c r="G297" s="6" t="inlineStr">
        <is>
          <t>Páramentesítő</t>
        </is>
      </c>
    </row>
    <row r="298">
      <c r="A298" s="6" t="inlineStr">
        <is>
          <t>GRO3787</t>
        </is>
      </c>
      <c r="B298" s="6" t="inlineStr">
        <is>
          <t>Cornwall Electronics ipari páramentesítő 50l / 24h</t>
        </is>
      </c>
      <c r="C298" s="6" t="inlineStr">
        <is>
          <t>Páramentesítő</t>
        </is>
      </c>
      <c r="D298" s="6" t="inlineStr"/>
      <c r="E298" s="6" t="inlineStr">
        <is>
          <t>Erős</t>
        </is>
      </c>
      <c r="F298" s="6" t="inlineStr">
        <is>
          <t>az elmúlt 30 napban</t>
        </is>
      </c>
      <c r="G298" s="6" t="inlineStr">
        <is>
          <t>Páramentesítő</t>
        </is>
      </c>
    </row>
    <row r="299">
      <c r="A299" s="6" t="inlineStr">
        <is>
          <t>GRO4409</t>
        </is>
      </c>
      <c r="B299" s="6" t="inlineStr">
        <is>
          <t>Cornwall Electronics Arica páramantesítő 12 liter</t>
        </is>
      </c>
      <c r="C299" s="6" t="inlineStr">
        <is>
          <t>Páramentesítő</t>
        </is>
      </c>
      <c r="D299" s="6" t="inlineStr"/>
      <c r="E299" s="6" t="inlineStr">
        <is>
          <t>Erős</t>
        </is>
      </c>
      <c r="F299" s="6" t="inlineStr">
        <is>
          <t>az elmúlt 30 napban</t>
        </is>
      </c>
      <c r="G299" s="6" t="inlineStr">
        <is>
          <t>Páramentesítő</t>
        </is>
      </c>
    </row>
    <row r="300">
      <c r="A300" s="6" t="inlineStr">
        <is>
          <t>GRO4497</t>
        </is>
      </c>
      <c r="B300" s="6" t="inlineStr">
        <is>
          <t>AC Infinity HYDRONE 5 növény páramentesítő 10 fokozat</t>
        </is>
      </c>
      <c r="C300" s="6" t="inlineStr">
        <is>
          <t>Páramentesítő</t>
        </is>
      </c>
      <c r="D300" s="6" t="inlineStr"/>
      <c r="E300" s="6" t="inlineStr">
        <is>
          <t>Erős</t>
        </is>
      </c>
      <c r="F300" s="6" t="inlineStr">
        <is>
          <t>az elmúlt 30 napban</t>
        </is>
      </c>
      <c r="G300" s="6" t="inlineStr">
        <is>
          <t>Páramentesítő</t>
        </is>
      </c>
    </row>
    <row r="301">
      <c r="A301" s="6" t="inlineStr">
        <is>
          <t>GRO1461</t>
        </is>
      </c>
      <c r="B301" s="6" t="inlineStr">
        <is>
          <t>Neptune Hydroponics Mist Maker ultrahangos párásító 24 V, vízszintérzékelővel</t>
        </is>
      </c>
      <c r="C301" s="6" t="inlineStr">
        <is>
          <t>Párásító</t>
        </is>
      </c>
      <c r="D301" s="6" t="inlineStr"/>
      <c r="E301" s="6" t="inlineStr">
        <is>
          <t>Erős</t>
        </is>
      </c>
      <c r="F301" s="6" t="inlineStr">
        <is>
          <t>az elmúlt 30 napban</t>
        </is>
      </c>
      <c r="G301" s="6" t="inlineStr">
        <is>
          <t>Párásító (ultrahangos, Cloudforge, Dark Fogger)</t>
        </is>
      </c>
    </row>
    <row r="302">
      <c r="A302" s="6" t="inlineStr">
        <is>
          <t>GRO3841</t>
        </is>
      </c>
      <c r="B302" s="6" t="inlineStr">
        <is>
          <t>Cornwall Electronics párásító</t>
        </is>
      </c>
      <c r="C302" s="6" t="inlineStr">
        <is>
          <t>Párásító</t>
        </is>
      </c>
      <c r="D302" s="6" t="inlineStr"/>
      <c r="E302" s="6" t="inlineStr">
        <is>
          <t>Erős</t>
        </is>
      </c>
      <c r="F302" s="6" t="inlineStr">
        <is>
          <t>az elmúlt 30 napban</t>
        </is>
      </c>
      <c r="G302" s="6" t="inlineStr">
        <is>
          <t>Párásító (ultrahangos, Cloudforge, Dark Fogger)</t>
        </is>
      </c>
    </row>
    <row r="303">
      <c r="A303" s="6" t="inlineStr">
        <is>
          <t>GRO4200</t>
        </is>
      </c>
      <c r="B303" s="6" t="inlineStr">
        <is>
          <t>AC Infinity Cloudforge T3 párásító intelligens,célzott párakibocsátással 4,5 L</t>
        </is>
      </c>
      <c r="C303" s="6" t="inlineStr">
        <is>
          <t>Párásító</t>
        </is>
      </c>
      <c r="D303" s="6" t="inlineStr"/>
      <c r="E303" s="6" t="inlineStr">
        <is>
          <t>Erős</t>
        </is>
      </c>
      <c r="F303" s="6" t="inlineStr">
        <is>
          <t>az elmúlt 30 napban</t>
        </is>
      </c>
      <c r="G303" s="6" t="inlineStr">
        <is>
          <t>Párásító (ultrahangos, Cloudforge, Dark Fogger)</t>
        </is>
      </c>
    </row>
    <row r="304">
      <c r="A304" s="6" t="inlineStr">
        <is>
          <t>GRO4209</t>
        </is>
      </c>
      <c r="B304" s="6" t="inlineStr">
        <is>
          <t>AC Infinity Cloudforge T7 párásító intelligens,célzott párakibocsátással 15 L</t>
        </is>
      </c>
      <c r="C304" s="6" t="inlineStr">
        <is>
          <t>Párásító</t>
        </is>
      </c>
      <c r="D304" s="6" t="inlineStr"/>
      <c r="E304" s="6" t="inlineStr">
        <is>
          <t>Erős</t>
        </is>
      </c>
      <c r="F304" s="6" t="inlineStr">
        <is>
          <t>az elmúlt 30 napban</t>
        </is>
      </c>
      <c r="G304" s="6" t="inlineStr">
        <is>
          <t>Párásító (ultrahangos, Cloudforge, Dark Fogger)</t>
        </is>
      </c>
    </row>
    <row r="305">
      <c r="A305" s="6" t="inlineStr">
        <is>
          <t>GRO4368</t>
        </is>
      </c>
      <c r="B305" s="6" t="inlineStr">
        <is>
          <t>Monzon párásító vezérlő</t>
        </is>
      </c>
      <c r="C305" s="6" t="inlineStr">
        <is>
          <t>Párásító</t>
        </is>
      </c>
      <c r="D305" s="6" t="inlineStr">
        <is>
          <t>Klímavezérlő: ventilátor-szabályzó, termosztát, higrosztát</t>
        </is>
      </c>
      <c r="E305" s="6" t="inlineStr">
        <is>
          <t>Erős</t>
        </is>
      </c>
      <c r="F305" s="6" t="inlineStr">
        <is>
          <t>az elmúlt 30 napban</t>
        </is>
      </c>
      <c r="G305" s="6" t="inlineStr">
        <is>
          <t>Párásító vezérlő</t>
        </is>
      </c>
    </row>
    <row r="306">
      <c r="A306" s="6" t="inlineStr">
        <is>
          <t>GRO4575</t>
        </is>
      </c>
      <c r="B306" s="6" t="inlineStr">
        <is>
          <t>Neptune Hydroponics Dark Fogger párásító</t>
        </is>
      </c>
      <c r="C306" s="6" t="inlineStr">
        <is>
          <t>Párásító</t>
        </is>
      </c>
      <c r="D306" s="6" t="inlineStr"/>
      <c r="E306" s="6" t="inlineStr">
        <is>
          <t>Erős</t>
        </is>
      </c>
      <c r="F306" s="6" t="inlineStr">
        <is>
          <t>az elmúlt 30 napban</t>
        </is>
      </c>
      <c r="G306" s="6" t="inlineStr">
        <is>
          <t>Párásító (ultrahangos, Cloudforge, Dark Fogger)</t>
        </is>
      </c>
    </row>
    <row r="307">
      <c r="A307" s="6" t="inlineStr">
        <is>
          <t>GRO4658</t>
        </is>
      </c>
      <c r="B307" s="6" t="inlineStr">
        <is>
          <t>AC Infinity Cloudforge T5 intelligens párásító, VPD-vezérléssel, 9 L</t>
        </is>
      </c>
      <c r="C307" s="6" t="inlineStr">
        <is>
          <t>Párásító</t>
        </is>
      </c>
      <c r="D307" s="6" t="inlineStr"/>
      <c r="E307" s="6" t="inlineStr">
        <is>
          <t>Erős</t>
        </is>
      </c>
      <c r="F307" s="6" t="inlineStr">
        <is>
          <t>az elmúlt 30 napban</t>
        </is>
      </c>
      <c r="G307" s="6" t="inlineStr">
        <is>
          <t>Párásító (ultrahangos, Cloudforge, Dark Fogger)</t>
        </is>
      </c>
    </row>
    <row r="308">
      <c r="A308" s="6" t="inlineStr">
        <is>
          <t>GRO0797</t>
        </is>
      </c>
      <c r="B308" s="6" t="inlineStr">
        <is>
          <t>Ozonizátor, ózongenerátor szagtalanításhoz 200 mg/h, 7 W, időzítővel</t>
        </is>
      </c>
      <c r="C308" s="6" t="inlineStr">
        <is>
          <t>Szagsemlegesítő, ózongenerátor</t>
        </is>
      </c>
      <c r="D308" s="6" t="inlineStr"/>
      <c r="E308" s="6" t="inlineStr">
        <is>
          <t>Erős</t>
        </is>
      </c>
      <c r="F308" s="6" t="inlineStr">
        <is>
          <t>az elmúlt 30 napban</t>
        </is>
      </c>
      <c r="G308" s="6" t="inlineStr">
        <is>
          <t>Ózongenerátor</t>
        </is>
      </c>
    </row>
    <row r="309">
      <c r="A309" s="6" t="inlineStr">
        <is>
          <t>GRO2472</t>
        </is>
      </c>
      <c r="B309" s="6" t="inlineStr">
        <is>
          <t>ONA Block szagsemlegesítő tömb Pro illat, 170 g, kis helyekre és légcsatornába</t>
        </is>
      </c>
      <c r="C309" s="6" t="inlineStr">
        <is>
          <t>Szagsemlegesítő, ózongenerátor</t>
        </is>
      </c>
      <c r="D309" s="6" t="inlineStr"/>
      <c r="E309" s="6" t="inlineStr">
        <is>
          <t>Erős</t>
        </is>
      </c>
      <c r="F309" s="6" t="inlineStr">
        <is>
          <t>az elmúlt 30 napban</t>
        </is>
      </c>
      <c r="G309" s="6" t="inlineStr">
        <is>
          <t>ONA gél, tömb, spray, folyadék</t>
        </is>
      </c>
    </row>
    <row r="310">
      <c r="A310" s="6" t="inlineStr">
        <is>
          <t>GRO2473</t>
        </is>
      </c>
      <c r="B310" s="6" t="inlineStr">
        <is>
          <t>ONA Block szagsemlegesítő tömb Polar Crystal illat, 170 g, kis helyekre és légcsatornába</t>
        </is>
      </c>
      <c r="C310" s="6" t="inlineStr">
        <is>
          <t>Szagsemlegesítő, ózongenerátor</t>
        </is>
      </c>
      <c r="D310" s="6" t="inlineStr"/>
      <c r="E310" s="6" t="inlineStr">
        <is>
          <t>Erős</t>
        </is>
      </c>
      <c r="F310" s="6" t="inlineStr">
        <is>
          <t>az elmúlt 30 napban</t>
        </is>
      </c>
      <c r="G310" s="6" t="inlineStr">
        <is>
          <t>ONA gél, tömb, spray, folyadék</t>
        </is>
      </c>
    </row>
    <row r="311">
      <c r="A311" s="6" t="inlineStr">
        <is>
          <t>GRO2474</t>
        </is>
      </c>
      <c r="B311" s="6" t="inlineStr">
        <is>
          <t>ONA Block szagsemlegesítő tömb Fresh Linen illat, 170 g, kis helyekre és légcsatornába</t>
        </is>
      </c>
      <c r="C311" s="6" t="inlineStr">
        <is>
          <t>Szagsemlegesítő, ózongenerátor</t>
        </is>
      </c>
      <c r="D311" s="6" t="inlineStr"/>
      <c r="E311" s="6" t="inlineStr">
        <is>
          <t>Erős</t>
        </is>
      </c>
      <c r="F311" s="6" t="inlineStr">
        <is>
          <t>az elmúlt 30 napban</t>
        </is>
      </c>
      <c r="G311" s="6" t="inlineStr">
        <is>
          <t>ONA gél, tömb, spray, folyadék</t>
        </is>
      </c>
    </row>
    <row r="312">
      <c r="A312" s="6" t="inlineStr">
        <is>
          <t>GRO2475</t>
        </is>
      </c>
      <c r="B312" s="6" t="inlineStr">
        <is>
          <t>ONA Gel szagsemlegesítő zselé Pro illat, 500 ml (400 g)</t>
        </is>
      </c>
      <c r="C312" s="6" t="inlineStr">
        <is>
          <t>Szagsemlegesítő, ózongenerátor</t>
        </is>
      </c>
      <c r="D312" s="6" t="inlineStr"/>
      <c r="E312" s="6" t="inlineStr">
        <is>
          <t>Erős</t>
        </is>
      </c>
      <c r="F312" s="6" t="inlineStr">
        <is>
          <t>az elmúlt 30 napban</t>
        </is>
      </c>
      <c r="G312" s="6" t="inlineStr">
        <is>
          <t>ONA gél, tömb, spray, folyadék</t>
        </is>
      </c>
    </row>
    <row r="313">
      <c r="A313" s="6" t="inlineStr">
        <is>
          <t>GRO2476</t>
        </is>
      </c>
      <c r="B313" s="6" t="inlineStr">
        <is>
          <t>ONA Gel szagsemlegesítő zselé (Pro) 1 liter</t>
        </is>
      </c>
      <c r="C313" s="6" t="inlineStr">
        <is>
          <t>Szagsemlegesítő, ózongenerátor</t>
        </is>
      </c>
      <c r="D313" s="6" t="inlineStr"/>
      <c r="E313" s="6" t="inlineStr">
        <is>
          <t>Erős</t>
        </is>
      </c>
      <c r="F313" s="6" t="inlineStr">
        <is>
          <t>az elmúlt 30 napban</t>
        </is>
      </c>
      <c r="G313" s="6" t="inlineStr">
        <is>
          <t>ONA gél, tömb, spray, folyadék</t>
        </is>
      </c>
    </row>
    <row r="314">
      <c r="A314" s="6" t="inlineStr">
        <is>
          <t>GRO2477</t>
        </is>
      </c>
      <c r="B314" s="6" t="inlineStr">
        <is>
          <t>ONA Gel szagsemlegesítő zselé (Pro) 4 liter</t>
        </is>
      </c>
      <c r="C314" s="6" t="inlineStr">
        <is>
          <t>Szagsemlegesítő, ózongenerátor</t>
        </is>
      </c>
      <c r="D314" s="6" t="inlineStr"/>
      <c r="E314" s="6" t="inlineStr">
        <is>
          <t>Erős</t>
        </is>
      </c>
      <c r="F314" s="6" t="inlineStr">
        <is>
          <t>az elmúlt 30 napban</t>
        </is>
      </c>
      <c r="G314" s="6" t="inlineStr">
        <is>
          <t>ONA gél, tömb, spray, folyadék</t>
        </is>
      </c>
    </row>
    <row r="315">
      <c r="A315" s="6" t="inlineStr">
        <is>
          <t>GRO2478</t>
        </is>
      </c>
      <c r="B315" s="6" t="inlineStr">
        <is>
          <t>ONA Gel szagsemlegesítő zselé Polar Crystal illat, 500 ml (400 g)</t>
        </is>
      </c>
      <c r="C315" s="6" t="inlineStr">
        <is>
          <t>Szagsemlegesítő, ózongenerátor</t>
        </is>
      </c>
      <c r="D315" s="6" t="inlineStr"/>
      <c r="E315" s="6" t="inlineStr">
        <is>
          <t>Erős</t>
        </is>
      </c>
      <c r="F315" s="6" t="inlineStr">
        <is>
          <t>az elmúlt 30 napban</t>
        </is>
      </c>
      <c r="G315" s="6" t="inlineStr">
        <is>
          <t>ONA gél, tömb, spray, folyadék</t>
        </is>
      </c>
    </row>
    <row r="316">
      <c r="A316" s="6" t="inlineStr">
        <is>
          <t>GRO2479</t>
        </is>
      </c>
      <c r="B316" s="6" t="inlineStr">
        <is>
          <t>ONA Gel szagsemlegesítő zselé Polar Crystal illat, 1 liter (732 g)</t>
        </is>
      </c>
      <c r="C316" s="6" t="inlineStr">
        <is>
          <t>Szagsemlegesítő, ózongenerátor</t>
        </is>
      </c>
      <c r="D316" s="6" t="inlineStr"/>
      <c r="E316" s="6" t="inlineStr">
        <is>
          <t>Erős</t>
        </is>
      </c>
      <c r="F316" s="6" t="inlineStr">
        <is>
          <t>az elmúlt 30 napban</t>
        </is>
      </c>
      <c r="G316" s="6" t="inlineStr">
        <is>
          <t>ONA gél, tömb, spray, folyadék</t>
        </is>
      </c>
    </row>
    <row r="317">
      <c r="A317" s="6" t="inlineStr">
        <is>
          <t>GRO2480</t>
        </is>
      </c>
      <c r="B317" s="6" t="inlineStr">
        <is>
          <t>ONA Gel szagsemlegesítő zselé (Polar Crystal) 4 liter</t>
        </is>
      </c>
      <c r="C317" s="6" t="inlineStr">
        <is>
          <t>Szagsemlegesítő, ózongenerátor</t>
        </is>
      </c>
      <c r="D317" s="6" t="inlineStr"/>
      <c r="E317" s="6" t="inlineStr">
        <is>
          <t>Erős</t>
        </is>
      </c>
      <c r="F317" s="6" t="inlineStr">
        <is>
          <t>az elmúlt 30 napban</t>
        </is>
      </c>
      <c r="G317" s="6" t="inlineStr">
        <is>
          <t>ONA gél, tömb, spray, folyadék</t>
        </is>
      </c>
    </row>
    <row r="318">
      <c r="A318" s="6" t="inlineStr">
        <is>
          <t>GRO2481</t>
        </is>
      </c>
      <c r="B318" s="6" t="inlineStr">
        <is>
          <t>ONA Gel szagsemlegesítő zselé Fresh Linen illat, 500 ml (400 g)</t>
        </is>
      </c>
      <c r="C318" s="6" t="inlineStr">
        <is>
          <t>Szagsemlegesítő, ózongenerátor</t>
        </is>
      </c>
      <c r="D318" s="6" t="inlineStr"/>
      <c r="E318" s="6" t="inlineStr">
        <is>
          <t>Erős</t>
        </is>
      </c>
      <c r="F318" s="6" t="inlineStr">
        <is>
          <t>az elmúlt 30 napban</t>
        </is>
      </c>
      <c r="G318" s="6" t="inlineStr">
        <is>
          <t>ONA gél, tömb, spray, folyadék</t>
        </is>
      </c>
    </row>
    <row r="319">
      <c r="A319" s="6" t="inlineStr">
        <is>
          <t>GRO2483</t>
        </is>
      </c>
      <c r="B319" s="6" t="inlineStr">
        <is>
          <t>ONA Gel szagsemlegesítő zselé Fresh Linen illat, 4 liter (3,8 kg)</t>
        </is>
      </c>
      <c r="C319" s="6" t="inlineStr">
        <is>
          <t>Szagsemlegesítő, ózongenerátor</t>
        </is>
      </c>
      <c r="D319" s="6" t="inlineStr"/>
      <c r="E319" s="6" t="inlineStr">
        <is>
          <t>Erős</t>
        </is>
      </c>
      <c r="F319" s="6" t="inlineStr">
        <is>
          <t>az elmúlt 30 napban</t>
        </is>
      </c>
      <c r="G319" s="6" t="inlineStr">
        <is>
          <t>ONA gél, tömb, spray, folyadék</t>
        </is>
      </c>
    </row>
    <row r="320">
      <c r="A320" s="6" t="inlineStr">
        <is>
          <t>GRO2485</t>
        </is>
      </c>
      <c r="B320" s="6" t="inlineStr">
        <is>
          <t>ONA Air Filter beépíthető szagtalanító ONA Block tömbökhöz, 100 mm-es légcsatornába</t>
        </is>
      </c>
      <c r="C320" s="6" t="inlineStr">
        <is>
          <t>Szagsemlegesítő, ózongenerátor</t>
        </is>
      </c>
      <c r="D320" s="6" t="inlineStr">
        <is>
          <t>Légtechnikai cső, idom, bilincs</t>
        </is>
      </c>
      <c r="E320" s="6" t="inlineStr">
        <is>
          <t>Erős</t>
        </is>
      </c>
      <c r="F320" s="6" t="inlineStr">
        <is>
          <t>az elmúlt 30 napban</t>
        </is>
      </c>
      <c r="G320" s="6" t="inlineStr">
        <is>
          <t>ONA Air Filter – légcsatornába építhető</t>
        </is>
      </c>
    </row>
    <row r="321">
      <c r="A321" s="6" t="inlineStr">
        <is>
          <t>GRO2486</t>
        </is>
      </c>
      <c r="B321" s="6" t="inlineStr">
        <is>
          <t>ONA Air Filter beépíthető szagtalanító ONA Block tömbökhöz, 125 mm-es légcsatornába</t>
        </is>
      </c>
      <c r="C321" s="6" t="inlineStr">
        <is>
          <t>Szagsemlegesítő, ózongenerátor</t>
        </is>
      </c>
      <c r="D321" s="6" t="inlineStr">
        <is>
          <t>Légtechnikai cső, idom, bilincs</t>
        </is>
      </c>
      <c r="E321" s="6" t="inlineStr">
        <is>
          <t>Erős</t>
        </is>
      </c>
      <c r="F321" s="6" t="inlineStr">
        <is>
          <t>az elmúlt 30 napban</t>
        </is>
      </c>
      <c r="G321" s="6" t="inlineStr">
        <is>
          <t>ONA Air Filter – légcsatornába építhető</t>
        </is>
      </c>
    </row>
    <row r="322">
      <c r="A322" s="6" t="inlineStr">
        <is>
          <t>GRO2487</t>
        </is>
      </c>
      <c r="B322" s="6" t="inlineStr">
        <is>
          <t>ONA Air Filter beépíthető szagtalanító ONA Block tömbökhöz, 150 mm-es légcsatornába</t>
        </is>
      </c>
      <c r="C322" s="6" t="inlineStr">
        <is>
          <t>Szagsemlegesítő, ózongenerátor</t>
        </is>
      </c>
      <c r="D322" s="6" t="inlineStr">
        <is>
          <t>Légtechnikai cső, idom, bilincs</t>
        </is>
      </c>
      <c r="E322" s="6" t="inlineStr">
        <is>
          <t>Erős</t>
        </is>
      </c>
      <c r="F322" s="6" t="inlineStr">
        <is>
          <t>az elmúlt 30 napban</t>
        </is>
      </c>
      <c r="G322" s="6" t="inlineStr">
        <is>
          <t>ONA Air Filter – légcsatornába építhető</t>
        </is>
      </c>
    </row>
    <row r="323">
      <c r="A323" s="6" t="inlineStr">
        <is>
          <t>GRO2488</t>
        </is>
      </c>
      <c r="B323" s="6" t="inlineStr">
        <is>
          <t>ONA Air Filter beépíthető szagtalanító ONA Block tömbökhöz, 200 mm-es légcsatornába</t>
        </is>
      </c>
      <c r="C323" s="6" t="inlineStr">
        <is>
          <t>Szagsemlegesítő, ózongenerátor</t>
        </is>
      </c>
      <c r="D323" s="6" t="inlineStr">
        <is>
          <t>Légtechnikai cső, idom, bilincs</t>
        </is>
      </c>
      <c r="E323" s="6" t="inlineStr">
        <is>
          <t>Erős</t>
        </is>
      </c>
      <c r="F323" s="6" t="inlineStr">
        <is>
          <t>az elmúlt 30 napban</t>
        </is>
      </c>
      <c r="G323" s="6" t="inlineStr">
        <is>
          <t>ONA Air Filter – légcsatornába építhető</t>
        </is>
      </c>
    </row>
    <row r="324">
      <c r="A324" s="6" t="inlineStr">
        <is>
          <t>GRO2489</t>
        </is>
      </c>
      <c r="B324" s="6" t="inlineStr">
        <is>
          <t>ONA Air Filter beépíthető szagtalanító ONA Block tömbökhöz, 250 mm-es légcsatornába</t>
        </is>
      </c>
      <c r="C324" s="6" t="inlineStr">
        <is>
          <t>Szagsemlegesítő, ózongenerátor</t>
        </is>
      </c>
      <c r="D324" s="6" t="inlineStr">
        <is>
          <t>Légtechnikai cső, idom, bilincs</t>
        </is>
      </c>
      <c r="E324" s="6" t="inlineStr">
        <is>
          <t>Erős</t>
        </is>
      </c>
      <c r="F324" s="6" t="inlineStr">
        <is>
          <t>az elmúlt 30 napban</t>
        </is>
      </c>
      <c r="G324" s="6" t="inlineStr">
        <is>
          <t>ONA Air Filter – légcsatornába építhető</t>
        </is>
      </c>
    </row>
    <row r="325">
      <c r="A325" s="6" t="inlineStr">
        <is>
          <t>GRO2653</t>
        </is>
      </c>
      <c r="B325" s="6" t="inlineStr">
        <is>
          <t>ONA Air Filter beépíthető szagtalanító ONA Block tömbökhöz, 315 mm-es légcsatornába</t>
        </is>
      </c>
      <c r="C325" s="6" t="inlineStr">
        <is>
          <t>Szagsemlegesítő, ózongenerátor</t>
        </is>
      </c>
      <c r="D325" s="6" t="inlineStr">
        <is>
          <t>Légtechnikai cső, idom, bilincs</t>
        </is>
      </c>
      <c r="E325" s="6" t="inlineStr">
        <is>
          <t>Erős</t>
        </is>
      </c>
      <c r="F325" s="6" t="inlineStr">
        <is>
          <t>az elmúlt 30 napban</t>
        </is>
      </c>
      <c r="G325" s="6" t="inlineStr">
        <is>
          <t>ONA Air Filter – légcsatornába építhető</t>
        </is>
      </c>
    </row>
    <row r="326">
      <c r="A326" s="6" t="inlineStr">
        <is>
          <t>GRO2781</t>
        </is>
      </c>
      <c r="B326" s="6" t="inlineStr">
        <is>
          <t>ONA Card sprayer zsebméretű szagsemlegesítő spray Apple Crumble illat</t>
        </is>
      </c>
      <c r="C326" s="6" t="inlineStr">
        <is>
          <t>Szagsemlegesítő, ózongenerátor</t>
        </is>
      </c>
      <c r="D326" s="6" t="inlineStr"/>
      <c r="E326" s="6" t="inlineStr">
        <is>
          <t>Erős</t>
        </is>
      </c>
      <c r="F326" s="6" t="inlineStr">
        <is>
          <t>az elmúlt 30 napban</t>
        </is>
      </c>
      <c r="G326" s="6" t="inlineStr">
        <is>
          <t>ONA gél, tömb, spray, folyadék</t>
        </is>
      </c>
    </row>
    <row r="327">
      <c r="A327" s="6" t="inlineStr">
        <is>
          <t>GRO2785</t>
        </is>
      </c>
      <c r="B327" s="6" t="inlineStr">
        <is>
          <t>ONA Liquid szagsemlegesítő folyadék Fresh Linen illat, 1 liter (922 ml)</t>
        </is>
      </c>
      <c r="C327" s="6" t="inlineStr">
        <is>
          <t>Szagsemlegesítő, ózongenerátor</t>
        </is>
      </c>
      <c r="D327" s="6" t="inlineStr"/>
      <c r="E327" s="6" t="inlineStr">
        <is>
          <t>Erős</t>
        </is>
      </c>
      <c r="F327" s="6" t="inlineStr">
        <is>
          <t>az elmúlt 30 napban</t>
        </is>
      </c>
      <c r="G327" s="6" t="inlineStr">
        <is>
          <t>ONA gél, tömb, spray, folyadék</t>
        </is>
      </c>
    </row>
    <row r="328">
      <c r="A328" s="6" t="inlineStr">
        <is>
          <t>GRO2786</t>
        </is>
      </c>
      <c r="B328" s="6" t="inlineStr">
        <is>
          <t>ONA Liquid szagsemlegesítő folyadék Fresh Linen illat, 4 liter (3,27 l)</t>
        </is>
      </c>
      <c r="C328" s="6" t="inlineStr">
        <is>
          <t>Szagsemlegesítő, ózongenerátor</t>
        </is>
      </c>
      <c r="D328" s="6" t="inlineStr"/>
      <c r="E328" s="6" t="inlineStr">
        <is>
          <t>Erős</t>
        </is>
      </c>
      <c r="F328" s="6" t="inlineStr">
        <is>
          <t>az elmúlt 30 napban</t>
        </is>
      </c>
      <c r="G328" s="6" t="inlineStr">
        <is>
          <t>ONA gél, tömb, spray, folyadék</t>
        </is>
      </c>
    </row>
    <row r="329">
      <c r="A329" s="6" t="inlineStr">
        <is>
          <t>GRO2802</t>
        </is>
      </c>
      <c r="B329" s="6" t="inlineStr">
        <is>
          <t>ONA Gel szagsemlegesítő zselé (Fresh Linen) 20 liter</t>
        </is>
      </c>
      <c r="C329" s="6" t="inlineStr">
        <is>
          <t>Szagsemlegesítő, ózongenerátor</t>
        </is>
      </c>
      <c r="D329" s="6" t="inlineStr"/>
      <c r="E329" s="6" t="inlineStr">
        <is>
          <t>Erős</t>
        </is>
      </c>
      <c r="F329" s="6" t="inlineStr">
        <is>
          <t>az elmúlt 30 napban</t>
        </is>
      </c>
      <c r="G329" s="6" t="inlineStr">
        <is>
          <t>ONA gél, tömb, spray, folyadék</t>
        </is>
      </c>
    </row>
    <row r="330">
      <c r="A330" s="6" t="inlineStr">
        <is>
          <t>GRO3159</t>
        </is>
      </c>
      <c r="B330" s="6" t="inlineStr">
        <is>
          <t>ONA Block szagsemlegesítő tömb Apple Crumble illat, 170 g, kis helyekre és légcsatornába</t>
        </is>
      </c>
      <c r="C330" s="6" t="inlineStr">
        <is>
          <t>Szagsemlegesítő, ózongenerátor</t>
        </is>
      </c>
      <c r="D330" s="6" t="inlineStr"/>
      <c r="E330" s="6" t="inlineStr">
        <is>
          <t>Erős</t>
        </is>
      </c>
      <c r="F330" s="6" t="inlineStr">
        <is>
          <t>az elmúlt 30 napban</t>
        </is>
      </c>
      <c r="G330" s="6" t="inlineStr">
        <is>
          <t>ONA gél, tömb, spray, folyadék</t>
        </is>
      </c>
    </row>
    <row r="331">
      <c r="A331" s="6" t="inlineStr">
        <is>
          <t>GRO3160</t>
        </is>
      </c>
      <c r="B331" s="6" t="inlineStr">
        <is>
          <t>ONA Gel szagsemlegesítő zselé Apple Crumble illat, 1 liter (732 g)</t>
        </is>
      </c>
      <c r="C331" s="6" t="inlineStr">
        <is>
          <t>Szagsemlegesítő, ózongenerátor</t>
        </is>
      </c>
      <c r="D331" s="6" t="inlineStr"/>
      <c r="E331" s="6" t="inlineStr">
        <is>
          <t>Erős</t>
        </is>
      </c>
      <c r="F331" s="6" t="inlineStr">
        <is>
          <t>az elmúlt 30 napban</t>
        </is>
      </c>
      <c r="G331" s="6" t="inlineStr">
        <is>
          <t>ONA gél, tömb, spray, folyadék</t>
        </is>
      </c>
    </row>
    <row r="332">
      <c r="A332" s="6" t="inlineStr">
        <is>
          <t>GRO3161</t>
        </is>
      </c>
      <c r="B332" s="6" t="inlineStr">
        <is>
          <t>ONA Gel szagsemlegesítő zselé Apple Crumble illat, 20 literes vödör (20 kg)</t>
        </is>
      </c>
      <c r="C332" s="6" t="inlineStr">
        <is>
          <t>Szagsemlegesítő, ózongenerátor</t>
        </is>
      </c>
      <c r="D332" s="6" t="inlineStr"/>
      <c r="E332" s="6" t="inlineStr">
        <is>
          <t>Erős</t>
        </is>
      </c>
      <c r="F332" s="6" t="inlineStr">
        <is>
          <t>az elmúlt 30 napban</t>
        </is>
      </c>
      <c r="G332" s="6" t="inlineStr">
        <is>
          <t>ONA gél, tömb, spray, folyadék</t>
        </is>
      </c>
    </row>
    <row r="333">
      <c r="A333" s="6" t="inlineStr">
        <is>
          <t>GRO3162</t>
        </is>
      </c>
      <c r="B333" s="6" t="inlineStr">
        <is>
          <t>ONA Gel szagsemlegesítő zselé Apple Crumble illat, 4 liter (3,8 kg)</t>
        </is>
      </c>
      <c r="C333" s="6" t="inlineStr">
        <is>
          <t>Szagsemlegesítő, ózongenerátor</t>
        </is>
      </c>
      <c r="D333" s="6" t="inlineStr"/>
      <c r="E333" s="6" t="inlineStr">
        <is>
          <t>Erős</t>
        </is>
      </c>
      <c r="F333" s="6" t="inlineStr">
        <is>
          <t>az elmúlt 30 napban</t>
        </is>
      </c>
      <c r="G333" s="6" t="inlineStr">
        <is>
          <t>ONA gél, tömb, spray, folyadék</t>
        </is>
      </c>
    </row>
    <row r="334">
      <c r="A334" s="6" t="inlineStr">
        <is>
          <t>GRO3163</t>
        </is>
      </c>
      <c r="B334" s="6" t="inlineStr">
        <is>
          <t>ONA Gel szagsemlegesítő zselé Apple Crumble illat, 500 ml (400 g)</t>
        </is>
      </c>
      <c r="C334" s="6" t="inlineStr">
        <is>
          <t>Szagsemlegesítő, ózongenerátor</t>
        </is>
      </c>
      <c r="D334" s="6" t="inlineStr"/>
      <c r="E334" s="6" t="inlineStr">
        <is>
          <t>Erős</t>
        </is>
      </c>
      <c r="F334" s="6" t="inlineStr">
        <is>
          <t>az elmúlt 30 napban</t>
        </is>
      </c>
      <c r="G334" s="6" t="inlineStr">
        <is>
          <t>ONA gél, tömb, spray, folyadék</t>
        </is>
      </c>
    </row>
    <row r="335">
      <c r="A335" s="6" t="inlineStr">
        <is>
          <t>GRO3168</t>
        </is>
      </c>
      <c r="B335" s="6" t="inlineStr">
        <is>
          <t>ONA Spray Pumpás Szagsemlegesítő ONA Spray Apple Crumble</t>
        </is>
      </c>
      <c r="C335" s="6" t="inlineStr">
        <is>
          <t>Szagsemlegesítő, ózongenerátor</t>
        </is>
      </c>
      <c r="D335" s="6" t="inlineStr"/>
      <c r="E335" s="6" t="inlineStr">
        <is>
          <t>Erős</t>
        </is>
      </c>
      <c r="F335" s="6" t="inlineStr">
        <is>
          <t>az elmúlt 30 napban</t>
        </is>
      </c>
      <c r="G335" s="6" t="inlineStr">
        <is>
          <t>ONA gél, tömb, spray, folyadék</t>
        </is>
      </c>
    </row>
    <row r="336">
      <c r="A336" s="6" t="inlineStr">
        <is>
          <t>GRO3169</t>
        </is>
      </c>
      <c r="B336" s="6" t="inlineStr">
        <is>
          <t>ONA Spray Pumpás Szagsemlegesítő ONA Spray Pro</t>
        </is>
      </c>
      <c r="C336" s="6" t="inlineStr">
        <is>
          <t>Szagsemlegesítő, ózongenerátor</t>
        </is>
      </c>
      <c r="D336" s="6" t="inlineStr"/>
      <c r="E336" s="6" t="inlineStr">
        <is>
          <t>Erős</t>
        </is>
      </c>
      <c r="F336" s="6" t="inlineStr">
        <is>
          <t>az elmúlt 30 napban</t>
        </is>
      </c>
      <c r="G336" s="6" t="inlineStr">
        <is>
          <t>ONA gél, tömb, spray, folyadék</t>
        </is>
      </c>
    </row>
    <row r="337">
      <c r="A337" s="6" t="inlineStr">
        <is>
          <t>GRO3397</t>
        </is>
      </c>
      <c r="B337" s="6" t="inlineStr">
        <is>
          <t>ONA Block szagsemlegesítő tömb Tropics</t>
        </is>
      </c>
      <c r="C337" s="6" t="inlineStr">
        <is>
          <t>Szagsemlegesítő, ózongenerátor</t>
        </is>
      </c>
      <c r="D337" s="6" t="inlineStr"/>
      <c r="E337" s="6" t="inlineStr">
        <is>
          <t>Erős</t>
        </is>
      </c>
      <c r="F337" s="6" t="inlineStr">
        <is>
          <t>az elmúlt 30 napban</t>
        </is>
      </c>
      <c r="G337" s="6" t="inlineStr">
        <is>
          <t>ONA gél, tömb, spray, folyadék</t>
        </is>
      </c>
    </row>
    <row r="338">
      <c r="A338" s="6" t="inlineStr">
        <is>
          <t>GRO3399</t>
        </is>
      </c>
      <c r="B338" s="6" t="inlineStr">
        <is>
          <t>ONA Gel szagsemlegesítő zselé (Tropics) 1 liter</t>
        </is>
      </c>
      <c r="C338" s="6" t="inlineStr">
        <is>
          <t>Szagsemlegesítő, ózongenerátor</t>
        </is>
      </c>
      <c r="D338" s="6" t="inlineStr"/>
      <c r="E338" s="6" t="inlineStr">
        <is>
          <t>Erős</t>
        </is>
      </c>
      <c r="F338" s="6" t="inlineStr">
        <is>
          <t>az elmúlt 30 napban</t>
        </is>
      </c>
      <c r="G338" s="6" t="inlineStr">
        <is>
          <t>ONA gél, tömb, spray, folyadék</t>
        </is>
      </c>
    </row>
    <row r="339">
      <c r="A339" s="6" t="inlineStr">
        <is>
          <t>GRO3400</t>
        </is>
      </c>
      <c r="B339" s="6" t="inlineStr">
        <is>
          <t>ONA Gel szagsemlegesítő zselé (Tropics) 500 ml</t>
        </is>
      </c>
      <c r="C339" s="6" t="inlineStr">
        <is>
          <t>Szagsemlegesítő, ózongenerátor</t>
        </is>
      </c>
      <c r="D339" s="6" t="inlineStr"/>
      <c r="E339" s="6" t="inlineStr">
        <is>
          <t>Erős</t>
        </is>
      </c>
      <c r="F339" s="6" t="inlineStr">
        <is>
          <t>az elmúlt 30 napban</t>
        </is>
      </c>
      <c r="G339" s="6" t="inlineStr">
        <is>
          <t>ONA gél, tömb, spray, folyadék</t>
        </is>
      </c>
    </row>
    <row r="340">
      <c r="A340" s="6" t="inlineStr">
        <is>
          <t>GRO3401</t>
        </is>
      </c>
      <c r="B340" s="6" t="inlineStr">
        <is>
          <t>ONA Gel szagsemlegesítő zselé (Tropics) 4 liter</t>
        </is>
      </c>
      <c r="C340" s="6" t="inlineStr">
        <is>
          <t>Szagsemlegesítő, ózongenerátor</t>
        </is>
      </c>
      <c r="D340" s="6" t="inlineStr"/>
      <c r="E340" s="6" t="inlineStr">
        <is>
          <t>Erős</t>
        </is>
      </c>
      <c r="F340" s="6" t="inlineStr">
        <is>
          <t>az elmúlt 30 napban</t>
        </is>
      </c>
      <c r="G340" s="6" t="inlineStr">
        <is>
          <t>ONA gél, tömb, spray, folyadék</t>
        </is>
      </c>
    </row>
    <row r="341">
      <c r="A341" s="6" t="inlineStr">
        <is>
          <t>GRO3402</t>
        </is>
      </c>
      <c r="B341" s="6" t="inlineStr">
        <is>
          <t>ONA Gel szagsemlegesítő zselé (Tropics) 20 liter</t>
        </is>
      </c>
      <c r="C341" s="6" t="inlineStr">
        <is>
          <t>Szagsemlegesítő, ózongenerátor</t>
        </is>
      </c>
      <c r="D341" s="6" t="inlineStr"/>
      <c r="E341" s="6" t="inlineStr">
        <is>
          <t>Erős</t>
        </is>
      </c>
      <c r="F341" s="6" t="inlineStr">
        <is>
          <t>az elmúlt 30 napban</t>
        </is>
      </c>
      <c r="G341" s="6" t="inlineStr">
        <is>
          <t>ONA gél, tömb, spray, folyadék</t>
        </is>
      </c>
    </row>
    <row r="342">
      <c r="A342" s="6" t="inlineStr">
        <is>
          <t>GRO3403</t>
        </is>
      </c>
      <c r="B342" s="6" t="inlineStr">
        <is>
          <t>ONA Spray Pumpás Szagsemlegesítő ONA Spray Tropics</t>
        </is>
      </c>
      <c r="C342" s="6" t="inlineStr">
        <is>
          <t>Szagsemlegesítő, ózongenerátor</t>
        </is>
      </c>
      <c r="D342" s="6" t="inlineStr"/>
      <c r="E342" s="6" t="inlineStr">
        <is>
          <t>Erős</t>
        </is>
      </c>
      <c r="F342" s="6" t="inlineStr">
        <is>
          <t>az elmúlt 30 napban</t>
        </is>
      </c>
      <c r="G342" s="6" t="inlineStr">
        <is>
          <t>ONA gél, tömb, spray, folyadék</t>
        </is>
      </c>
    </row>
    <row r="343">
      <c r="A343" s="6" t="inlineStr">
        <is>
          <t>GRO3404</t>
        </is>
      </c>
      <c r="B343" s="6" t="inlineStr">
        <is>
          <t>ONA Block szagsemlegesítő tömb Fruit Fusion</t>
        </is>
      </c>
      <c r="C343" s="6" t="inlineStr">
        <is>
          <t>Szagsemlegesítő, ózongenerátor</t>
        </is>
      </c>
      <c r="D343" s="6" t="inlineStr"/>
      <c r="E343" s="6" t="inlineStr">
        <is>
          <t>Erős</t>
        </is>
      </c>
      <c r="F343" s="6" t="inlineStr">
        <is>
          <t>az elmúlt 30 napban</t>
        </is>
      </c>
      <c r="G343" s="6" t="inlineStr">
        <is>
          <t>ONA gél, tömb, spray, folyadék</t>
        </is>
      </c>
    </row>
    <row r="344">
      <c r="A344" s="6" t="inlineStr">
        <is>
          <t>GRO3405</t>
        </is>
      </c>
      <c r="B344" s="6" t="inlineStr">
        <is>
          <t>ONA Gel szagsemlegesítő zselé (Fruit Fusion) 1 liter</t>
        </is>
      </c>
      <c r="C344" s="6" t="inlineStr">
        <is>
          <t>Szagsemlegesítő, ózongenerátor</t>
        </is>
      </c>
      <c r="D344" s="6" t="inlineStr"/>
      <c r="E344" s="6" t="inlineStr">
        <is>
          <t>Erős</t>
        </is>
      </c>
      <c r="F344" s="6" t="inlineStr">
        <is>
          <t>az elmúlt 30 napban</t>
        </is>
      </c>
      <c r="G344" s="6" t="inlineStr">
        <is>
          <t>ONA gél, tömb, spray, folyadék</t>
        </is>
      </c>
    </row>
    <row r="345">
      <c r="A345" s="6" t="inlineStr">
        <is>
          <t>GRO3406</t>
        </is>
      </c>
      <c r="B345" s="6" t="inlineStr">
        <is>
          <t>ONA Gel szagsemlegesítő zselé (Fruit Fusion) 500 ml</t>
        </is>
      </c>
      <c r="C345" s="6" t="inlineStr">
        <is>
          <t>Szagsemlegesítő, ózongenerátor</t>
        </is>
      </c>
      <c r="D345" s="6" t="inlineStr"/>
      <c r="E345" s="6" t="inlineStr">
        <is>
          <t>Erős</t>
        </is>
      </c>
      <c r="F345" s="6" t="inlineStr">
        <is>
          <t>az elmúlt 30 napban</t>
        </is>
      </c>
      <c r="G345" s="6" t="inlineStr">
        <is>
          <t>ONA gél, tömb, spray, folyadék</t>
        </is>
      </c>
    </row>
    <row r="346">
      <c r="A346" s="6" t="inlineStr">
        <is>
          <t>GRO3407</t>
        </is>
      </c>
      <c r="B346" s="6" t="inlineStr">
        <is>
          <t>ONA Gel szagsemlegesítő zselé (Fruit Fusion) 4 liter</t>
        </is>
      </c>
      <c r="C346" s="6" t="inlineStr">
        <is>
          <t>Szagsemlegesítő, ózongenerátor</t>
        </is>
      </c>
      <c r="D346" s="6" t="inlineStr"/>
      <c r="E346" s="6" t="inlineStr">
        <is>
          <t>Erős</t>
        </is>
      </c>
      <c r="F346" s="6" t="inlineStr">
        <is>
          <t>az elmúlt 30 napban</t>
        </is>
      </c>
      <c r="G346" s="6" t="inlineStr">
        <is>
          <t>ONA gél, tömb, spray, folyadék</t>
        </is>
      </c>
    </row>
    <row r="347">
      <c r="A347" s="6" t="inlineStr">
        <is>
          <t>GRO3408</t>
        </is>
      </c>
      <c r="B347" s="6" t="inlineStr">
        <is>
          <t>ONA Gel szagsemlegesítő zselé (Fruit Fusion) 20 liter</t>
        </is>
      </c>
      <c r="C347" s="6" t="inlineStr">
        <is>
          <t>Szagsemlegesítő, ózongenerátor</t>
        </is>
      </c>
      <c r="D347" s="6" t="inlineStr"/>
      <c r="E347" s="6" t="inlineStr">
        <is>
          <t>Erős</t>
        </is>
      </c>
      <c r="F347" s="6" t="inlineStr">
        <is>
          <t>az elmúlt 30 napban</t>
        </is>
      </c>
      <c r="G347" s="6" t="inlineStr">
        <is>
          <t>ONA gél, tömb, spray, folyadék</t>
        </is>
      </c>
    </row>
    <row r="348">
      <c r="A348" s="6" t="inlineStr">
        <is>
          <t>GRO3409</t>
        </is>
      </c>
      <c r="B348" s="6" t="inlineStr">
        <is>
          <t>ONA Spray Pumpás Szagsemlegesítő ONA Spray Fruit Fusion</t>
        </is>
      </c>
      <c r="C348" s="6" t="inlineStr">
        <is>
          <t>Szagsemlegesítő, ózongenerátor</t>
        </is>
      </c>
      <c r="D348" s="6" t="inlineStr"/>
      <c r="E348" s="6" t="inlineStr">
        <is>
          <t>Erős</t>
        </is>
      </c>
      <c r="F348" s="6" t="inlineStr">
        <is>
          <t>az elmúlt 30 napban</t>
        </is>
      </c>
      <c r="G348" s="6" t="inlineStr">
        <is>
          <t>ONA gél, tömb, spray, folyadék</t>
        </is>
      </c>
    </row>
    <row r="349">
      <c r="A349" s="6" t="inlineStr">
        <is>
          <t>GRO3571</t>
        </is>
      </c>
      <c r="B349" s="6" t="inlineStr">
        <is>
          <t>Ona ventilátor Ona Cyclone</t>
        </is>
      </c>
      <c r="C349" s="6" t="inlineStr">
        <is>
          <t>Szagsemlegesítő, ózongenerátor</t>
        </is>
      </c>
      <c r="D349" s="6" t="inlineStr">
        <is>
          <t>Keringető ventilátor</t>
        </is>
      </c>
      <c r="E349" s="6" t="inlineStr">
        <is>
          <t>Erős</t>
        </is>
      </c>
      <c r="F349" s="6" t="inlineStr">
        <is>
          <t>az elmúlt 30 napban</t>
        </is>
      </c>
      <c r="G349" s="6" t="inlineStr">
        <is>
          <t>ONA ventilátor (szagsemlegesítő-párologtató)</t>
        </is>
      </c>
    </row>
    <row r="350">
      <c r="A350" s="6" t="inlineStr">
        <is>
          <t>GRO3572</t>
        </is>
      </c>
      <c r="B350" s="6" t="inlineStr">
        <is>
          <t>Ona ventilátor Ona Breeze</t>
        </is>
      </c>
      <c r="C350" s="6" t="inlineStr">
        <is>
          <t>Szagsemlegesítő, ózongenerátor</t>
        </is>
      </c>
      <c r="D350" s="6" t="inlineStr">
        <is>
          <t>Keringető ventilátor</t>
        </is>
      </c>
      <c r="E350" s="6" t="inlineStr">
        <is>
          <t>Erős</t>
        </is>
      </c>
      <c r="F350" s="6" t="inlineStr">
        <is>
          <t>az elmúlt 30 napban</t>
        </is>
      </c>
      <c r="G350" s="6" t="inlineStr">
        <is>
          <t>ONA ventilátor (szagsemlegesítő-párologtató)</t>
        </is>
      </c>
    </row>
    <row r="351">
      <c r="A351" s="6" t="inlineStr">
        <is>
          <t>GRO3693</t>
        </is>
      </c>
      <c r="B351" s="6" t="inlineStr">
        <is>
          <t>ONA Card sprayer szagsemlegesítő Fresh Linen</t>
        </is>
      </c>
      <c r="C351" s="6" t="inlineStr">
        <is>
          <t>Szagsemlegesítő, ózongenerátor</t>
        </is>
      </c>
      <c r="D351" s="6" t="inlineStr"/>
      <c r="E351" s="6" t="inlineStr">
        <is>
          <t>Erős</t>
        </is>
      </c>
      <c r="F351" s="6" t="inlineStr">
        <is>
          <t>az elmúlt 30 napban</t>
        </is>
      </c>
      <c r="G351" s="6" t="inlineStr">
        <is>
          <t>ONA gél, tömb, spray, folyadék</t>
        </is>
      </c>
    </row>
    <row r="352">
      <c r="A352" s="6" t="inlineStr">
        <is>
          <t>GRO3694</t>
        </is>
      </c>
      <c r="B352" s="6" t="inlineStr">
        <is>
          <t>ONA Card sprayer szagsemlegesítő PRO</t>
        </is>
      </c>
      <c r="C352" s="6" t="inlineStr">
        <is>
          <t>Szagsemlegesítő, ózongenerátor</t>
        </is>
      </c>
      <c r="D352" s="6" t="inlineStr"/>
      <c r="E352" s="6" t="inlineStr">
        <is>
          <t>Erős</t>
        </is>
      </c>
      <c r="F352" s="6" t="inlineStr">
        <is>
          <t>az elmúlt 30 napban</t>
        </is>
      </c>
      <c r="G352" s="6" t="inlineStr">
        <is>
          <t>ONA gél, tömb, spray, folyadék</t>
        </is>
      </c>
    </row>
    <row r="353">
      <c r="A353" s="6" t="inlineStr">
        <is>
          <t>GRO3845</t>
        </is>
      </c>
      <c r="B353" s="6" t="inlineStr">
        <is>
          <t>ONA Liquid Pro szagsemlegesítő folyadék</t>
        </is>
      </c>
      <c r="C353" s="6" t="inlineStr">
        <is>
          <t>Szagsemlegesítő, ózongenerátor</t>
        </is>
      </c>
      <c r="D353" s="6" t="inlineStr"/>
      <c r="E353" s="6" t="inlineStr">
        <is>
          <t>Erős</t>
        </is>
      </c>
      <c r="F353" s="6" t="inlineStr">
        <is>
          <t>az elmúlt 30 napban</t>
        </is>
      </c>
      <c r="G353" s="6" t="inlineStr">
        <is>
          <t>ONA gél, tömb, spray, folyadék</t>
        </is>
      </c>
    </row>
    <row r="354">
      <c r="A354" s="6" t="inlineStr">
        <is>
          <t>GRO3937</t>
        </is>
      </c>
      <c r="B354" s="6" t="inlineStr">
        <is>
          <t>ONA Gel szagsemlegesítő zselé (Lemongrass) 4 liter</t>
        </is>
      </c>
      <c r="C354" s="6" t="inlineStr">
        <is>
          <t>Szagsemlegesítő, ózongenerátor</t>
        </is>
      </c>
      <c r="D354" s="6" t="inlineStr"/>
      <c r="E354" s="6" t="inlineStr">
        <is>
          <t>Erős</t>
        </is>
      </c>
      <c r="F354" s="6" t="inlineStr">
        <is>
          <t>az elmúlt 30 napban</t>
        </is>
      </c>
      <c r="G354" s="6" t="inlineStr">
        <is>
          <t>ONA gél, tömb, spray, folyadék</t>
        </is>
      </c>
    </row>
    <row r="355">
      <c r="A355" s="6" t="inlineStr">
        <is>
          <t>GRO3938</t>
        </is>
      </c>
      <c r="B355" s="6" t="inlineStr">
        <is>
          <t>ONA Gel szagsemlegesítő zselé (Lemongrass) 500 ml</t>
        </is>
      </c>
      <c r="C355" s="6" t="inlineStr">
        <is>
          <t>Szagsemlegesítő, ózongenerátor</t>
        </is>
      </c>
      <c r="D355" s="6" t="inlineStr"/>
      <c r="E355" s="6" t="inlineStr">
        <is>
          <t>Erős</t>
        </is>
      </c>
      <c r="F355" s="6" t="inlineStr">
        <is>
          <t>az elmúlt 30 napban</t>
        </is>
      </c>
      <c r="G355" s="6" t="inlineStr">
        <is>
          <t>ONA gél, tömb, spray, folyadék</t>
        </is>
      </c>
    </row>
    <row r="356">
      <c r="A356" s="6" t="inlineStr">
        <is>
          <t>GRO3939</t>
        </is>
      </c>
      <c r="B356" s="6" t="inlineStr">
        <is>
          <t>ONA Gel szagsemlegesítő zselé (Lemongrass) 1 liter</t>
        </is>
      </c>
      <c r="C356" s="6" t="inlineStr">
        <is>
          <t>Szagsemlegesítő, ózongenerátor</t>
        </is>
      </c>
      <c r="D356" s="6" t="inlineStr"/>
      <c r="E356" s="6" t="inlineStr">
        <is>
          <t>Erős</t>
        </is>
      </c>
      <c r="F356" s="6" t="inlineStr">
        <is>
          <t>az elmúlt 30 napban</t>
        </is>
      </c>
      <c r="G356" s="6" t="inlineStr">
        <is>
          <t>ONA gél, tömb, spray, folyadék</t>
        </is>
      </c>
    </row>
    <row r="357">
      <c r="A357" s="16" t="inlineStr">
        <is>
          <t>GRO3109</t>
        </is>
      </c>
      <c r="B357" s="16" t="inlineStr">
        <is>
          <t>Secret Jardin DF16 csatlakozó sátor kivágáshoz, Ø125 mm, DF16 kerethez</t>
        </is>
      </c>
      <c r="C357" s="16" t="inlineStr">
        <is>
          <t>Légtechnikai cső, idom, bilincs</t>
        </is>
      </c>
      <c r="D357" s="16" t="inlineStr"/>
      <c r="E357" s="16" t="inlineStr">
        <is>
          <t>Laza</t>
        </is>
      </c>
      <c r="F357" s="16" t="inlineStr">
        <is>
          <t>az elmúlt 30 napban</t>
        </is>
      </c>
      <c r="G357" s="16" t="inlineStr">
        <is>
          <t>Secret Jardin DF16 csatlakozó sátor kivágáshoz</t>
        </is>
      </c>
    </row>
    <row r="358">
      <c r="A358" s="16" t="inlineStr">
        <is>
          <t>GRO3110</t>
        </is>
      </c>
      <c r="B358" s="16" t="inlineStr">
        <is>
          <t>Secret Jardin DF16 csatlakozó sátor kivágáshoz, Ø150 mm, DF16 kerethez</t>
        </is>
      </c>
      <c r="C358" s="16" t="inlineStr">
        <is>
          <t>Légtechnikai cső, idom, bilincs</t>
        </is>
      </c>
      <c r="D358" s="16" t="inlineStr"/>
      <c r="E358" s="16" t="inlineStr">
        <is>
          <t>Laza</t>
        </is>
      </c>
      <c r="F358" s="16" t="inlineStr">
        <is>
          <t>az elmúlt 30 napban</t>
        </is>
      </c>
      <c r="G358" s="16" t="inlineStr">
        <is>
          <t>Secret Jardin DF16 csatlakozó sátor kivágáshoz</t>
        </is>
      </c>
    </row>
    <row r="359">
      <c r="A359" s="16" t="inlineStr">
        <is>
          <t>GRO3530</t>
        </is>
      </c>
      <c r="B359" s="16" t="inlineStr">
        <is>
          <t>Secret Jardin sátor kivágáshoz csatlakozó (DF16 keret) Ø100 mm</t>
        </is>
      </c>
      <c r="C359" s="16" t="inlineStr">
        <is>
          <t>Légtechnikai cső, idom, bilincs</t>
        </is>
      </c>
      <c r="D359" s="16" t="inlineStr"/>
      <c r="E359" s="16" t="inlineStr">
        <is>
          <t>Laza</t>
        </is>
      </c>
      <c r="F359" s="16" t="inlineStr">
        <is>
          <t>az elmúlt 30 napban</t>
        </is>
      </c>
      <c r="G359" s="16" t="inlineStr">
        <is>
          <t>Secret Jardin DF16 csatlakozó sátor kivágáshoz</t>
        </is>
      </c>
    </row>
    <row r="360">
      <c r="A360" s="17" t="inlineStr">
        <is>
          <t>GRO2624</t>
        </is>
      </c>
      <c r="B360" s="17" t="inlineStr">
        <is>
          <t>Hailea HC-1000A vízhűtő (chiller) titán hőcserélővel, 1 HP, 300–2000 literes víztérfogathoz</t>
        </is>
      </c>
      <c r="C360" s="17" t="inlineStr">
        <is>
          <t>Hidropónia ág – Tápoldat-adagoló, vízhűtő</t>
        </is>
      </c>
      <c r="D360" s="17" t="inlineStr"/>
      <c r="E360" s="17" t="inlineStr">
        <is>
          <t>Más főkategória</t>
        </is>
      </c>
      <c r="F360" s="17" t="inlineStr">
        <is>
          <t>az elmúlt 30 napban</t>
        </is>
      </c>
      <c r="G360" s="17" t="inlineStr">
        <is>
          <t>Hailea vízhűtő (chiller) – tápoldathűtés, nem légkondi</t>
        </is>
      </c>
    </row>
    <row r="361">
      <c r="A361" s="17" t="inlineStr">
        <is>
          <t>GRO2776</t>
        </is>
      </c>
      <c r="B361" s="17" t="inlineStr">
        <is>
          <t>GrowMax Water pót szénszűrő (kókuszhéj szénblokk) GrowMax Water 3000 rendszerhez</t>
        </is>
      </c>
      <c r="C361" s="17" t="inlineStr">
        <is>
          <t>Hidropónia ág – Vízszűrő, fordított ozmózis</t>
        </is>
      </c>
      <c r="D361" s="17" t="inlineStr"/>
      <c r="E361" s="17" t="inlineStr">
        <is>
          <t>Más főkategória</t>
        </is>
      </c>
      <c r="F361" s="17" t="inlineStr">
        <is>
          <t>az elmúlt 30 napban</t>
        </is>
      </c>
      <c r="G361" s="17" t="inlineStr">
        <is>
          <t>Víztisztító pót szénszűrő – nem légszűrő</t>
        </is>
      </c>
    </row>
    <row r="362">
      <c r="A362" s="17" t="inlineStr">
        <is>
          <t>GRO1763</t>
        </is>
      </c>
      <c r="B362" s="17" t="inlineStr">
        <is>
          <t>Bordás T idom 4 mm levegőztető csőhöz</t>
        </is>
      </c>
      <c r="C362" s="17" t="inlineStr">
        <is>
          <t>Hidropónia ág – kiegészítők</t>
        </is>
      </c>
      <c r="D362" s="17" t="inlineStr"/>
      <c r="E362" s="17" t="inlineStr">
        <is>
          <t>Más főkategória</t>
        </is>
      </c>
      <c r="F362" s="17" t="inlineStr">
        <is>
          <t>az elmúlt 30 napban</t>
        </is>
      </c>
      <c r="G362" s="17" t="inlineStr">
        <is>
          <t>Levegőztető cső idom / Aqua Master szonda-tartó – nem légtechnika</t>
        </is>
      </c>
    </row>
    <row r="363">
      <c r="A363" s="17" t="inlineStr">
        <is>
          <t>GRO2625</t>
        </is>
      </c>
      <c r="B363" s="17" t="inlineStr">
        <is>
          <t>Levegőelosztó fém 4 kimenettel, szabályozószelepekkel, 6x4 mm-es csőhöz</t>
        </is>
      </c>
      <c r="C363" s="17" t="inlineStr">
        <is>
          <t>Hidropónia ág – kiegészítők</t>
        </is>
      </c>
      <c r="D363" s="17" t="inlineStr"/>
      <c r="E363" s="17" t="inlineStr">
        <is>
          <t>Más főkategória</t>
        </is>
      </c>
      <c r="F363" s="17" t="inlineStr">
        <is>
          <t>az elmúlt 30 napban</t>
        </is>
      </c>
      <c r="G363" s="17" t="inlineStr">
        <is>
          <t>Levegőztető cső idom / Aqua Master szonda-tartó – nem légtechnika</t>
        </is>
      </c>
    </row>
    <row r="364">
      <c r="A364" s="17" t="inlineStr">
        <is>
          <t>GRO4266</t>
        </is>
      </c>
      <c r="B364" s="17" t="inlineStr">
        <is>
          <t>Aqua Master bilincs d: 40 mm 3/4</t>
        </is>
      </c>
      <c r="C364" s="17" t="inlineStr">
        <is>
          <t>Hidropónia ág – kiegészítők</t>
        </is>
      </c>
      <c r="D364" s="17" t="inlineStr"/>
      <c r="E364" s="17" t="inlineStr">
        <is>
          <t>Más főkategória</t>
        </is>
      </c>
      <c r="F364" s="17" t="inlineStr">
        <is>
          <t>az elmúlt 30 napban</t>
        </is>
      </c>
      <c r="G364" s="17" t="inlineStr">
        <is>
          <t>Levegőztető cső idom / Aqua Master szonda-tartó – nem légtechnika</t>
        </is>
      </c>
    </row>
    <row r="365">
      <c r="A365" s="17" t="inlineStr">
        <is>
          <t>GRO4267</t>
        </is>
      </c>
      <c r="B365" s="17" t="inlineStr">
        <is>
          <t>Aqua Master bilincs d: 40 mm 1/2</t>
        </is>
      </c>
      <c r="C365" s="17" t="inlineStr">
        <is>
          <t>Hidropónia ág – kiegészítők</t>
        </is>
      </c>
      <c r="D365" s="17" t="inlineStr"/>
      <c r="E365" s="17" t="inlineStr">
        <is>
          <t>Más főkategória</t>
        </is>
      </c>
      <c r="F365" s="17" t="inlineStr">
        <is>
          <t>az elmúlt 30 napban</t>
        </is>
      </c>
      <c r="G365" s="17" t="inlineStr">
        <is>
          <t>Levegőztető cső idom / Aqua Master szonda-tartó – nem légtechnika</t>
        </is>
      </c>
    </row>
    <row r="366">
      <c r="A366" s="17" t="inlineStr">
        <is>
          <t>GRO4268</t>
        </is>
      </c>
      <c r="B366" s="17" t="inlineStr">
        <is>
          <t>Aqua Master szonda tartó 12 mm 1/2 (3/4 bilincshez)</t>
        </is>
      </c>
      <c r="C366" s="17" t="inlineStr">
        <is>
          <t>Hidropónia ág – kiegészítők</t>
        </is>
      </c>
      <c r="D366" s="17" t="inlineStr"/>
      <c r="E366" s="17" t="inlineStr">
        <is>
          <t>Más főkategória</t>
        </is>
      </c>
      <c r="F366" s="17" t="inlineStr">
        <is>
          <t>az elmúlt 30 napban</t>
        </is>
      </c>
      <c r="G366" s="17" t="inlineStr">
        <is>
          <t>Levegőztető cső idom / Aqua Master szonda-tartó – nem légtechnika</t>
        </is>
      </c>
    </row>
    <row r="367">
      <c r="A367" s="17" t="inlineStr">
        <is>
          <t>GRO4269</t>
        </is>
      </c>
      <c r="B367" s="17" t="inlineStr">
        <is>
          <t>Aqua Master befecskendező szelep 1/2 (1/2 bilincshez)</t>
        </is>
      </c>
      <c r="C367" s="17" t="inlineStr">
        <is>
          <t>Hidropónia ág – kiegészítők</t>
        </is>
      </c>
      <c r="D367" s="17" t="inlineStr"/>
      <c r="E367" s="17" t="inlineStr">
        <is>
          <t>Más főkategória</t>
        </is>
      </c>
      <c r="F367" s="17" t="inlineStr">
        <is>
          <t>az elmúlt 30 napban</t>
        </is>
      </c>
      <c r="G367" s="17" t="inlineStr">
        <is>
          <t>Levegőztető cső idom / Aqua Master szonda-tartó – nem légtechnika</t>
        </is>
      </c>
    </row>
    <row r="368">
      <c r="A368" s="17" t="inlineStr">
        <is>
          <t>GRO2467</t>
        </is>
      </c>
      <c r="B368" s="17" t="inlineStr">
        <is>
          <t>Aquatek 4in1 digitális talajteszter pH, nedvesség, fény és hőmérséklet mérésére</t>
        </is>
      </c>
      <c r="C368" s="17" t="inlineStr">
        <is>
          <t>Mérőműszer ág – pH / EC mérő</t>
        </is>
      </c>
      <c r="D368" s="17" t="inlineStr"/>
      <c r="E368" s="17" t="inlineStr">
        <is>
          <t>Más főkategória</t>
        </is>
      </c>
      <c r="F368" s="17" t="inlineStr">
        <is>
          <t>az elmúlt 30 napban</t>
        </is>
      </c>
      <c r="G368" s="17" t="inlineStr">
        <is>
          <t>Talaj- / tápoldat-mérő</t>
        </is>
      </c>
    </row>
    <row r="369">
      <c r="A369" s="17" t="inlineStr">
        <is>
          <t>GRO3462</t>
        </is>
      </c>
      <c r="B369" s="17" t="inlineStr">
        <is>
          <t>Bluelab Pulse Multimedia EC/MC mérő (EC/nedvesség/hőmérséklet)</t>
        </is>
      </c>
      <c r="C369" s="17" t="inlineStr">
        <is>
          <t>Mérőműszer ág – pH / EC mérő</t>
        </is>
      </c>
      <c r="D369" s="17" t="inlineStr"/>
      <c r="E369" s="17" t="inlineStr">
        <is>
          <t>Más főkategória</t>
        </is>
      </c>
      <c r="F369" s="17" t="inlineStr">
        <is>
          <t>az elmúlt 30 napban</t>
        </is>
      </c>
      <c r="G369" s="17" t="inlineStr">
        <is>
          <t>Talaj- / tápoldat-mérő</t>
        </is>
      </c>
    </row>
    <row r="370">
      <c r="A370" s="17" t="inlineStr">
        <is>
          <t>GRO3329</t>
        </is>
      </c>
      <c r="B370" s="17" t="inlineStr">
        <is>
          <t>Secret Jardin DF16 fényterelő mikro hálóval</t>
        </is>
      </c>
      <c r="C370" s="17" t="inlineStr">
        <is>
          <t>Termesztősátor ág – sátor kiegészítő</t>
        </is>
      </c>
      <c r="D370" s="17" t="inlineStr"/>
      <c r="E370" s="17" t="inlineStr">
        <is>
          <t>Más főkategória</t>
        </is>
      </c>
      <c r="F370" s="17" t="inlineStr">
        <is>
          <t>az elmúlt 30 napban</t>
        </is>
      </c>
      <c r="G370" s="17" t="inlineStr">
        <is>
          <t>Secret Jardin DF16 keret / Space Booster – sátoralkatrész</t>
        </is>
      </c>
    </row>
    <row r="371">
      <c r="A371" s="17" t="inlineStr">
        <is>
          <t>GRO3331</t>
        </is>
      </c>
      <c r="B371" s="17" t="inlineStr">
        <is>
          <t>Secret Jardin DF16 cső befogókeret 16mm</t>
        </is>
      </c>
      <c r="C371" s="17" t="inlineStr">
        <is>
          <t>Termesztősátor ág – sátor kiegészítő</t>
        </is>
      </c>
      <c r="D371" s="17" t="inlineStr"/>
      <c r="E371" s="17" t="inlineStr">
        <is>
          <t>Más főkategória</t>
        </is>
      </c>
      <c r="F371" s="17" t="inlineStr">
        <is>
          <t>az elmúlt 30 napban</t>
        </is>
      </c>
      <c r="G371" s="17" t="inlineStr">
        <is>
          <t>Secret Jardin DF16 keret / Space Booster – sátoralkatrész</t>
        </is>
      </c>
    </row>
    <row r="372">
      <c r="A372" s="17" t="inlineStr">
        <is>
          <t>GRO3878</t>
        </is>
      </c>
      <c r="B372" s="17" t="inlineStr">
        <is>
          <t>Secret Jardin space booster bővítő &amp; WEBIT háló S</t>
        </is>
      </c>
      <c r="C372" s="17" t="inlineStr">
        <is>
          <t>Termesztősátor ág – sátor kiegészítő</t>
        </is>
      </c>
      <c r="D372" s="17" t="inlineStr"/>
      <c r="E372" s="17" t="inlineStr">
        <is>
          <t>Más főkategória</t>
        </is>
      </c>
      <c r="F372" s="17" t="inlineStr">
        <is>
          <t>az elmúlt 30 napban</t>
        </is>
      </c>
      <c r="G372" s="17" t="inlineStr">
        <is>
          <t>Secret Jardin DF16 keret / Space Booster – sátoralkatrész</t>
        </is>
      </c>
    </row>
    <row r="373">
      <c r="A373" s="17" t="inlineStr">
        <is>
          <t>GRO3879</t>
        </is>
      </c>
      <c r="B373" s="17" t="inlineStr">
        <is>
          <t>Secret Jardin space booster bővítő &amp; WEBIT háló L</t>
        </is>
      </c>
      <c r="C373" s="17" t="inlineStr">
        <is>
          <t>Termesztősátor ág – sátor kiegészítő</t>
        </is>
      </c>
      <c r="D373" s="17" t="inlineStr"/>
      <c r="E373" s="17" t="inlineStr">
        <is>
          <t>Más főkategória</t>
        </is>
      </c>
      <c r="F373" s="17" t="inlineStr">
        <is>
          <t>az elmúlt 30 napban</t>
        </is>
      </c>
      <c r="G373" s="17" t="inlineStr">
        <is>
          <t>Secret Jardin DF16 keret / Space Booster – sátoralkatrész</t>
        </is>
      </c>
    </row>
    <row r="374">
      <c r="A374" s="17" t="inlineStr">
        <is>
          <t>GRO3880</t>
        </is>
      </c>
      <c r="B374" s="17" t="inlineStr">
        <is>
          <t>Secret Jardin space booster bővítő &amp; WEBIT háló W</t>
        </is>
      </c>
      <c r="C374" s="17" t="inlineStr">
        <is>
          <t>Termesztősátor ág – sátor kiegészítő</t>
        </is>
      </c>
      <c r="D374" s="17" t="inlineStr"/>
      <c r="E374" s="17" t="inlineStr">
        <is>
          <t>Más főkategória</t>
        </is>
      </c>
      <c r="F374" s="17" t="inlineStr">
        <is>
          <t>az elmúlt 30 napban</t>
        </is>
      </c>
      <c r="G374" s="17" t="inlineStr">
        <is>
          <t>Secret Jardin DF16 keret / Space Booster – sátoralkatrész</t>
        </is>
      </c>
    </row>
    <row r="375">
      <c r="A375" s="14" t="inlineStr">
        <is>
          <t>GRO0001</t>
        </is>
      </c>
      <c r="B375" s="14" t="inlineStr">
        <is>
          <t>Sylvania Grolux HPS nátriumlámpa izzó 400 W, E40, virágzáshoz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GRO0002</t>
        </is>
      </c>
      <c r="B376" s="14" t="inlineStr">
        <is>
          <t>Sylvania Grolux HPS nátriumlámpa izzó 600 W, E40, virágzáshoz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GRO0050</t>
        </is>
      </c>
      <c r="B377" s="14" t="inlineStr">
        <is>
          <t>Mylar fényvisszaverő fólia 50 μm, 1,25 m széles, méterre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GRO0052</t>
        </is>
      </c>
      <c r="B378" s="14" t="inlineStr">
        <is>
          <t>Fekete-fehér fényvisszaverő fólia 125 μm, 2 m széles, méterre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GRO0054</t>
        </is>
      </c>
      <c r="B379" s="14" t="inlineStr">
        <is>
          <t>Dán tálca apály-dagály alátét 106 x 33 cm árasztásos rendszerhez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GRO0056</t>
        </is>
      </c>
      <c r="B380" s="14" t="inlineStr">
        <is>
          <t>Dán tálca apály-dagály alátét 106 x 102 cm árasztásos rendszerhez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GRO0057</t>
        </is>
      </c>
      <c r="B381" s="14" t="inlineStr">
        <is>
          <t>Dán tálca apály-dagály alátét 106 x 202 cm árasztásos rendszerhez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GRO0067</t>
        </is>
      </c>
      <c r="B382" s="14" t="inlineStr">
        <is>
          <t>Szögletes műanyag cserép 6 liter, 17,5 x 17,5 x 25 cm, gyökércsavarodás gátló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GRO0068</t>
        </is>
      </c>
      <c r="B383" s="14" t="inlineStr">
        <is>
          <t>Görög mintás négyzetes műanyag virágcserép 18 liter, 30,5 x 30,5 cm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GRO0069</t>
        </is>
      </c>
      <c r="B384" s="14" t="inlineStr">
        <is>
          <t>Görög mintás négyzetes műanyag virágcserép 25 liter, 33,5 x 33,5 cm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GRO0070</t>
        </is>
      </c>
      <c r="B385" s="14" t="inlineStr">
        <is>
          <t>Görög mintás négyzetes műanyag virágcserép 30 liter, 36,5 x 36,5 cm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GRO0073</t>
        </is>
      </c>
      <c r="B386" s="14" t="inlineStr">
        <is>
          <t>Growth Technology Clonex gyökereztető gél dugványozáshoz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GRO0076</t>
        </is>
      </c>
      <c r="B387" s="14" t="inlineStr">
        <is>
          <t>BioBizz Bio-Grow szerves növekedési táp 500 ml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GRO0077</t>
        </is>
      </c>
      <c r="B388" s="14" t="inlineStr">
        <is>
          <t>BioBizz Bio-Grow szerves növekedési táp 1 liter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GRO0078</t>
        </is>
      </c>
      <c r="B389" s="14" t="inlineStr">
        <is>
          <t>BioBizz Bio-Grow szerves növekedési táp 5 liter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GRO0079</t>
        </is>
      </c>
      <c r="B390" s="14" t="inlineStr">
        <is>
          <t>BioBizz Bio-Grow szerves növekedési táp 10 liter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GRO0080</t>
        </is>
      </c>
      <c r="B391" s="14" t="inlineStr">
        <is>
          <t>BioBizz Bio-Bloom szerves virágzási táp 500 ml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GRO0081</t>
        </is>
      </c>
      <c r="B392" s="14" t="inlineStr">
        <is>
          <t>BioBizz Bio-Bloom szerves virágzási táp 1 liter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GRO0084</t>
        </is>
      </c>
      <c r="B393" s="14" t="inlineStr">
        <is>
          <t>BioBizz Alg-A-Mic tengeri alga vitalitásserkentő 500 ml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GRO0085</t>
        </is>
      </c>
      <c r="B394" s="14" t="inlineStr">
        <is>
          <t>BioBizz Alg-A-Mic tengeri alga vitalitásserkentő 1 liter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GRO0088</t>
        </is>
      </c>
      <c r="B395" s="14" t="inlineStr">
        <is>
          <t>BioBizz Fish-Mix szerves növekedési táp halemulzióval 500 ml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GRO0089</t>
        </is>
      </c>
      <c r="B396" s="14" t="inlineStr">
        <is>
          <t>BioBizz Fish-Mix szerves növekedési táp halemulzióval 1 liter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GRO0090</t>
        </is>
      </c>
      <c r="B397" s="14" t="inlineStr">
        <is>
          <t>BioBizz Fish-Mix szerves növekedési táp halemulzióval 5 liter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GRO0092</t>
        </is>
      </c>
      <c r="B398" s="14" t="inlineStr">
        <is>
          <t>BioBizz Root-Juice gyökérserkentő 250 ml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GRO0094</t>
        </is>
      </c>
      <c r="B399" s="14" t="inlineStr">
        <is>
          <t>BioBizz Root-Juice gyökérserkentő 5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GRO0095</t>
        </is>
      </c>
      <c r="B400" s="14" t="inlineStr">
        <is>
          <t>BioBizz Top-Max szerves virágzásserkentő 500 ml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GRO0096</t>
        </is>
      </c>
      <c r="B401" s="14" t="inlineStr">
        <is>
          <t>BioBizz Top-Max szerves virágzásserkentő 1 liter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GRO0097</t>
        </is>
      </c>
      <c r="B402" s="14" t="inlineStr">
        <is>
          <t>BioBizz Top-Max szerves virágzásserkentő 5 liter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GRO0099</t>
        </is>
      </c>
      <c r="B403" s="14" t="inlineStr">
        <is>
          <t>BioBizz Leaf-Coat levélvédő permet 500 ml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GRO0100</t>
        </is>
      </c>
      <c r="B404" s="14" t="inlineStr">
        <is>
          <t>BioBizz Leaf-Coat levélvédő permet 1 liter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GRO0101</t>
        </is>
      </c>
      <c r="B405" s="14" t="inlineStr">
        <is>
          <t>BioBizz Bio-Heaven szerves stimulátor 250 ml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GRO0102</t>
        </is>
      </c>
      <c r="B406" s="14" t="inlineStr">
        <is>
          <t>BioBizz Bio-Heaven szerves stimulátor 500 ml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GRO0103</t>
        </is>
      </c>
      <c r="B407" s="14" t="inlineStr">
        <is>
          <t>BioBizz Bio-Heaven szerves stimulátor 1 liter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GRO0108</t>
        </is>
      </c>
      <c r="B408" s="14" t="inlineStr">
        <is>
          <t>Terra Aquatica (GHE) TriPart Grow növekedési táp, korábban FloraGro, 1 liter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GRO0109</t>
        </is>
      </c>
      <c r="B409" s="14" t="inlineStr">
        <is>
          <t>Terra Aquatica (GHE) TriPart Grow növekedési táp, korábban FloraGro, 5 liter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GRO0110</t>
        </is>
      </c>
      <c r="B410" s="14" t="inlineStr">
        <is>
          <t>Terra Aquatica Tripart Flora Grow (GHE FloraGro) 10 liter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GRO0112</t>
        </is>
      </c>
      <c r="B411" s="14" t="inlineStr">
        <is>
          <t>Terra Aquatica (GHE) TriPart Bloom virágzási táp, korábban FloraBloom, 1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GRO0113</t>
        </is>
      </c>
      <c r="B412" s="14" t="inlineStr">
        <is>
          <t>Terra Aquatica (GHE) Tripart Flora Bloom 5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GRO0116</t>
        </is>
      </c>
      <c r="B413" s="14" t="inlineStr">
        <is>
          <t>Terra Aquatica (GHE) TriPart Micro Soft Water alaptáp, korábban FloraMicro, 1 liter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GRO0117</t>
        </is>
      </c>
      <c r="B414" s="14" t="inlineStr">
        <is>
          <t>Terra Aquatica (GHE) TriPart Micro Soft Water alaptáp, korábban FloraMicro, 5 liter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GRO0118</t>
        </is>
      </c>
      <c r="B415" s="14" t="inlineStr">
        <is>
          <t>Terra Aquatica (GHE) TriPart Micro Soft Water alaptáp, korábban FloraMicro, 10 liter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GRO0132</t>
        </is>
      </c>
      <c r="B416" s="14" t="inlineStr">
        <is>
          <t>Terra Aquatica (GHE) FinalPart érlelő táp késői virágzáshoz, korábban Ripen, 1 liter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GRO0133</t>
        </is>
      </c>
      <c r="B417" s="14" t="inlineStr">
        <is>
          <t>Terra Aquatica (GHE) FinalPart érlelő táp késői virágzáshoz, korábban Ripen, 5 liter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GRO0134</t>
        </is>
      </c>
      <c r="B418" s="14" t="inlineStr">
        <is>
          <t>Terra Aquatica (GHE) FinalPart érlelő táp késői virágzáshoz, korábban Ripen, 10 liter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GRO0154</t>
        </is>
      </c>
      <c r="B419" s="14" t="inlineStr">
        <is>
          <t>Terra Aquatica pH test kit cseppteszt 30 ml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GRO0230</t>
        </is>
      </c>
      <c r="B420" s="14" t="inlineStr">
        <is>
          <t>Hesi PowerZyme enzimes közegjavító adalék, 500 ml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GRO0231</t>
        </is>
      </c>
      <c r="B421" s="14" t="inlineStr">
        <is>
          <t>Hesi PowerZyme enzimes közegjavító adalék, 1 liter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GRO0233</t>
        </is>
      </c>
      <c r="B422" s="14" t="inlineStr">
        <is>
          <t>Hesi PowerZyme enzimes közegjavító adalék, 5 liter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GRO0234</t>
        </is>
      </c>
      <c r="B423" s="14" t="inlineStr">
        <is>
          <t>Hesi PowerZyme enzimes közegjavító adalék, 10 liter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GRO0388</t>
        </is>
      </c>
      <c r="B424" s="14" t="inlineStr">
        <is>
          <t>Grodan SBS kőzetgyapot kocka tálcában 25x25x40 mm, 150 darab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GRO0418</t>
        </is>
      </c>
      <c r="B425" s="14" t="inlineStr">
        <is>
          <t>CANNA Coco Natural kókuszrost termesztőközeg 50 liter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GRO0424</t>
        </is>
      </c>
      <c r="B426" s="14" t="inlineStr">
        <is>
          <t>CANNA Hydro Vega A/B kétkomponensű növekedési táp kőzetgyapothoz 1 liter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GRO0427</t>
        </is>
      </c>
      <c r="B427" s="14" t="inlineStr">
        <is>
          <t>CANNA Hydro Flores A/B kétkomponensű virágzási táp kőzetgyapothoz 1 liter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GRO0430</t>
        </is>
      </c>
      <c r="B428" s="14" t="inlineStr">
        <is>
          <t>CANNA Terra Vega ásványi növekedési táp földhöz 1 liter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GRO0433</t>
        </is>
      </c>
      <c r="B429" s="14" t="inlineStr">
        <is>
          <t>CANNA Terra Flores ásványi virágzási táp földhöz 1 liter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GRO0436</t>
        </is>
      </c>
      <c r="B430" s="14" t="inlineStr">
        <is>
          <t>CANNA COGr Vega A/B kétkomponensű növekedési táp kókuszhoz 1 liter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GRO0437</t>
        </is>
      </c>
      <c r="B431" s="14" t="inlineStr">
        <is>
          <t>Canna Coco A/B 5 liter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GRO0448</t>
        </is>
      </c>
      <c r="B432" s="14" t="inlineStr">
        <is>
          <t>CANNA Aqua Vega A/B növekedési táp recirkulációs rendszerhez 1 liter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GRO0450</t>
        </is>
      </c>
      <c r="B433" s="14" t="inlineStr">
        <is>
          <t>CANNA Aqua Vega A/B növekedési táp recirkulációs rendszerhez 10 liter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GRO0451</t>
        </is>
      </c>
      <c r="B434" s="14" t="inlineStr">
        <is>
          <t>CANNA Aqua Flores A/B virágzási táp recirkulációs rendszerhez 1 liter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GRO0453</t>
        </is>
      </c>
      <c r="B435" s="14" t="inlineStr">
        <is>
          <t>CANNA Aqua Flores A/B virágzási táp recirkulációs rendszerhez 10 liter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GRO0454</t>
        </is>
      </c>
      <c r="B436" s="14" t="inlineStr">
        <is>
          <t>CANNA Rhizotonic tengeri alga alapú gyökérserkentő 250 ml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GRO0459</t>
        </is>
      </c>
      <c r="B437" s="14" t="inlineStr">
        <is>
          <t>CANNAZYM enzimkészítmény az egészséges gyökérzónáért 500 ml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GRO0460</t>
        </is>
      </c>
      <c r="B438" s="14" t="inlineStr">
        <is>
          <t>CANNAZYM enzimkészítmény az egészséges gyökérzónáért 1 liter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GRO0461</t>
        </is>
      </c>
      <c r="B439" s="14" t="inlineStr">
        <is>
          <t>CANNAZYM enzimkészítmény az egészséges gyökérzónáért 5 liter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GRO0464</t>
        </is>
      </c>
      <c r="B440" s="14" t="inlineStr">
        <is>
          <t>Canna PK 13/14 1 liter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GRO0467</t>
        </is>
      </c>
      <c r="B441" s="14" t="inlineStr">
        <is>
          <t>CANNABOOST Accelerator virágzásserkentő adalék 250 ml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GRO0483</t>
        </is>
      </c>
      <c r="B442" s="14" t="inlineStr">
        <is>
          <t>CANNA Mono Kalcium folyékony kalciumpótló tápoldat 1 liter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GRO0484</t>
        </is>
      </c>
      <c r="B443" s="14" t="inlineStr">
        <is>
          <t>CANNA Mono Foszfor folyékony foszforpótló tápoldat 1 liter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GRO0485</t>
        </is>
      </c>
      <c r="B444" s="14" t="inlineStr">
        <is>
          <t>CANNA Mononutriensek kálium 1 liter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GRO0486</t>
        </is>
      </c>
      <c r="B445" s="14" t="inlineStr">
        <is>
          <t>CANNA Mono Magnézium folyékony magnéziumpótló tápoldat 1 liter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GRO0487</t>
        </is>
      </c>
      <c r="B446" s="14" t="inlineStr">
        <is>
          <t>CANNA Mono Nitrogén folyékony nitrogénpótló tápoldat 1 liter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GRO0488</t>
        </is>
      </c>
      <c r="B447" s="14" t="inlineStr">
        <is>
          <t>CANNA Mono Trace Mix folyékony nyomelem-keverék 1 liter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GRO0489</t>
        </is>
      </c>
      <c r="B448" s="14" t="inlineStr">
        <is>
          <t>CANNA Mono Vas folyékony vaspótló tápoldat DTPA és EDDHA keláttal 1 liter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GRO0490</t>
        </is>
      </c>
      <c r="B449" s="14" t="inlineStr">
        <is>
          <t>BIOCANNA Bio Vega szerves növekedési táp betain-nitrogénnel 1 liter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GRO0492</t>
        </is>
      </c>
      <c r="B450" s="14" t="inlineStr">
        <is>
          <t>BIOCANNA Bio Flores szerves virágzási táp aminosavakkal 1 liter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GRO0493</t>
        </is>
      </c>
      <c r="B451" s="14" t="inlineStr">
        <is>
          <t>BIOCANNA Bio Flores szerves virágzási táp aminosavakkal 5 liter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GRO0494</t>
        </is>
      </c>
      <c r="B452" s="14" t="inlineStr">
        <is>
          <t>BIOCANNA Bio Rhizotonic biotanúsított gyökérserkentő 250 ml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GRO0495</t>
        </is>
      </c>
      <c r="B453" s="14" t="inlineStr">
        <is>
          <t>BIOCANNA Bio Rhizotonic biotanúsított gyökérserkentő 1 liter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GRO0496</t>
        </is>
      </c>
      <c r="B454" s="14" t="inlineStr">
        <is>
          <t>BIOCANNA Bio Boost szerves hozamnövelő és virágzássegítő 250 ml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GRO0497</t>
        </is>
      </c>
      <c r="B455" s="14" t="inlineStr">
        <is>
          <t>BIOCANNA Bio Boost szerves hozamnövelő és virágzássegítő 1 liter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GRO0506</t>
        </is>
      </c>
      <c r="B456" s="14" t="inlineStr">
        <is>
          <t>E40 kerámiafoglalat falon kívüli szereléshez, nagy kompakt fénycsövekhez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GRO0524</t>
        </is>
      </c>
      <c r="B457" s="14" t="inlineStr">
        <is>
          <t>Atami Bloombastic PK 14-15 virágzásserkentő, 325 ml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GRO0525</t>
        </is>
      </c>
      <c r="B458" s="14" t="inlineStr">
        <is>
          <t>Atami Bloombastic PK 14-15 virágzásserkentő, 100 ml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GRO0600</t>
        </is>
      </c>
      <c r="B459" s="14" t="inlineStr">
        <is>
          <t>Milwaukee pH kalibráló folyadék pH 10,01, 20 ml, pH mérőkhöz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GRO0601</t>
        </is>
      </c>
      <c r="B460" s="14" t="inlineStr">
        <is>
          <t>Milwaukee pH kalibráló folyadék pH 7,01, 20 ml, pH mérőkhöz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GRO0602</t>
        </is>
      </c>
      <c r="B461" s="14" t="inlineStr">
        <is>
          <t>Milwaukee pH kalibráló folyadék pH 4,01, 20 ml, pH mérőkhöz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GRO0609</t>
        </is>
      </c>
      <c r="B462" s="14" t="inlineStr">
        <is>
          <t>Milwaukee EC kalibráló folyadék 1413 μS/cm, 20 ml, EC és TDS mérőkhöz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GRO0618</t>
        </is>
      </c>
      <c r="B463" s="14" t="inlineStr">
        <is>
          <t>Green Force külső trafó 400 W HPS és MH izzókhoz, fém házban, hővédelemmel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GRO0632</t>
        </is>
      </c>
      <c r="B464" s="14" t="inlineStr">
        <is>
          <t>Advanced Hydroponics pH- Bloom pH-csökkentő a virágzási szakaszra 500 ml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GRO0634</t>
        </is>
      </c>
      <c r="B465" s="14" t="inlineStr">
        <is>
          <t>Advanced Hydroponics pH- Bloom pH-csökkentő a virágzási szakaszra 1 liter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GRO0645</t>
        </is>
      </c>
      <c r="B466" s="14" t="inlineStr">
        <is>
          <t>Advanced Hydroponics Natural Power Root Stimulator gyökérserkentő 1 liter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GRO0647</t>
        </is>
      </c>
      <c r="B467" s="14" t="inlineStr">
        <is>
          <t>Advanced Hydroponics Enzymes+ 1 liter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GRO0648</t>
        </is>
      </c>
      <c r="B468" s="14" t="inlineStr">
        <is>
          <t>Advanced Hydroponics Natural Power Enzymes+ enzimes adalék 500 ml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GRO0663</t>
        </is>
      </c>
      <c r="B469" s="14" t="inlineStr">
        <is>
          <t>Hidrokosár 8 cm rácsos hidro cserép hidropóniás rendszerekhez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GRO0666</t>
        </is>
      </c>
      <c r="B470" s="14" t="inlineStr">
        <is>
          <t>Plagron Terra Grow ásványi növekedési táp földhöz 1 liter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GRO0667</t>
        </is>
      </c>
      <c r="B471" s="14" t="inlineStr">
        <is>
          <t>Plagron Terra Grow ásványi növekedési táp földhöz 5 liter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GRO0668</t>
        </is>
      </c>
      <c r="B472" s="14" t="inlineStr">
        <is>
          <t>Plagron Terra Bloom ásványi virágzási táp földhöz 1 liter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GRO0669</t>
        </is>
      </c>
      <c r="B473" s="14" t="inlineStr">
        <is>
          <t>Plagron Terra Bloom ásványi virágzási táp földhöz 5 liter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GRO0670</t>
        </is>
      </c>
      <c r="B474" s="14" t="inlineStr">
        <is>
          <t>Plagron Pure Zym enzimes talajjavító 500 ml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GRO0671</t>
        </is>
      </c>
      <c r="B475" s="14" t="inlineStr">
        <is>
          <t>Plagron Pure Zym enzimes talajjavító 1 liter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GRO0672</t>
        </is>
      </c>
      <c r="B476" s="14" t="inlineStr">
        <is>
          <t>Plagron Green Sensation booster virágzásfokozó 500 ml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GRO0674</t>
        </is>
      </c>
      <c r="B477" s="14" t="inlineStr">
        <is>
          <t>Plagron Vita Race vasas levélpermet 100 ml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GRO0676</t>
        </is>
      </c>
      <c r="B478" s="14" t="inlineStr">
        <is>
          <t>Plagron Top Grow Box Terra ásványi tápszett földes termesztéshez, 1 m²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GRO0677</t>
        </is>
      </c>
      <c r="B479" s="14" t="inlineStr">
        <is>
          <t>Plagron Power Roots gyökérerősítő adalék 500 ml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GRO0678</t>
        </is>
      </c>
      <c r="B480" s="14" t="inlineStr">
        <is>
          <t>Advanced Hydroponics Dutch Formula GROW 1 liter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GRO0679</t>
        </is>
      </c>
      <c r="B481" s="14" t="inlineStr">
        <is>
          <t>Advanced Hydroponics Dutch Formula MICRO mikroelemes alaptáp 1 liter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GRO0680</t>
        </is>
      </c>
      <c r="B482" s="14" t="inlineStr">
        <is>
          <t>Advanced Hydroponics pH+ Up pH-emelő folyadék tápoldathoz 500 ml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GRO0687</t>
        </is>
      </c>
      <c r="B483" s="14" t="inlineStr">
        <is>
          <t>Advanced Hydroponics Natural Power Final Solution öblítő szer 500 ml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GRO0688</t>
        </is>
      </c>
      <c r="B484" s="14" t="inlineStr">
        <is>
          <t>Advanced Hydroponics Dutch Formula BLOOM ásványi virágzási alaptáp 500 ml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GRO0690</t>
        </is>
      </c>
      <c r="B485" s="14" t="inlineStr">
        <is>
          <t>BioBizz Bio-Bloom szerves virágzási táp 5 liter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GRO0696</t>
        </is>
      </c>
      <c r="B486" s="14" t="inlineStr">
        <is>
          <t>Advanced Hydroponics Dutch Formula BLOOM ásványi virágzási alaptáp 1 liter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GRO0704</t>
        </is>
      </c>
      <c r="B487" s="14" t="inlineStr">
        <is>
          <t>BIOCANNA Bio Vega szerves növekedési táp betain-nitrogénnel 5 liter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GRO0705</t>
        </is>
      </c>
      <c r="B488" s="14" t="inlineStr">
        <is>
          <t>CANNA Terra Vega ásványi növekedési táp földhöz 5 liter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GRO0706</t>
        </is>
      </c>
      <c r="B489" s="14" t="inlineStr">
        <is>
          <t>CANNA Terra Flores ásványi virágzási táp földhöz 5 liter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GRO0709</t>
        </is>
      </c>
      <c r="B490" s="14" t="inlineStr">
        <is>
          <t>BioNova Soil Supermix egykomponensű talajtáp 1 liter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GRO0710</t>
        </is>
      </c>
      <c r="B491" s="14" t="inlineStr">
        <is>
          <t>BioNova Hydro Supermix egykomponensű hidropóniás táp 1 liter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GRO0711</t>
        </is>
      </c>
      <c r="B492" s="14" t="inlineStr">
        <is>
          <t>BioNova Aero Supermix alaptáp aeropóniás rendszerekhez 1 liter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GRO0713</t>
        </is>
      </c>
      <c r="B493" s="14" t="inlineStr">
        <is>
          <t>BioNova Nutri Forte A+B Hydro kétkomponensű hidropóniás táp 1 liter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GRO0714</t>
        </is>
      </c>
      <c r="B494" s="14" t="inlineStr">
        <is>
          <t>BioNova Coco Forte A+B kétkomponensű kókusztáp 1 liter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GRO0715</t>
        </is>
      </c>
      <c r="B495" s="14" t="inlineStr">
        <is>
          <t>BioNova PK 13-14 foszfor-kálium virágzásserkentő 1 liter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GRO0716</t>
        </is>
      </c>
      <c r="B496" s="14" t="inlineStr">
        <is>
          <t>BioNova P 20 folyékony foszforműtrágya foszforhiányra 1 liter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GRO0717</t>
        </is>
      </c>
      <c r="B497" s="14" t="inlineStr">
        <is>
          <t>BioNova K 20 folyékony káliumműtrágya káliumhiányra 1 liter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GRO0718</t>
        </is>
      </c>
      <c r="B498" s="14" t="inlineStr">
        <is>
          <t>BioNova Ca 15 folyékony kalciumműtrágya kalciumhiányra 1 liter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GRO0719</t>
        </is>
      </c>
      <c r="B499" s="14" t="inlineStr">
        <is>
          <t>BioNova MgO 10 folyékony magnéziumműtrágya magnéziumhiányra 1 liter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GRO0720</t>
        </is>
      </c>
      <c r="B500" s="14" t="inlineStr">
        <is>
          <t>BioNova Micromix kelátos mikroelem-keverék nyomelemhiányra 1 liter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GRO0721</t>
        </is>
      </c>
      <c r="B501" s="14" t="inlineStr">
        <is>
          <t>BioNova X-ceL bio növekedés- és virágzásserkentő stimulátor 1 liter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GRO0722</t>
        </is>
      </c>
      <c r="B502" s="14" t="inlineStr">
        <is>
          <t>BioNova Roots gyökérstimulátor huminsavval és algával 1 liter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GRO0723</t>
        </is>
      </c>
      <c r="B503" s="14" t="inlineStr">
        <is>
          <t>BioNova Zym enzimes közegjavító és biokatalizátor 1 liter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GRO0724</t>
        </is>
      </c>
      <c r="B504" s="14" t="inlineStr">
        <is>
          <t>BioNova pH+ kálium-hidroxid alapú pH emelő folyadék 1 liter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GRO0725</t>
        </is>
      </c>
      <c r="B505" s="14" t="inlineStr">
        <is>
          <t>BioNova pH- foszforsav alapú pH csökkentő folyadék 1 liter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GRO0726</t>
        </is>
      </c>
      <c r="B506" s="14" t="inlineStr">
        <is>
          <t>BioNova Autoflower Supermix táp önvirágzó növényekhez 1 liter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GRO0727</t>
        </is>
      </c>
      <c r="B507" s="14" t="inlineStr">
        <is>
          <t>BioNova Soil Supermix 5 liter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GRO0728</t>
        </is>
      </c>
      <c r="B508" s="14" t="inlineStr">
        <is>
          <t>BioNova Hydro Supermix egykomponensű hidropóniás táp 5 liter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GRO0729</t>
        </is>
      </c>
      <c r="B509" s="14" t="inlineStr">
        <is>
          <t>BioNova Nutri Forte A+B Hydro kétkomponensű hidropóniás táp 5 liter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GRO0730</t>
        </is>
      </c>
      <c r="B510" s="14" t="inlineStr">
        <is>
          <t>BioNova Coco Forte A+B kétkomponensű kókusztáp 5 liter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GRO0731</t>
        </is>
      </c>
      <c r="B511" s="14" t="inlineStr">
        <is>
          <t>BioNova PK 13-14 foszfor-kálium virágzásserkentő 5 liter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GRO0732</t>
        </is>
      </c>
      <c r="B512" s="14" t="inlineStr">
        <is>
          <t>BioNova PK 13-14 foszfor-kálium virágzásserkentő 250 ml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GRO0733</t>
        </is>
      </c>
      <c r="B513" s="14" t="inlineStr">
        <is>
          <t>BioNova X-ceL bio növekedés- és virágzásserkentő stimulátor 250 ml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GRO0734</t>
        </is>
      </c>
      <c r="B514" s="14" t="inlineStr">
        <is>
          <t>BioNova The Missing Link (TML) bio stimulátor fulvosavval 250 ml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GRO0735</t>
        </is>
      </c>
      <c r="B515" s="14" t="inlineStr">
        <is>
          <t>BioNova Roots gyökérstimulátor huminsavval és algával 250 ml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GRO0736</t>
        </is>
      </c>
      <c r="B516" s="14" t="inlineStr">
        <is>
          <t>BioNova Zym 250 ml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GRO0745</t>
        </is>
      </c>
      <c r="B517" s="14" t="inlineStr">
        <is>
          <t>BioNova N 27 kloridmentes folyékony nitrogénműtrágya 1 liter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GRO0748</t>
        </is>
      </c>
      <c r="B518" s="14" t="inlineStr">
        <is>
          <t>Görög mintás négyzetes műanyag virágcserép 9 liter, 23 x 23 cm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GRO0749</t>
        </is>
      </c>
      <c r="B519" s="14" t="inlineStr">
        <is>
          <t>Plagron Power Roots gyökérerősítő adalék 250 ml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GRO0750</t>
        </is>
      </c>
      <c r="B520" s="14" t="inlineStr">
        <is>
          <t>Advanced Hydroponics Dutch Formula GROW ásványi növekedési alaptáp 500 ml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GRO0751</t>
        </is>
      </c>
      <c r="B521" s="14" t="inlineStr">
        <is>
          <t>Advanced Hydroponics Dutch Formula MICRO mikroelemes alaptáp 500 ml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GRO0752</t>
        </is>
      </c>
      <c r="B522" s="14" t="inlineStr">
        <is>
          <t>Advanced Hydroponics Dutch Formula GROW ásványi növekedési alaptáp 5 liter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GRO0753</t>
        </is>
      </c>
      <c r="B523" s="14" t="inlineStr">
        <is>
          <t>Advanced Hydroponics Dutch Formula BLOOM 5 liter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GRO0754</t>
        </is>
      </c>
      <c r="B524" s="14" t="inlineStr">
        <is>
          <t>Advanced Hydroponics Dutch Formula MICRO mikroelemes alaptáp 5 liter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GRO0759</t>
        </is>
      </c>
      <c r="B525" s="14" t="inlineStr">
        <is>
          <t>Advanced Hydroponics Natural Power Final Solution öblítő szer 1 liter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GRO0770</t>
        </is>
      </c>
      <c r="B526" s="14" t="inlineStr">
        <is>
          <t>Rope Ratchet racsnis reflektor felfüggesztő pár karabinerekkel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GRO0787</t>
        </is>
      </c>
      <c r="B527" s="14" t="inlineStr">
        <is>
          <t>Digitális időkapcsoló 16 programmal, RANDOM és nyári idő funkcióval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GRO0798</t>
        </is>
      </c>
      <c r="B528" s="14" t="inlineStr">
        <is>
          <t>OsmoTech fordított ozmózisos vízszűrő 190 l/nap, csapra szerelhető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GRO0801</t>
        </is>
      </c>
      <c r="B529" s="14" t="inlineStr">
        <is>
          <t>Neoprén tartókorong színes 50 mm aeropóniás rendszerekhez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GRO0804</t>
        </is>
      </c>
      <c r="B530" s="14" t="inlineStr">
        <is>
          <t>Propagátor 38x24x19 cm dugványok gyökereztetéséhez és magok csíráztatásához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GRO0807</t>
        </is>
      </c>
      <c r="B531" s="14" t="inlineStr">
        <is>
          <t>Fűthető propagátor 38x24x20 cm beépített fűtéssel, 17–23 °C, klónozáshoz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GRO0810</t>
        </is>
      </c>
      <c r="B532" s="14" t="inlineStr">
        <is>
          <t>Automata öntözőrendszer 10 növényhez, időzítővel és szivattyúval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GRO0811</t>
        </is>
      </c>
      <c r="B533" s="14" t="inlineStr">
        <is>
          <t>Kézi permetező 1 literes műanyag szórófejes flakon növényekhez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GRO0812</t>
        </is>
      </c>
      <c r="B534" s="14" t="inlineStr">
        <is>
          <t>Pumpás permetező 2 literes, tápoldathoz és növényvédő szerekhez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GRO0813</t>
        </is>
      </c>
      <c r="B535" s="14" t="inlineStr">
        <is>
          <t>Pumpás permetező 5 literes állítható szórófejjel, biztonsági szeleppel, hordpánttal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GRO0814</t>
        </is>
      </c>
      <c r="B536" s="14" t="inlineStr">
        <is>
          <t>Alumínium keret dán tálcához 101x111x47 cm, L szelvényes állvány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GRO0815</t>
        </is>
      </c>
      <c r="B537" s="14" t="inlineStr">
        <is>
          <t>Alumínium keret dán tálcához 101x204x47 cm, L szelvényes állvány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GRO0816</t>
        </is>
      </c>
      <c r="B538" s="14" t="inlineStr">
        <is>
          <t>Cultibox Combi termesztősátor 120 x 120 x 200 cm, moduláris, összekapcsolható grow box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GRO0817</t>
        </is>
      </c>
      <c r="B539" s="14" t="inlineStr">
        <is>
          <t>Cultibox Combi termesztősátor 80 x 80 x 160 cm, moduláris, összekapcsolható grow box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GRO0821</t>
        </is>
      </c>
      <c r="B540" s="14" t="inlineStr">
        <is>
          <t>Mikroszkóp mini 100x LED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GRO0822</t>
        </is>
      </c>
      <c r="B541" s="14" t="inlineStr">
        <is>
          <t>Szövet edény 3 liter, Smart Pot klón légáteresztő textilcserép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GRO0823</t>
        </is>
      </c>
      <c r="B542" s="14" t="inlineStr">
        <is>
          <t>Szövet edény 15 liter, Smart Pot klón légáteresztő textilcserép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GRO0824</t>
        </is>
      </c>
      <c r="B543" s="14" t="inlineStr">
        <is>
          <t>Szövet edény 25 liter, Smart Pot klón légáteresztő textilcserép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GRO0825</t>
        </is>
      </c>
      <c r="B544" s="14" t="inlineStr">
        <is>
          <t>Fekete-ezüst fényvisszaverő fólia gyémántmintás, 110 μm, 1,20 m széles, méterre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GRO0826</t>
        </is>
      </c>
      <c r="B545" s="14" t="inlineStr">
        <is>
          <t>Szárítóháló 55 cm termés és növényi részek szárításához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GRO0827</t>
        </is>
      </c>
      <c r="B546" s="14" t="inlineStr">
        <is>
          <t>Szárítóháló 90 cm termés és növényi részek szárításához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GRO0828</t>
        </is>
      </c>
      <c r="B547" s="14" t="inlineStr">
        <is>
          <t>CANNA PK 13/14 foszfor-kálium virágzásserkentő 250 ml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GRO0829</t>
        </is>
      </c>
      <c r="B548" s="14" t="inlineStr">
        <is>
          <t>CANNA Terra Vega ásványi növekedési táp földhöz 10 liter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GRO0835</t>
        </is>
      </c>
      <c r="B549" s="14" t="inlineStr">
        <is>
          <t>Adjust-A-Wing kiegészítő E40 foglalat Medium és Large reflektorhoz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GRO0847</t>
        </is>
      </c>
      <c r="B550" s="14" t="inlineStr">
        <is>
          <t>CANNA Rhizotonic tengeri alga alapú gyökérserkentő 500 ml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GRO0848</t>
        </is>
      </c>
      <c r="B551" s="14" t="inlineStr">
        <is>
          <t>Kókusztégla mosott 650 g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GRO0852</t>
        </is>
      </c>
      <c r="B552" s="14" t="inlineStr">
        <is>
          <t>Plagron Alga Bloom algás bio virágzási táp földhöz 500 ml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GRO0853</t>
        </is>
      </c>
      <c r="B553" s="14" t="inlineStr">
        <is>
          <t>Plagron Alga Bloom algás bio virágzási táp földhöz 1 liter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GRO0854</t>
        </is>
      </c>
      <c r="B554" s="14" t="inlineStr">
        <is>
          <t>Plagron Alga Bloom algás bio virágzási táp földhöz 5 liter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GRO0856</t>
        </is>
      </c>
      <c r="B555" s="14" t="inlineStr">
        <is>
          <t>Plagron Alga Grow algás bio növekedési táp földhöz 0,5 liter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GRO0857</t>
        </is>
      </c>
      <c r="B556" s="14" t="inlineStr">
        <is>
          <t>Plagron Alga Grow algás bio növekedési táp földhöz 1 liter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GRO0858</t>
        </is>
      </c>
      <c r="B557" s="14" t="inlineStr">
        <is>
          <t>Plagron Alga Grow algás bio növekedési táp földhöz 5 liter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GRO0859</t>
        </is>
      </c>
      <c r="B558" s="14" t="inlineStr">
        <is>
          <t>Plagron Green Sensation booster virágzásfokozó 100 ml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GRO0860</t>
        </is>
      </c>
      <c r="B559" s="14" t="inlineStr">
        <is>
          <t>Plagron Green Sensation booster virágzásfokozó 250 ml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GRO0861</t>
        </is>
      </c>
      <c r="B560" s="14" t="inlineStr">
        <is>
          <t>Plagron Green Sensation booster virágzásfokozó 1 liter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GRO0862</t>
        </is>
      </c>
      <c r="B561" s="14" t="inlineStr">
        <is>
          <t>Plagron Green Sensation booster virágzásfokozó 5 liter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GRO0865</t>
        </is>
      </c>
      <c r="B562" s="14" t="inlineStr">
        <is>
          <t>Plagron Vita Race vasas levélpermet 1 liter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GRO0866</t>
        </is>
      </c>
      <c r="B563" s="14" t="inlineStr">
        <is>
          <t>Plagron Power Roots gyökérerősítő adalék 1 liter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GRO0867</t>
        </is>
      </c>
      <c r="B564" s="14" t="inlineStr">
        <is>
          <t>Plagron Terra Grow ásványi növekedési táp földhöz 100 ml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GRO0868</t>
        </is>
      </c>
      <c r="B565" s="14" t="inlineStr">
        <is>
          <t>Plagron Pure Zym enzimes talajjavító 250 ml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GRO0870</t>
        </is>
      </c>
      <c r="B566" s="14" t="inlineStr">
        <is>
          <t>Plagron Pure Zym enzimes talajjavító 5 liter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GRO0871</t>
        </is>
      </c>
      <c r="B567" s="14" t="inlineStr">
        <is>
          <t>Plagron Terra Bloom ásványi virágzási táp földhöz 10 liter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GRO0872</t>
        </is>
      </c>
      <c r="B568" s="14" t="inlineStr">
        <is>
          <t>Plagron Terra Grow ásványi növekedési táp földhöz 10 liter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GRO0874</t>
        </is>
      </c>
      <c r="B569" s="14" t="inlineStr">
        <is>
          <t>Plagron Cocos A/B kétkomponensű ásványi alaptáp kókuszhoz 1 liter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GRO0879</t>
        </is>
      </c>
      <c r="B570" s="14" t="inlineStr">
        <is>
          <t>Plagron Sugar Royal aminosavas booster az ízért és illatért 100 ml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GRO0880</t>
        </is>
      </c>
      <c r="B571" s="14" t="inlineStr">
        <is>
          <t>Plagron Sugar Royal aminosavas booster az ízért és illatért 250 ml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GRO0881</t>
        </is>
      </c>
      <c r="B572" s="14" t="inlineStr">
        <is>
          <t>Plagron Sugar Royal aminosavas booster az ízért és illatért 1 liter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GRO0882</t>
        </is>
      </c>
      <c r="B573" s="14" t="inlineStr">
        <is>
          <t>Plagron Sugar Royal aminosavas booster az ízért és illatért 0,5 liter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GRO0888</t>
        </is>
      </c>
      <c r="B574" s="14" t="inlineStr">
        <is>
          <t>CANNA Terra Flores ásványi virágzási táp földhöz 10 liter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GRO0892</t>
        </is>
      </c>
      <c r="B575" s="14" t="inlineStr">
        <is>
          <t>Plagron Lightmix föld, könnyű, gyengén előtrágyázott tőzeges közeg 50 liter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GRO0922</t>
        </is>
      </c>
      <c r="B576" s="14" t="inlineStr">
        <is>
          <t>Advanced Hydroponics Dutch Formula BLOOM ásványi virágzási alaptáp 10 liter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GRO0923</t>
        </is>
      </c>
      <c r="B577" s="14" t="inlineStr">
        <is>
          <t>Advanced Hydroponics Dutch Formula BLOOM 25 liter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GRO0925</t>
        </is>
      </c>
      <c r="B578" s="14" t="inlineStr">
        <is>
          <t>Advanced Hydroponics Enzymes+ 5 liter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GRO0927</t>
        </is>
      </c>
      <c r="B579" s="14" t="inlineStr">
        <is>
          <t>Advanced Hydroponics Natural Power Final Solution öblítő szer 5 liter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GRO0928</t>
        </is>
      </c>
      <c r="B580" s="14" t="inlineStr">
        <is>
          <t>Advanced Hydroponics Dutch Formula GROW ásványi növekedési alaptáp 10 liter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GRO0929</t>
        </is>
      </c>
      <c r="B581" s="14" t="inlineStr">
        <is>
          <t>Advanced Hydroponics Dutch Formula GROW ásványi növekedési alaptáp 25 liter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GRO0933</t>
        </is>
      </c>
      <c r="B582" s="14" t="inlineStr">
        <is>
          <t>Advanced Hydroponics Dutch Formula MICRO mikroelemes alaptáp 10 liter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GRO0934</t>
        </is>
      </c>
      <c r="B583" s="14" t="inlineStr">
        <is>
          <t>Advanced Hydroponics Dutch Formula MICRO 25 liter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GRO0941</t>
        </is>
      </c>
      <c r="B584" s="14" t="inlineStr">
        <is>
          <t>Advanced Hydroponics Natural Power Root Stimulator gyökérserkentő 5 liter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GRO0963</t>
        </is>
      </c>
      <c r="B585" s="14" t="inlineStr">
        <is>
          <t>Cultibox Combi termesztősátor 100 x 100 x 200 cm, moduláris, összekapcsolható grow box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GRO0968</t>
        </is>
      </c>
      <c r="B586" s="14" t="inlineStr">
        <is>
          <t>CANNA PK 13/14 foszfor-kálium virágzásserkentő 500 ml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GRO0969</t>
        </is>
      </c>
      <c r="B587" s="14" t="inlineStr">
        <is>
          <t>CANNA Rhizotonic tengeri alga alapú gyökérserkentő 1 liter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GRO0971</t>
        </is>
      </c>
      <c r="B588" s="14" t="inlineStr">
        <is>
          <t>CANNABOOST Accelerator virágzásserkentő adalék 10 liter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GRO1008</t>
        </is>
      </c>
      <c r="B589" s="14" t="inlineStr">
        <is>
          <t>Growth Technology SMC Spidermite Control atka elleni koncentrátum 100 ml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GRO1012</t>
        </is>
      </c>
      <c r="B590" s="14" t="inlineStr">
        <is>
          <t>Advanced Hydroponics pH- Bloom pH-csökkentő a virágzási szakaszra 5 liter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GRO1013</t>
        </is>
      </c>
      <c r="B591" s="14" t="inlineStr">
        <is>
          <t>Pipetta 3 ml átlátszó műanyag, külső skálával, tápok adagolásához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GRO1015</t>
        </is>
      </c>
      <c r="B592" s="14" t="inlineStr">
        <is>
          <t>ADWA ECO209 digitális pH monitor folyamatos méréshez, 0–14 pH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GRO1016</t>
        </is>
      </c>
      <c r="B593" s="14" t="inlineStr">
        <is>
          <t>ADWA AD12 digitális pH és hőmérséklet mérő cserélhető szondával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GRO1021</t>
        </is>
      </c>
      <c r="B594" s="14" t="inlineStr">
        <is>
          <t>Plagron Growmix föld gilisztahumusszal, 3 hétre előtrágyázva 50 liter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GRO1022</t>
        </is>
      </c>
      <c r="B595" s="14" t="inlineStr">
        <is>
          <t>Plagron Batmix föld denevérguanóval, bio minősítésű 50 liter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GRO1023</t>
        </is>
      </c>
      <c r="B596" s="14" t="inlineStr">
        <is>
          <t>Hajlékony elektromos kábel 3 x 0,75 mm², fehér, 300/500 V, méterre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GRO1026</t>
        </is>
      </c>
      <c r="B597" s="14" t="inlineStr">
        <is>
          <t>ADWA ECO406 digitális EC monitor folyamatos méréshez, 0–9,99 mS/cm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GRO1049</t>
        </is>
      </c>
      <c r="B598" s="14" t="inlineStr">
        <is>
          <t>Szögletes műanyag virágcserép alátét 16 x 16 cm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GRO1055</t>
        </is>
      </c>
      <c r="B599" s="14" t="inlineStr">
        <is>
          <t>CANNA PK 13/14 foszfor-kálium virágzásserkentő 10 liter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GRO1063</t>
        </is>
      </c>
      <c r="B600" s="14" t="inlineStr">
        <is>
          <t>House &amp; Garden Shooting Powder PK virágzásfokozó por 65 g tasak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GRO1084</t>
        </is>
      </c>
      <c r="B601" s="14" t="inlineStr">
        <is>
          <t>Levegőztető cső 6x4 mm átlátszó, akváriumhoz és hidropóniához, méterre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GRO1089</t>
        </is>
      </c>
      <c r="B602" s="14" t="inlineStr">
        <is>
          <t>CANNA Aqua Flores A/B virágzási táp recirkulációs rendszerhez 5 liter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GRO1090</t>
        </is>
      </c>
      <c r="B603" s="14" t="inlineStr">
        <is>
          <t>Atami Bloombastic PK 14-15 virágzásserkentő, 1,25 liter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GRO1105</t>
        </is>
      </c>
      <c r="B604" s="14" t="inlineStr">
        <is>
          <t>Mechanikus időkapcsoló stiftes órakoronggal, 230 V, max. 3680 W, 16 A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GRO1106</t>
        </is>
      </c>
      <c r="B605" s="14" t="inlineStr">
        <is>
          <t>Neptune Hydroponics DWC mélyvizes termesztőedény 25 literes tartállyal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GRO1109</t>
        </is>
      </c>
      <c r="B606" s="14" t="inlineStr">
        <is>
          <t>Trimmelőolló 165 mm egyenes acél pengékkel, csúszásmentes markolattal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GRO1110</t>
        </is>
      </c>
      <c r="B607" s="14" t="inlineStr">
        <is>
          <t>Szövet edény 7 liter, Smart Pot klón légáteresztő textilcserép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GRO1111</t>
        </is>
      </c>
      <c r="B608" s="14" t="inlineStr">
        <is>
          <t>Szövet edény 10 liter, Smart Pot klón légáteresztő textilcserép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GRO1140</t>
        </is>
      </c>
      <c r="B609" s="14" t="inlineStr">
        <is>
          <t>Trimmelő olló kicsi, rugós visszatérítésű acél pengékkel, ergonomikus fogantyúval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GRO1141</t>
        </is>
      </c>
      <c r="B610" s="14" t="inlineStr">
        <is>
          <t>Szögletes műanyag cserép 2,5 liter, 13 x 13 x 18 cm, gyökércsavarodás gátló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GRO1143</t>
        </is>
      </c>
      <c r="B611" s="14" t="inlineStr">
        <is>
          <t>Görög mintás négyzetes műanyag virágcserép 14 liter, 28,5 x 28,5 cm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GRO1145</t>
        </is>
      </c>
      <c r="B612" s="14" t="inlineStr">
        <is>
          <t>Milwaukee EC kalibráló folyadék 12880 μS/cm, 20 ml, EC és TDS mérőkhöz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GRO1148</t>
        </is>
      </c>
      <c r="B613" s="14" t="inlineStr">
        <is>
          <t>BioNova The Missing Link (TML) bio stimulátor fulvosavval 1 liter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GRO1160</t>
        </is>
      </c>
      <c r="B614" s="14" t="inlineStr">
        <is>
          <t>Szögletes műanyag cserép 1,4 liter, 10 x 10 x 17 cm, gyökércsavarodás gátló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GRO1161</t>
        </is>
      </c>
      <c r="B615" s="14" t="inlineStr">
        <is>
          <t>Szögletes műanyag cserép 1,8 liter, 10,5 x 8,5 x 22 cm, gyökércsavarodás gátló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GRO1173</t>
        </is>
      </c>
      <c r="B616" s="14" t="inlineStr">
        <is>
          <t>Plagron Allmix szerves föld gilisztahumusszal, bio minősítésű 50 liter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GRO1175</t>
        </is>
      </c>
      <c r="B617" s="14" t="inlineStr">
        <is>
          <t>Philips SON-T PIA GreenPower 600 W HPS nátriumlámpa izzó, E40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GRO1184</t>
        </is>
      </c>
      <c r="B618" s="14" t="inlineStr">
        <is>
          <t>Szögletes műanyag virágcserép alátét 13,5 x 13,5 cm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GRO1185</t>
        </is>
      </c>
      <c r="B619" s="14" t="inlineStr">
        <is>
          <t>Szögletes műanyag virágcserép alátét 14 x 14 cm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GRO1189</t>
        </is>
      </c>
      <c r="B620" s="14" t="inlineStr">
        <is>
          <t>Görög mintás négyzetes műanyag virágcserép 11 liter, 25 x 25 cm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GRO1190</t>
        </is>
      </c>
      <c r="B621" s="14" t="inlineStr">
        <is>
          <t>Szögletes műanyag virágcserép alátét 24 x 24 cm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GRO1192</t>
        </is>
      </c>
      <c r="B622" s="14" t="inlineStr">
        <is>
          <t>Cool Tube 125 x 400 hűtött lámpabúra keményüveg csővel és E40 kerámiafoglalattal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GRO1194</t>
        </is>
      </c>
      <c r="B623" s="14" t="inlineStr">
        <is>
          <t>Háromeres elektromos kábel 2,5 mm nagy teljesítményű trafókhoz és lámpákhoz, méterre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GRO1201</t>
        </is>
      </c>
      <c r="B624" s="14" t="inlineStr">
        <is>
          <t>GSE időzítő kapcsolódoboz 12 x 600 W-os lámpákhoz, beépített 24 órás időzítővel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GRO1205</t>
        </is>
      </c>
      <c r="B625" s="14" t="inlineStr">
        <is>
          <t>Advanced Nutrients CarboLoad Liquid szénhidrát adalék 1 liter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GRO1210</t>
        </is>
      </c>
      <c r="B626" s="14" t="inlineStr">
        <is>
          <t>Advanced Nutrients Big Bud Liquid virágzásfokozó PK 0-1-3, 1 liter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GRO1219</t>
        </is>
      </c>
      <c r="B627" s="14" t="inlineStr">
        <is>
          <t>Nutriculture Amazon Twin 32 aeropóniás termesztő rendszer 32 növényhez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GRO1222</t>
        </is>
      </c>
      <c r="B628" s="14" t="inlineStr">
        <is>
          <t>Nutriculture X-Stream Clone Master PT300 aeropóniás propagátor 40 dugványhoz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GRO1241</t>
        </is>
      </c>
      <c r="B629" s="14" t="inlineStr">
        <is>
          <t>Elektromos kábel IEC C14 lengődugóval, háromeres, 1,5 mm, 2,5 m, 10 A, 250 V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GRO1249</t>
        </is>
      </c>
      <c r="B630" s="14" t="inlineStr">
        <is>
          <t>Inline üledékszűrő előszűrő patron víztisztítóhoz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GRO1250</t>
        </is>
      </c>
      <c r="B631" s="14" t="inlineStr">
        <is>
          <t>T33 aktív szénszűrő patron víztisztítóhoz, kókuszhéj szénnel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GRO1254</t>
        </is>
      </c>
      <c r="B632" s="14" t="inlineStr">
        <is>
          <t>Secret Icer hideg kivonatoló zsák készlet, 5 db szűrőzsák 25–190 mikron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GRO1259</t>
        </is>
      </c>
      <c r="B633" s="14" t="inlineStr">
        <is>
          <t>Szögletes műanyag cserép 1,5 liter, 12 x 12 x 13 cm, gyökércsavarodás gátló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GRO1261</t>
        </is>
      </c>
      <c r="B634" s="14" t="inlineStr">
        <is>
          <t>Szögletes műanyag cserép 15 x 15 x 20 cm, gyökércsavarodás gátló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GRO1262</t>
        </is>
      </c>
      <c r="B635" s="14" t="inlineStr">
        <is>
          <t>Szögletes műanyag virágcserép alátét 25 x 25 cm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GRO1265</t>
        </is>
      </c>
      <c r="B636" s="14" t="inlineStr">
        <is>
          <t>BioBizz Alg-A-Mic tengeri alga vitalitásserkentő 5 liter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GRO1279</t>
        </is>
      </c>
      <c r="B637" s="14" t="inlineStr">
        <is>
          <t>Sylvania SHP-TS Super nátriumlámpa izzó 150 W, E40, virágzáshoz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GRO1291</t>
        </is>
      </c>
      <c r="B638" s="14" t="inlineStr">
        <is>
          <t>Hidrokosár 5,5 cm rácsos hidro cserép hidropóniás rendszerekhez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GRO1324</t>
        </is>
      </c>
      <c r="B639" s="14" t="inlineStr">
        <is>
          <t>CANNABOOST Accelerator virágzásserkentő adalék 1 liter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GRO1325</t>
        </is>
      </c>
      <c r="B640" s="14" t="inlineStr">
        <is>
          <t>Grodan AO kőzetgyapot magvető kocka 36x36x40 mm, 98 darabos lap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GRO1326</t>
        </is>
      </c>
      <c r="B641" s="14" t="inlineStr">
        <is>
          <t>Grodan AO kőzetgyapot magvető kocka 25x25x40 mm, 200 darabos lap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GRO1327</t>
        </is>
      </c>
      <c r="B642" s="14" t="inlineStr">
        <is>
          <t>Grodan Delta 4G kőzetgyapot nevelőkocka 75x75x65 mm, kis lyukú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GRO1328</t>
        </is>
      </c>
      <c r="B643" s="14" t="inlineStr">
        <is>
          <t>Merülő keringető szivattyú Neptune Hydroponics 600 l/h, 10 W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GRO1331</t>
        </is>
      </c>
      <c r="B644" s="14" t="inlineStr">
        <is>
          <t>Merülő keringető szivattyú Neptune Hydroponics 2000 l/h, 55 W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GRO1332</t>
        </is>
      </c>
      <c r="B645" s="14" t="inlineStr">
        <is>
          <t>Merülő keringető szivattyú Neptune Hydroponics 3000 l/h, 85 W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GRO1333</t>
        </is>
      </c>
      <c r="B646" s="14" t="inlineStr">
        <is>
          <t>BioNova Zym 5 liter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GRO1342</t>
        </is>
      </c>
      <c r="B647" s="14" t="inlineStr">
        <is>
          <t>Plagron Seedbooster Plus csíráztató tápoldat magvetéshez, NPK 5-4-7, 10 ml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GRO1343</t>
        </is>
      </c>
      <c r="B648" s="14" t="inlineStr">
        <is>
          <t>Grodan Delta 6,5G kőzetgyapot nevelőkocka 100x100x65 mm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GRO1348</t>
        </is>
      </c>
      <c r="B649" s="14" t="inlineStr">
        <is>
          <t>Grodan SBS kőzetgyapot kocka tálcában 36x36x40 mm, 77 darab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GRO1353</t>
        </is>
      </c>
      <c r="B650" s="14" t="inlineStr">
        <is>
          <t>Mérőedény 1000 ml műanyag, milliliter beosztással, folyadékok kiméréséhez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GRO1359</t>
        </is>
      </c>
      <c r="B651" s="14" t="inlineStr">
        <is>
          <t>Advanced Nutrients CarboLoad Liquid szénhidrát adalék 500 ml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GRO1362</t>
        </is>
      </c>
      <c r="B652" s="14" t="inlineStr">
        <is>
          <t>CANNABOOST Accelerator virágzásserkentő adalék 5 liter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GRO1387</t>
        </is>
      </c>
      <c r="B653" s="14" t="inlineStr">
        <is>
          <t>BioBizz Bio-Bloom szerves virágzási táp 10 liter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GRO1399</t>
        </is>
      </c>
      <c r="B654" s="14" t="inlineStr">
        <is>
          <t>Plagron Promix föld gilisztahumusszal, előtrágyázás nélkül 50 liter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GRO1400</t>
        </is>
      </c>
      <c r="B655" s="14" t="inlineStr">
        <is>
          <t>Plagron Lightmix föld, könnyű, gyengén előtrágyázott tőzeges közeg 25 liter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GRO1401</t>
        </is>
      </c>
      <c r="B656" s="14" t="inlineStr">
        <is>
          <t>Plagron Growmix föld gilisztahumusszal, 3 hétre előtrágyázva 25 liter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GRO1402</t>
        </is>
      </c>
      <c r="B657" s="14" t="inlineStr">
        <is>
          <t>Plagron Batmix föld denevérguanóval, bio minősítésű 25 liter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GRO1403</t>
        </is>
      </c>
      <c r="B658" s="14" t="inlineStr">
        <is>
          <t>Plagron Royal Mix szerves föld perlittel, 6 hétre előtrágyázva 50 liter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GRO1404</t>
        </is>
      </c>
      <c r="B659" s="14" t="inlineStr">
        <is>
          <t>Plagron Royal Mix szerves föld perlittel, 6 hétre előtrágyázva 25 liter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GRO1405</t>
        </is>
      </c>
      <c r="B660" s="14" t="inlineStr">
        <is>
          <t>Plagron Cocos Premium pufferolt kókuszközeg, RHP minősítésű 50 liter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GRO1406</t>
        </is>
      </c>
      <c r="B661" s="14" t="inlineStr">
        <is>
          <t>Plagron Euro Pebbles agyaggolyó hidrokultúrához, 8–16 mm, 45 liter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GRO1417</t>
        </is>
      </c>
      <c r="B662" s="14" t="inlineStr">
        <is>
          <t>Dán tálca apály-dagály alátét 106 x 63 cm árasztásos rendszerhez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GRO1422</t>
        </is>
      </c>
      <c r="B663" s="14" t="inlineStr">
        <is>
          <t>Advanced Nutrients CarboLoad Liquid szénhidrát adalék 5 liter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GRO1426</t>
        </is>
      </c>
      <c r="B664" s="14" t="inlineStr">
        <is>
          <t>Milwaukee PH600 digitális pH teszter 0–14 pH, 0,1 pH felbontással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GRO1427</t>
        </is>
      </c>
      <c r="B665" s="14" t="inlineStr">
        <is>
          <t>Milwaukee CD611 EC teszter 0–20 000 μS/cm, automatikus hőkompenzációval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GRO1428</t>
        </is>
      </c>
      <c r="B666" s="14" t="inlineStr">
        <is>
          <t>Milwaukee Martini pH55 vízálló pH és hőmérséklet teszter cserélhető szondával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GRO1429</t>
        </is>
      </c>
      <c r="B667" s="14" t="inlineStr">
        <is>
          <t>Milwaukee EC60 vízálló EC, TDS és hőmérséklet teszter cserélhető szondával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GRO1449</t>
        </is>
      </c>
      <c r="B668" s="14" t="inlineStr">
        <is>
          <t>Advanced Nutrients pH Perfect Sensi Grow A+B kétkomponensű növekedési alaptáp 1 liter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GRO1451</t>
        </is>
      </c>
      <c r="B669" s="14" t="inlineStr">
        <is>
          <t>Advanced Nutrients pH Perfect Sensi Bloom A+B kétkomponensű virágzási alaptáp 1 liter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GRO1463</t>
        </is>
      </c>
      <c r="B670" s="14" t="inlineStr">
        <is>
          <t>Garland Titan tálca 100 x 55 x 15 cm, 65 literes, újrahasznosított polipropilén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GRO1464</t>
        </is>
      </c>
      <c r="B671" s="14" t="inlineStr">
        <is>
          <t>CANNA COGr Flores A/B kétkomponensű virágzási táp kókuszhoz 1 liter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GRO1466</t>
        </is>
      </c>
      <c r="B672" s="14" t="inlineStr">
        <is>
          <t>Plagron Perlit, RHP minősítésű kertészeti perlit földhöz és hidrokultúrához 60 liter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GRO1467</t>
        </is>
      </c>
      <c r="B673" s="14" t="inlineStr">
        <is>
          <t>CANNA Coco A/B kétkomponensű kókusztáp növekedéshez és virágzáshoz 10 liter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GRO1529</t>
        </is>
      </c>
      <c r="B674" s="14" t="inlineStr">
        <is>
          <t>Canna Hydro Vega A/B 5 liter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GRO1530</t>
        </is>
      </c>
      <c r="B675" s="14" t="inlineStr">
        <is>
          <t>CANNA Hydro Vega A/B kétkomponensű növekedési táp kőzetgyapothoz 10 liter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GRO1531</t>
        </is>
      </c>
      <c r="B676" s="14" t="inlineStr">
        <is>
          <t>CANNA Hydro Flores A/B kétkomponensű virágzási táp kőzetgyapothoz 5 liter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GRO1532</t>
        </is>
      </c>
      <c r="B677" s="14" t="inlineStr">
        <is>
          <t>Canna Aqua A/B Vega 5 liter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GRO1535</t>
        </is>
      </c>
      <c r="B678" s="14" t="inlineStr">
        <is>
          <t>CANNA Rhizotonic tengeri alga alapú gyökérserkentő 5 liter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GRO1536</t>
        </is>
      </c>
      <c r="B679" s="14" t="inlineStr">
        <is>
          <t>CANNA Rhizotonic tengeri alga alapú gyökérserkentő 10 liter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GRO1537</t>
        </is>
      </c>
      <c r="B680" s="14" t="inlineStr">
        <is>
          <t>CANNAZYM enzimkészítmény az egészséges gyökérzónáért 10 liter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GRO1538</t>
        </is>
      </c>
      <c r="B681" s="14" t="inlineStr">
        <is>
          <t>CANNA PK 13/14 foszfor-kálium virágzásserkentő 5 liter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GRO1539</t>
        </is>
      </c>
      <c r="B682" s="14" t="inlineStr">
        <is>
          <t>CannaCure használatra kész levélpermet kártevők és penész ellen, szórófejes 750 ml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GRO1540</t>
        </is>
      </c>
      <c r="B683" s="14" t="inlineStr">
        <is>
          <t>CannaCure koncentrált levélpermet kártevők és penész ellen, 1 liter koncentrátum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GRO1542</t>
        </is>
      </c>
      <c r="B684" s="14" t="inlineStr">
        <is>
          <t>Vasalható vákuum zsák 30 x 50 cm, fényálló, hővel lezárható tasak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GRO1551</t>
        </is>
      </c>
      <c r="B685" s="14" t="inlineStr">
        <is>
          <t>Milwaukee MC122 pH szabályozó kapcsolt aljzattal, MA911B/2 szondával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GRO1553</t>
        </is>
      </c>
      <c r="B686" s="14" t="inlineStr">
        <is>
          <t>Milwaukee elektródatisztító folyadék 20 ml pH és EC mérőkhöz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GRO1554</t>
        </is>
      </c>
      <c r="B687" s="14" t="inlineStr">
        <is>
          <t>Milwaukee MA9015 tároló folyadék pH és ORP elektródákhoz, 230 ml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GRO1598</t>
        </is>
      </c>
      <c r="B688" s="14" t="inlineStr">
        <is>
          <t>Terra Aquatica (GHE) Tripart Flora Bloom 10 liter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GRO1599</t>
        </is>
      </c>
      <c r="B689" s="14" t="inlineStr">
        <is>
          <t>Plagron Cocos A/B kétkomponensű ásványi alaptáp kókuszhoz 5 liter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GRO1602</t>
        </is>
      </c>
      <c r="B690" s="14" t="inlineStr">
        <is>
          <t>Plagron PK 13-14 foszfor-kálium virágzásfokozó, NPK 0-13-14, 1 liter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GRO1622</t>
        </is>
      </c>
      <c r="B691" s="14" t="inlineStr">
        <is>
          <t>Cool Tube 150 x 400 hűtött lámpabúra keményüveg csővel és E40 kerámiafoglalattal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GRO1628</t>
        </is>
      </c>
      <c r="B692" s="14" t="inlineStr">
        <is>
          <t>Levegőztető porlasztókő rúd 10 cm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GRO1633</t>
        </is>
      </c>
      <c r="B693" s="14" t="inlineStr">
        <is>
          <t>Pipetta 5 ml műanyag, milliliteres skálával, tápok adagolásához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GRO1679</t>
        </is>
      </c>
      <c r="B694" s="14" t="inlineStr">
        <is>
          <t>Nutriculture Wilma csepegtető rendszer 8 x 11 l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GRO1680</t>
        </is>
      </c>
      <c r="B695" s="14" t="inlineStr">
        <is>
          <t>Wilma csepegtető rendszer 10 x 6,5 l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GRO1681</t>
        </is>
      </c>
      <c r="B696" s="14" t="inlineStr">
        <is>
          <t>Nutriculture Wilma csepegtető rendszer 4 x 18 l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GRO1682</t>
        </is>
      </c>
      <c r="B697" s="14" t="inlineStr">
        <is>
          <t>Nutriculture Wilma csepegtető rendszer 8 x 18 l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GRO1683</t>
        </is>
      </c>
      <c r="B698" s="14" t="inlineStr">
        <is>
          <t>Nutriculture Wilma csepegtető rendszer 16 x 11 l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GRO1721</t>
        </is>
      </c>
      <c r="B699" s="14" t="inlineStr">
        <is>
          <t>Metrop Cal Green kalcium-magnézium kiegészítő 5 liter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GRO1736</t>
        </is>
      </c>
      <c r="B700" s="14" t="inlineStr">
        <is>
          <t>Levegőztető cső 6x4 mm fekete, akváriumhoz és hidropóniához, méterre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GRO1758</t>
        </is>
      </c>
      <c r="B701" s="14" t="inlineStr">
        <is>
          <t>Nutriculture X-Stream Heat fűthető propagátor Small, 1 db 150-es Grodan SBS tálca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GRO1766</t>
        </is>
      </c>
      <c r="B702" s="14" t="inlineStr">
        <is>
          <t>Advanced Nutrients Bud Factor X virágzási biostimulátor és szárerősítő 250 ml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GRO1767</t>
        </is>
      </c>
      <c r="B703" s="14" t="inlineStr">
        <is>
          <t>Plagron Bat Guano denevérguanó alapú szerves talajadalék por 1 liter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GRO1773</t>
        </is>
      </c>
      <c r="B704" s="14" t="inlineStr">
        <is>
          <t>Prima Klima Spudnik léghűtéses reflektor 150 mm-es csatlakozással, dupla falú házzal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GRO1774</t>
        </is>
      </c>
      <c r="B705" s="14" t="inlineStr">
        <is>
          <t>Prima Klima Spudnik léghűtéses reflektor 125 mm-es csatlakozással, dupla falú házzal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GRO1778</t>
        </is>
      </c>
      <c r="B706" s="14" t="inlineStr">
        <is>
          <t>CANNA Coco A/B kétkomponensű kókusztáp növekedéshez és virágzáshoz 1 liter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GRO1805</t>
        </is>
      </c>
      <c r="B707" s="14" t="inlineStr">
        <is>
          <t>Vasalható vákuum zsák 50 x 100 cm, fényálló, hővel lezárható tasak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GRO1806</t>
        </is>
      </c>
      <c r="B708" s="14" t="inlineStr">
        <is>
          <t>Lyukacsos kerek virágcserép 2 liter, 16 x 14 cm, spirálgyökér gátló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GRO1808</t>
        </is>
      </c>
      <c r="B709" s="14" t="inlineStr">
        <is>
          <t>Lyukacsos kerek virágcserép 7,5 liter, 26 x 22 cm, spirálgyökér gátló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GRO1809</t>
        </is>
      </c>
      <c r="B710" s="14" t="inlineStr">
        <is>
          <t>Lyukacsos kerek virágcserép 9,5 liter, 28,5 x 24 cm, spirálgyökér gátló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GRO1810</t>
        </is>
      </c>
      <c r="B711" s="14" t="inlineStr">
        <is>
          <t>Lyukacsos kerek virágcserép 12 liter, 30,5 x 26,5 cm, spirálgyökér gátló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GRO1812</t>
        </is>
      </c>
      <c r="B712" s="14" t="inlineStr">
        <is>
          <t>Kerek műanyag esővízgyűjtő tartály 240 literes, UV-stabilizált polietilén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GRO1813</t>
        </is>
      </c>
      <c r="B713" s="14" t="inlineStr">
        <is>
          <t>Szögletes műanyag virágcserép alátét 10,5 x 10,5 cm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GRO1814</t>
        </is>
      </c>
      <c r="B714" s="14" t="inlineStr">
        <is>
          <t>Szögletes műanyag virágcserép alátét 19.5x19.5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GRO1817</t>
        </is>
      </c>
      <c r="B715" s="14" t="inlineStr">
        <is>
          <t>Dán tálca kiegészítő leeresztő szűrő a 106 x 202 cm-es apály-dagály tálcához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GRO1822</t>
        </is>
      </c>
      <c r="B716" s="14" t="inlineStr">
        <is>
          <t>Advanced Nutrients Bud Factor X virágzási biostimulátor és szárerősítő 1 liter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GRO1832</t>
        </is>
      </c>
      <c r="B717" s="14" t="inlineStr">
        <is>
          <t>Advanced Nutrients Bud Candy szénhidrátos biostimulátor magnéziummal 5 liter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GRO1845</t>
        </is>
      </c>
      <c r="B718" s="14" t="inlineStr">
        <is>
          <t>Membrános légpumpa Hailea ACO-2202, 1,6 l/perc, 1 kimenet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GRO1848</t>
        </is>
      </c>
      <c r="B719" s="14" t="inlineStr">
        <is>
          <t>Membrános légpumpa Hailea ACO-2201, 1,3 l/perc, 1 kimenet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GRO1851</t>
        </is>
      </c>
      <c r="B720" s="14" t="inlineStr">
        <is>
          <t>Levegőztető porlasztókő rúd 20 cm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GRO1853</t>
        </is>
      </c>
      <c r="B721" s="14" t="inlineStr">
        <is>
          <t>Levegőztető porlasztókő korong ASC-150 15 cm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GRO1854</t>
        </is>
      </c>
      <c r="B722" s="14" t="inlineStr">
        <is>
          <t>Levegőztető porlasztókő korong ASC-100 10 cm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GRO1855</t>
        </is>
      </c>
      <c r="B723" s="14" t="inlineStr">
        <is>
          <t>Levegőztető porlasztókő gyűrű 7,5 cm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GRO1857</t>
        </is>
      </c>
      <c r="B724" s="14" t="inlineStr">
        <is>
          <t>Milwaukee MW100 PRO hordozható pH mérő 0–14 pH, 0,1 pH felbontással, SE220 szondával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GRO1859</t>
        </is>
      </c>
      <c r="B725" s="14" t="inlineStr">
        <is>
          <t>CANNAZYM enzimkészítmény az egészséges gyökérzónáért 250 ml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GRO1860</t>
        </is>
      </c>
      <c r="B726" s="14" t="inlineStr">
        <is>
          <t>CANNABOOST Accelerator virágzásserkentő adalék 500 ml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GRO1861</t>
        </is>
      </c>
      <c r="B727" s="14" t="inlineStr">
        <is>
          <t>CANNA Flush közegtisztító öblítőszer betakarítás előtti öblítéshez 1 liter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GRO1867</t>
        </is>
      </c>
      <c r="B728" s="14" t="inlineStr">
        <is>
          <t>Neptune Hydroponics propagátor fűtőlap 17 W, 35 x 25 cm, PVC borítású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GRO1868</t>
        </is>
      </c>
      <c r="B729" s="14" t="inlineStr">
        <is>
          <t>Neptune Hydroponics propagátor fűtőlap 30 W, 50 x 30 cm, PVC borítású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GRO1890</t>
        </is>
      </c>
      <c r="B730" s="14" t="inlineStr">
        <is>
          <t>Air-Pot klón 1 literes perforált, légáteresztő műanyag edény erős gyökérzethez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GRO1891</t>
        </is>
      </c>
      <c r="B731" s="14" t="inlineStr">
        <is>
          <t>Air-Pot klón 3 literes perforált, légáteresztő műanyag edény erős gyökérzethez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GRO1892</t>
        </is>
      </c>
      <c r="B732" s="14" t="inlineStr">
        <is>
          <t>Air-Pot klón 6 literes perforált, légáteresztő műanyag edény erős gyökérzethez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GRO1893</t>
        </is>
      </c>
      <c r="B733" s="14" t="inlineStr">
        <is>
          <t>Air-Pot klón 10 literes perforált, légáteresztő műanyag edény erős gyökérzethez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GRO1894</t>
        </is>
      </c>
      <c r="B734" s="14" t="inlineStr">
        <is>
          <t>Air-Pot klón 15 literes perforált, légáteresztő műanyag edény erős gyökérzethez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GRO1895</t>
        </is>
      </c>
      <c r="B735" s="14" t="inlineStr">
        <is>
          <t>Air-Pot klón 25 literes perforált, légáteresztő műanyag edény erős gyökérzethez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GRO1896</t>
        </is>
      </c>
      <c r="B736" s="14" t="inlineStr">
        <is>
          <t>Neptune Hydroponics földmelegítő kábel 30 W, 4 m fűtött hossz, beépített termosztáttal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GRO1897</t>
        </is>
      </c>
      <c r="B737" s="14" t="inlineStr">
        <is>
          <t>Neptune Hydroponics földmelegítő kábel 60 W, 10 m fűtött hossz, beépített termosztáttal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GRO1906</t>
        </is>
      </c>
      <c r="B738" s="14" t="inlineStr">
        <is>
          <t>Garland Square négyzetes tálca 59 x 59 x 7 cm (M), fröccsöntött polipropilén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GRO1907</t>
        </is>
      </c>
      <c r="B739" s="14" t="inlineStr">
        <is>
          <t>Garland Giant tálca 110 x 55 x 5 cm, hosszúkás, fröccsöntött polipropilén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GRO1909</t>
        </is>
      </c>
      <c r="B740" s="14" t="inlineStr">
        <is>
          <t>Garland tálca 5 cm magas peremmel, XS méret, fröccsöntött polipropilén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GRO1910</t>
        </is>
      </c>
      <c r="B741" s="14" t="inlineStr">
        <is>
          <t>Garland tálca 5 cm magas peremmel, S méret, fröccsöntött polipropilén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GRO1911</t>
        </is>
      </c>
      <c r="B742" s="14" t="inlineStr">
        <is>
          <t>Garland tálca 5 cm magas peremmel, XXL méret, fröccsöntött polipropilén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GRO1956</t>
        </is>
      </c>
      <c r="B743" s="14" t="inlineStr">
        <is>
          <t>Cultibox Scrog növénytartó háló 80, 100 és 120 cm-es sátrakhoz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GRO1958</t>
        </is>
      </c>
      <c r="B744" s="14" t="inlineStr">
        <is>
          <t>Összecsukható víztartály Neptune Hydroponics FlexiTank klón 250 liter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GRO1990</t>
        </is>
      </c>
      <c r="B745" s="14" t="inlineStr">
        <is>
          <t>Membrános légpumpa Hailea ACO-2203, 2 l/perc, 1 kimenet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GRO2003</t>
        </is>
      </c>
      <c r="B746" s="14" t="inlineStr">
        <is>
          <t>Advanced Nutrients pH Perfect Sensi Bloom A+B kétkomponensű virágzási alaptáp 5 liter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GRO2005</t>
        </is>
      </c>
      <c r="B747" s="14" t="inlineStr">
        <is>
          <t>Advanced Nutrients Big Bud Liquid virágzásfokozó PK 0-1-3, 4 liter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GRO2025</t>
        </is>
      </c>
      <c r="B748" s="14" t="inlineStr">
        <is>
          <t>Háromeres elektromos kábel 3 x 1,5 mm dugvillával, 3 m, trafókhoz és lámpákhoz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GRO2028</t>
        </is>
      </c>
      <c r="B749" s="14" t="inlineStr">
        <is>
          <t>Plagron Power Roots gyökérerősítő adalék 5 liter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GRO2029</t>
        </is>
      </c>
      <c r="B750" s="14" t="inlineStr">
        <is>
          <t>BioBizz Bio-Heaven szerves stimulátor 5 liter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GRO2058</t>
        </is>
      </c>
      <c r="B751" s="14" t="inlineStr">
        <is>
          <t>Advanced Nutrients pH Perfect Micro háromkomponensű alaptáp, NPK 2-0-0, 1 liter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GRO2059</t>
        </is>
      </c>
      <c r="B752" s="14" t="inlineStr">
        <is>
          <t>Advanced Nutrients pH Perfect Bloom háromkomponensű alaptáp, NPK 1-3-4, 1 liter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GRO2060</t>
        </is>
      </c>
      <c r="B753" s="14" t="inlineStr">
        <is>
          <t>Advanced Nutrients pH Perfect Grow háromkomponensű alaptáp, NPK 1-0-4, 1 liter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GRO2062</t>
        </is>
      </c>
      <c r="B754" s="14" t="inlineStr">
        <is>
          <t>Milwaukee pH kalibráló folyadék pH 4,01, 230 ml, pH mérőkhöz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GRO2063</t>
        </is>
      </c>
      <c r="B755" s="14" t="inlineStr">
        <is>
          <t>Milwaukee pH kalibráló folyadék pH 7,01, 230 ml, pH mérőkhöz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GRO2064</t>
        </is>
      </c>
      <c r="B756" s="14" t="inlineStr">
        <is>
          <t>BioNova Autoflower Supermix táp önvirágzó növényekhez 5 liter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GRO2065</t>
        </is>
      </c>
      <c r="B757" s="14" t="inlineStr">
        <is>
          <t>BioNova N 27 kloridmentes folyékony nitrogénműtrágya 250 ml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GRO2066</t>
        </is>
      </c>
      <c r="B758" s="14" t="inlineStr">
        <is>
          <t>BioNova P 20 folyékony foszforműtrágya foszforhiányra 250 ml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GRO2068</t>
        </is>
      </c>
      <c r="B759" s="14" t="inlineStr">
        <is>
          <t>BioNova Ca 15 folyékony kalciumműtrágya kalciumhiányra 250 ml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GRO2069</t>
        </is>
      </c>
      <c r="B760" s="14" t="inlineStr">
        <is>
          <t>BioNova MgO 10 folyékony magnéziumműtrágya magnéziumhiányra 250 ml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GRO2072</t>
        </is>
      </c>
      <c r="B761" s="14" t="inlineStr">
        <is>
          <t>Atami Bloombastic PK 14-15 virágzásserkentő, 5,5 liter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GRO2082</t>
        </is>
      </c>
      <c r="B762" s="14" t="inlineStr">
        <is>
          <t>BioBizz Root-Juice gyökérserkentő 500 ml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GRO2083</t>
        </is>
      </c>
      <c r="B763" s="14" t="inlineStr">
        <is>
          <t>Plagron Cocos A/B kétkomponensű ásványi alaptáp kókuszhoz 10 liter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GRO2086</t>
        </is>
      </c>
      <c r="B764" s="14" t="inlineStr">
        <is>
          <t>ADWA AD100 digitális zseb pH mérő -2,0–16,0 pH, automatikus kalibrálással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GRO2092</t>
        </is>
      </c>
      <c r="B765" s="14" t="inlineStr">
        <is>
          <t>ADWA AD11 vízálló pH és hőmérséklet mérő cserélhető szondával, 0,1 pH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GRO2093</t>
        </is>
      </c>
      <c r="B766" s="14" t="inlineStr">
        <is>
          <t>ADWA AD101 digitális zseb pH mérő 0,01 pH felbontással, automatikus kalibrálással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GRO2095</t>
        </is>
      </c>
      <c r="B767" s="14" t="inlineStr">
        <is>
          <t>Milwaukee EC kalibráló folyadék 12880 μS/cm, 230 ml, EC és TDS mérőkhöz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GRO2096</t>
        </is>
      </c>
      <c r="B768" s="14" t="inlineStr">
        <is>
          <t>Milwaukee EC kalibráló folyadék 1413 μS/cm, 230 ml, EC és TDS mérőkhöz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GRO2097</t>
        </is>
      </c>
      <c r="B769" s="14" t="inlineStr">
        <is>
          <t>Milwaukee elektródatisztító folyadék 230 ml pH és EC mérőkhöz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GRO2099</t>
        </is>
      </c>
      <c r="B770" s="14" t="inlineStr">
        <is>
          <t>Kerek műanyag virágcserép 3 liter, 16 x 16 cm, fekete, újrahasznosított PE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GRO2100</t>
        </is>
      </c>
      <c r="B771" s="14" t="inlineStr">
        <is>
          <t>Kerek műanyag virágcserép 5 liter, 20 x 20 cm, fekete, újrahasznosított PE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GRO2101</t>
        </is>
      </c>
      <c r="B772" s="14" t="inlineStr">
        <is>
          <t>Kerek műanyag virágcserép 7 liter, 22 x 22 cm, fekete, újrahasznosított PE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GRO2102</t>
        </is>
      </c>
      <c r="B773" s="14" t="inlineStr">
        <is>
          <t>Kerek műanyag virágcserép 9,5 liter, 24 x 24 cm, fekete, újrahasznosított PE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GRO2103</t>
        </is>
      </c>
      <c r="B774" s="14" t="inlineStr">
        <is>
          <t>Kerek műanyag virágcserép 12 liter, 26 x 26 cm, fekete, újrahasznosított PE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GRO2104</t>
        </is>
      </c>
      <c r="B775" s="14" t="inlineStr">
        <is>
          <t>Kerek műanyag virágcserép 15 liter, 28 x 28 cm, fekete, újrahasznosított PE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GRO2106</t>
        </is>
      </c>
      <c r="B776" s="14" t="inlineStr">
        <is>
          <t>Szögletes műanyag virágcserép alátét 20,5 x 20,5 cm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GRO2107</t>
        </is>
      </c>
      <c r="B777" s="14" t="inlineStr">
        <is>
          <t>Lyukacsos szögletes műanyag cserép 9,6 liter, 20 x 23 x 28 cm, hidropóniához is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GRO2108</t>
        </is>
      </c>
      <c r="B778" s="14" t="inlineStr">
        <is>
          <t>Lyukacsos kerek virágcserép 5 liter, 23 x 20 cm, spirálgyökér gátló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GRO2109</t>
        </is>
      </c>
      <c r="B779" s="14" t="inlineStr">
        <is>
          <t>Lyukacsos kerek virágcserép 20 liter, 33 x 29 cm, spirálgyökér gátló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GRO2110</t>
        </is>
      </c>
      <c r="B780" s="14" t="inlineStr">
        <is>
          <t>Lyukacsos kerek virágcserép 25 liter, 37,5 x 32 cm, spirálgyökér gátló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GRO2111</t>
        </is>
      </c>
      <c r="B781" s="14" t="inlineStr">
        <is>
          <t>Lyukacsos kerek virágcserép 35 liter, 42 x 36 cm, spirálgyökér gátló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GRO2174</t>
        </is>
      </c>
      <c r="B782" s="14" t="inlineStr">
        <is>
          <t>ADWA AD31 vízálló EC, TDS és hőmérséklet mérő 0–3999 μS/cm, cserélhető szondával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GRO2180</t>
        </is>
      </c>
      <c r="B783" s="14" t="inlineStr">
        <is>
          <t>Milwaukee Mi56P pH és hőmérséklet csereszonda Martini pH55 és pH56 teszterekhez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GRO2181</t>
        </is>
      </c>
      <c r="B784" s="14" t="inlineStr">
        <is>
          <t>ADWA AD14 vízálló pH, ORP és hőmérséklet mérő cserélhető szondával, 0,01 pH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GRO2185</t>
        </is>
      </c>
      <c r="B785" s="14" t="inlineStr">
        <is>
          <t>CANNA COGr Buffering Agent pufferoló koncentrátum COGr kókuszlapokhoz 1 liter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GRO2188</t>
        </is>
      </c>
      <c r="B786" s="14" t="inlineStr">
        <is>
          <t>CANNA COGr Vega A/B kétkomponensű növekedési táp kókuszhoz 10 liter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GRO2196</t>
        </is>
      </c>
      <c r="B787" s="14" t="inlineStr">
        <is>
          <t>ADWA AD32 EC, TDS és hőmérséklet mérő 0–20 mS/cm, cserélhető AD32P szondával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GRO2224</t>
        </is>
      </c>
      <c r="B788" s="14" t="inlineStr">
        <is>
          <t>Kertészeti perlit, duzzasztott steril talajjavító és gyökereztető közeg 10 liter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GRO2225</t>
        </is>
      </c>
      <c r="B789" s="14" t="inlineStr">
        <is>
          <t>Perlit 50 liter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GRO2226</t>
        </is>
      </c>
      <c r="B790" s="14" t="inlineStr">
        <is>
          <t>Kertészeti perlit, duzzasztott steril talajjavító és gyökereztető közeg 100 liter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GRO2228</t>
        </is>
      </c>
      <c r="B791" s="14" t="inlineStr">
        <is>
          <t>Dugvillával szerelt kábel 3 x 1 mm², fehér, 2 m, 300/500 V, trafókhoz és lámpákhoz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GRO2229</t>
        </is>
      </c>
      <c r="B792" s="14" t="inlineStr">
        <is>
          <t>Plagron PK 13-14 foszfor-kálium virágzásfokozó, NPK 0-13-14, 5 liter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GRO2236</t>
        </is>
      </c>
      <c r="B793" s="14" t="inlineStr">
        <is>
          <t>Jiffy tőzegcserép kerek alapú 6 x 5 cm, lebomló palántanevelő cserép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GRO2237</t>
        </is>
      </c>
      <c r="B794" s="14" t="inlineStr">
        <is>
          <t>Jiffy tőzegcserép kerek alapú 8 x 8 cm, lebomló palántanevelő cserép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GRO2239</t>
        </is>
      </c>
      <c r="B795" s="14" t="inlineStr">
        <is>
          <t>Jiffy tőzegcserép tálca 6 x 6 x 6 cm, 12 ültetőhelyes lebomló palántanevelő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GRO2246</t>
        </is>
      </c>
      <c r="B796" s="14" t="inlineStr">
        <is>
          <t>Nutriculture X-Stream aeropóniás propagátor tálca PT300 és PT400 modellhez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GRO2251</t>
        </is>
      </c>
      <c r="B797" s="14" t="inlineStr">
        <is>
          <t>Nutriculture X-Stream Heat Thermoset digitális termosztát fűthető propagátorokhoz, 5–30 °C, 1000 W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GRO2253</t>
        </is>
      </c>
      <c r="B798" s="14" t="inlineStr">
        <is>
          <t>Canna Flush 5 liter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GRO2271</t>
        </is>
      </c>
      <c r="B799" s="14" t="inlineStr">
        <is>
          <t>Sylvania SHP-T GroXpress HPS nátriumlámpa izzó 250 W, E40, 2000 K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GRO2274</t>
        </is>
      </c>
      <c r="B800" s="14" t="inlineStr">
        <is>
          <t>ADWA AD11P pH csereszonda ADWA AD11 és AD12 pH mérőkhöz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GRO2308</t>
        </is>
      </c>
      <c r="B801" s="14" t="inlineStr">
        <is>
          <t>Plagron PK 13-14 foszfor-kálium virágzásfokozó, NPK 0-13-14, 250 ml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GRO2309</t>
        </is>
      </c>
      <c r="B802" s="14" t="inlineStr">
        <is>
          <t>Plagron PK 13-14 foszfor-kálium virágzásfokozó, NPK 0-13-14, 500 ml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GRO2310</t>
        </is>
      </c>
      <c r="B803" s="14" t="inlineStr">
        <is>
          <t>BioNova Ca 15 folyékony kalciumműtrágya kalciumhiányra 5 liter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GRO2311</t>
        </is>
      </c>
      <c r="B804" s="14" t="inlineStr">
        <is>
          <t>BioNova Aero Supermix alaptáp aeropóniás rendszerekhez 5 liter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GRO2345</t>
        </is>
      </c>
      <c r="B805" s="14" t="inlineStr">
        <is>
          <t>BioNova P 20 folyékony foszforműtrágya foszforhiányra 5 liter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GRO2346</t>
        </is>
      </c>
      <c r="B806" s="14" t="inlineStr">
        <is>
          <t>BioNova K 20 folyékony káliumműtrágya káliumhiányra 5 liter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GRO2349</t>
        </is>
      </c>
      <c r="B807" s="14" t="inlineStr">
        <is>
          <t>Plagron Euro Pebbles agyaggolyó hidrokultúrához, 8–16 mm, 10 liter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GRO2356</t>
        </is>
      </c>
      <c r="B808" s="14" t="inlineStr">
        <is>
          <t>Görög mintás négyzetes műanyag virágcserép 6 liter, 21 x 19,2 cm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GRO2359</t>
        </is>
      </c>
      <c r="B809" s="14" t="inlineStr">
        <is>
          <t>Görög mintás négyzetes műanyag virágcserép 2 liter, 14 x 14 cm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GRO2360</t>
        </is>
      </c>
      <c r="B810" s="14" t="inlineStr">
        <is>
          <t>Szögletes műanyag cserép 11 liter, 23 x 23 x 26 cm, gyökércsavarodás gátló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GRO2363</t>
        </is>
      </c>
      <c r="B811" s="14" t="inlineStr">
        <is>
          <t>Levegőkompresszor Hailea ACO-388D, 80 l/perc, elektromágneses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GRO2365</t>
        </is>
      </c>
      <c r="B812" s="14" t="inlineStr">
        <is>
          <t>Levegőztető porlasztókő gyűrű 10 cm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GRO2369</t>
        </is>
      </c>
      <c r="B813" s="14" t="inlineStr">
        <is>
          <t>Zöld fényű fejlámpa 8 LED-del munkához a termesztőtérben sötét periódusban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GRO2371</t>
        </is>
      </c>
      <c r="B814" s="14" t="inlineStr">
        <is>
          <t>BioNova pH- foszforsav alapú pH csökkentő folyadék 5 liter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GRO2422</t>
        </is>
      </c>
      <c r="B815" s="14" t="inlineStr">
        <is>
          <t>Secret Jardin Darkroom DR150 R3.00 termesztősátor 150x150x235 cm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GRO2425</t>
        </is>
      </c>
      <c r="B816" s="14" t="inlineStr">
        <is>
          <t>Secret Jardin Dark Street DS60 R4.00 termesztősátor 60x60x158 cm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GRO2426</t>
        </is>
      </c>
      <c r="B817" s="14" t="inlineStr">
        <is>
          <t>Secret Jardin Dark Street DS90 R4.00 termesztősátor 90x90x178 cm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GRO2427</t>
        </is>
      </c>
      <c r="B818" s="14" t="inlineStr">
        <is>
          <t>Secret Jardin Dark Street DS120 R4.00 termesztősátor 120x120x200 cm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GRO2435</t>
        </is>
      </c>
      <c r="B819" s="14" t="inlineStr">
        <is>
          <t>Secret Jardin Dark Propagator DP90 R4.00 nevelősátor 90x60x98 cm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GRO2437</t>
        </is>
      </c>
      <c r="B820" s="14" t="inlineStr">
        <is>
          <t>Secret Jardin Hydro Shoot HS40 termesztősátor 40x40x120 cm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GRO2438</t>
        </is>
      </c>
      <c r="B821" s="14" t="inlineStr">
        <is>
          <t>Secret Jardin Hydro Shoot HS60 termesztősátor 60x60x158 cm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GRO2439</t>
        </is>
      </c>
      <c r="B822" s="14" t="inlineStr">
        <is>
          <t>Secret Jardin Hydro Shoot HS80 termesztősátor 80x80x178 cm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GRO2444</t>
        </is>
      </c>
      <c r="B823" s="14" t="inlineStr">
        <is>
          <t>Secret Jardin WEBIT növénytartó háló (SCROG) 60x60 cm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GRO2445</t>
        </is>
      </c>
      <c r="B824" s="14" t="inlineStr">
        <is>
          <t>Secret Jardin WEBIT növénytartó háló (SCROG) 90x90 cm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GRO2458</t>
        </is>
      </c>
      <c r="B825" s="14" t="inlineStr">
        <is>
          <t>Secret Jardin Hydro Shoot HS100 termesztősátor 100x100x198 cm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GRO2459</t>
        </is>
      </c>
      <c r="B826" s="14" t="inlineStr">
        <is>
          <t>Secret Jardin Hydro Shoot HS120 termesztősátor 120x120x200 cm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GRO2466</t>
        </is>
      </c>
      <c r="B827" s="14" t="inlineStr">
        <is>
          <t>Aquatek 3in1 analóg talajteszter pH, nedvesség és fény mérésére, elem nélkül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GRO2471</t>
        </is>
      </c>
      <c r="B828" s="14" t="inlineStr">
        <is>
          <t>Plagron Perlit, RHP minősítésű kertészeti perlit földhöz és hidrokultúrához 10 liter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GRO2492</t>
        </is>
      </c>
      <c r="B829" s="14" t="inlineStr">
        <is>
          <t>Szövet edény 1 liter, Smart Pot klón légáteresztő textilcserép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GRO2494</t>
        </is>
      </c>
      <c r="B830" s="14" t="inlineStr">
        <is>
          <t>Lyukacsos kerek virágcserép 50 liter, 50 x 39 cm, spirálgyökér gátló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GRO2495</t>
        </is>
      </c>
      <c r="B831" s="14" t="inlineStr">
        <is>
          <t>Lyukacsos kerek virágcserép 70 liter, 55 x 45 cm, spirálgyökér gátló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GRO2496</t>
        </is>
      </c>
      <c r="B832" s="14" t="inlineStr">
        <is>
          <t>Lyukacsos kerek virágcserép 90 liter, 60 x 46 cm, spirálgyökér gátló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GRO2497</t>
        </is>
      </c>
      <c r="B833" s="14" t="inlineStr">
        <is>
          <t>Lyukacsos szögletes műanyag cserép 6,5 liter, 20 x 20 x 25,5 cm, hidropóniához is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GRO2498</t>
        </is>
      </c>
      <c r="B834" s="14" t="inlineStr">
        <is>
          <t>Kerek műanyag virágcserép 18,5 liter, 30 x 30 cm, fekete, újrahasznosított PE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GRO2499</t>
        </is>
      </c>
      <c r="B835" s="14" t="inlineStr">
        <is>
          <t>Műanyag virágcserép (kerek) 33x33 cm 25 liter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GRO2500</t>
        </is>
      </c>
      <c r="B836" s="14" t="inlineStr">
        <is>
          <t>Kerek műanyag virágcserép 30 liter, 35 x 37 cm, fekete, újrahasznosított PE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GRO2501</t>
        </is>
      </c>
      <c r="B837" s="14" t="inlineStr">
        <is>
          <t>Lyukacsos konténer műanyag cserép 43 liter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GRO2502</t>
        </is>
      </c>
      <c r="B838" s="14" t="inlineStr">
        <is>
          <t>Lyukacsos konténer műanyag cserép 50 liter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GRO2504</t>
        </is>
      </c>
      <c r="B839" s="14" t="inlineStr">
        <is>
          <t>Lyukacsos konténer műanyag cserép 70 liter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GRO2505</t>
        </is>
      </c>
      <c r="B840" s="14" t="inlineStr">
        <is>
          <t>Lyukacsos konténer műanyag cserép 80 liter, 60 x 43 cm, fogantyúval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GRO2506</t>
        </is>
      </c>
      <c r="B841" s="14" t="inlineStr">
        <is>
          <t>Lyukacsos konténer műanyag cserép 100 liter, 60 x 51 cm, fogantyúval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GRO2512</t>
        </is>
      </c>
      <c r="B842" s="14" t="inlineStr">
        <is>
          <t>Metrop Enzymes enzimes közegtisztító adalék a gyökérzónához 1 liter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GRO2514</t>
        </is>
      </c>
      <c r="B843" s="14" t="inlineStr">
        <is>
          <t>Milwaukee pH szabályozó szett MC122 szabályozóval, MP810 adagolópumpával és pH szondával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GRO2515</t>
        </is>
      </c>
      <c r="B844" s="14" t="inlineStr">
        <is>
          <t>Milwaukee MP810 perisztaltikus adagoló szivattyú pH szabályozókhoz, 230 V, 6 mm-es csőcsatlakozással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GRO2520</t>
        </is>
      </c>
      <c r="B845" s="14" t="inlineStr">
        <is>
          <t>Sylvania Grolux HPS nátriumlámpa izzó 250 W, E40, virágzáshoz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GRO2571</t>
        </is>
      </c>
      <c r="B846" s="14" t="inlineStr">
        <is>
          <t>Air-Pot klón 50 literes perforált, légáteresztő műanyag edény erős gyökérzethez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GRO2572</t>
        </is>
      </c>
      <c r="B847" s="14" t="inlineStr">
        <is>
          <t>Szövet edény 50 liter, Smart Pot klón légáteresztő textilcserép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GRO2574</t>
        </is>
      </c>
      <c r="B848" s="14" t="inlineStr">
        <is>
          <t>Rovarfogó és jelző lapok kék, ragacsos lapok 10 x 25 cm, 10 db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GRO2575</t>
        </is>
      </c>
      <c r="B849" s="14" t="inlineStr">
        <is>
          <t>Rovarfogó és jelző lapok sárga, ragacsos lapok 10 x 25 cm, 10 db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GRO2576</t>
        </is>
      </c>
      <c r="B850" s="14" t="inlineStr">
        <is>
          <t>Pollenháló 1,2 x 1,5 m, 97% hatásfokú védőháló pollen, por és korom ellen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GRO2584</t>
        </is>
      </c>
      <c r="B851" s="14" t="inlineStr">
        <is>
          <t>Neoprén tartókorong fekete 75 mm aeropóniás rendszerekhez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GRO2585</t>
        </is>
      </c>
      <c r="B852" s="14" t="inlineStr">
        <is>
          <t>Osram T5 827 BLOOM fénycső 54 W, 116 cm, Lightwave LW44–LW48 reflektorhoz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GRO2586</t>
        </is>
      </c>
      <c r="B853" s="14" t="inlineStr">
        <is>
          <t>HOMEbox Ambient Q120 termesztősátor 120x120x200 cm, PAR+ belsővel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GRO2609</t>
        </is>
      </c>
      <c r="B854" s="14" t="inlineStr">
        <is>
          <t>Hesi Pro-Line Root 500 ml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GRO2628</t>
        </is>
      </c>
      <c r="B855" s="14" t="inlineStr">
        <is>
          <t>Levegőelosztó műanyag 10 kimenettel, 8 mm bemenet, 5 mm kimenetek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GRO2630</t>
        </is>
      </c>
      <c r="B856" s="14" t="inlineStr">
        <is>
          <t>Fonatos PVC cső 8 mm, áttetsző, hidropóniához és akváriumhoz, méterre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GRO2631</t>
        </is>
      </c>
      <c r="B857" s="14" t="inlineStr">
        <is>
          <t>Levegőztető porlasztókő henger 25 mm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GRO2636</t>
        </is>
      </c>
      <c r="B858" s="14" t="inlineStr">
        <is>
          <t>Milwaukee pH kalibráló folyadék pH 10,01, 230 ml, pH mérőkhöz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GRO2637</t>
        </is>
      </c>
      <c r="B859" s="14" t="inlineStr">
        <is>
          <t>Összecsukható víztartály Neptune Hydroponics FlexiTank klón 500 liter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GRO2638</t>
        </is>
      </c>
      <c r="B860" s="14" t="inlineStr">
        <is>
          <t>Összecsukható víztartály Neptune Hydroponics FlexiTank klón 1000 liter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GRO2651</t>
        </is>
      </c>
      <c r="B861" s="14" t="inlineStr">
        <is>
          <t>BioNova MgO 10 folyékony magnéziumműtrágya magnéziumhiányra 5 liter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GRO2697</t>
        </is>
      </c>
      <c r="B862" s="14" t="inlineStr">
        <is>
          <t>HOMEbox Ambient Q30 termesztősátor 30x30x60 cm, PAR+ belsővel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GRO2699</t>
        </is>
      </c>
      <c r="B863" s="14" t="inlineStr">
        <is>
          <t>HOMEbox Ambient R80S termesztősátor 80x60x70 cm, PAR+ belsővel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GRO2701</t>
        </is>
      </c>
      <c r="B864" s="14" t="inlineStr">
        <is>
          <t>Homebox Ambient Növény sátor Q100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GRO2702</t>
        </is>
      </c>
      <c r="B865" s="14" t="inlineStr">
        <is>
          <t>HOMEbox Ambient R120 termesztősátor 120x90x180 cm, PAR+ belsővel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GRO2703</t>
        </is>
      </c>
      <c r="B866" s="14" t="inlineStr">
        <is>
          <t>HOMEbox Ambient R240 termesztősátor 240x120x200 cm, PAR+ belsővel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GRO2707</t>
        </is>
      </c>
      <c r="B867" s="14" t="inlineStr">
        <is>
          <t>Eazy Plug CT24 magvető és dugványozó kocka tálcában, 24 darab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GRO2708</t>
        </is>
      </c>
      <c r="B868" s="14" t="inlineStr">
        <is>
          <t>Eazy Plug CT77 magvető és dugványozó kocka tálcában, 77 darab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GRO2709</t>
        </is>
      </c>
      <c r="B869" s="14" t="inlineStr">
        <is>
          <t>Eazy Plug CT150 magvető és dugványozó kocka tálcában, 150 darab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GRO2710</t>
        </is>
      </c>
      <c r="B870" s="14" t="inlineStr">
        <is>
          <t>Eazy Plug kókuszrost magvető kocka 3,5 x 3,5 x 3 cm, 50 darabos csomag, tálca nélkül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GRO2711</t>
        </is>
      </c>
      <c r="B871" s="14" t="inlineStr">
        <is>
          <t>Eazy Plug kókuszrost magvető kocka 3,5 x 3,5 x 3 cm, 100 darabos csomag, tálca nélkül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GRO2712</t>
        </is>
      </c>
      <c r="B872" s="14" t="inlineStr">
        <is>
          <t>Eazy Block nevelőkocka 7,5 x 7,5 x 6 cm Eazy Plug palánták átültetéséhez, 1 darab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GRO2734</t>
        </is>
      </c>
      <c r="B873" s="14" t="inlineStr">
        <is>
          <t>Secret Jardin Dark Propagator DP60 R4.00 nevelősátor 60x40x60 cm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GRO2740</t>
        </is>
      </c>
      <c r="B874" s="14" t="inlineStr">
        <is>
          <t>Levegőkompresszor Hailea ACO-009E, 140 l/perc, elektromágneses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GRO2757</t>
        </is>
      </c>
      <c r="B875" s="14" t="inlineStr">
        <is>
          <t>Sylvania SHP-TS Super nátriumlámpa izzó 250 W, E40, virágzáshoz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GRO2777</t>
        </is>
      </c>
      <c r="B876" s="14" t="inlineStr">
        <is>
          <t>GrowMax Water pót fordított ozmózisos membrán 150 GPD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GRO2788</t>
        </is>
      </c>
      <c r="B877" s="14" t="inlineStr">
        <is>
          <t>Manuális trimmelő tál 39,5 cm, kézi hajtókaros, átlátszó fedéllel, 30 pengével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GRO2789</t>
        </is>
      </c>
      <c r="B878" s="14" t="inlineStr">
        <is>
          <t>Elektromos trimmelő asztal állítható pengesebességgel és hulladékgyűjtővel, 46 x 46 x 64,5 cm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GRO2794</t>
        </is>
      </c>
      <c r="B879" s="14" t="inlineStr">
        <is>
          <t>Eazy Plug CT12 magvető és dugványozó kocka tálcában, 12 darab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GRO2795</t>
        </is>
      </c>
      <c r="B880" s="14" t="inlineStr">
        <is>
          <t>Eazy Plug CT104C magvető és dugványozó kocka tálcában, 104 darab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GRO2797</t>
        </is>
      </c>
      <c r="B881" s="14" t="inlineStr">
        <is>
          <t>Vékony falú propagátor 23x18x13 cm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GRO2798</t>
        </is>
      </c>
      <c r="B882" s="14" t="inlineStr">
        <is>
          <t>Vékony falú propagátor 38x24x13,5 cm, fűtés nélküli, csíráztatáshoz és dugványokhoz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GRO2812</t>
        </is>
      </c>
      <c r="B883" s="14" t="inlineStr">
        <is>
          <t>Advanced Nutrients Overdrive késői virágzásfokozó NPK 1-5-4, 500 ml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GRO2820</t>
        </is>
      </c>
      <c r="B884" s="14" t="inlineStr">
        <is>
          <t>Fűtött propagátor 3 magas fedelű tálcával, 80,5x41 cm, 50 W, beépített termosztáttal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GRO2821</t>
        </is>
      </c>
      <c r="B885" s="14" t="inlineStr">
        <is>
          <t>Garland Large High Dome magas propagátor szellőzővel, 37,5x23x18 cm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GRO2823</t>
        </is>
      </c>
      <c r="B886" s="14" t="inlineStr">
        <is>
          <t>Garland XL High Dome magas propagátor szellőzővel, 58x40 cm, 22,5 cm magas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GRO2824</t>
        </is>
      </c>
      <c r="B887" s="14" t="inlineStr">
        <is>
          <t>Garland Small High Dome magas propagátor szellőzővel, 23x17x18 cm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GRO2844</t>
        </is>
      </c>
      <c r="B888" s="14" t="inlineStr">
        <is>
          <t>Secret Jardin DRYIT szárítóháló Ø80 cm, 5 szintes, forgatható, hordtáskával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GRO2845</t>
        </is>
      </c>
      <c r="B889" s="14" t="inlineStr">
        <is>
          <t>Secret Jardin DRYIT szárítóháló Ø45 cm, egyszintes, egymáshoz fűzhető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GRO2846</t>
        </is>
      </c>
      <c r="B890" s="14" t="inlineStr">
        <is>
          <t>CANNA COGr Vega A/B kétkomponensű növekedési táp kókuszhoz 5 liter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GRO2847</t>
        </is>
      </c>
      <c r="B891" s="14" t="inlineStr">
        <is>
          <t>CANNA COGr Flores A/B kétkomponensű virágzási táp kókuszhoz 5 liter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GRO2850</t>
        </is>
      </c>
      <c r="B892" s="14" t="inlineStr">
        <is>
          <t>CANNA Aqua Clay Pebbles égetett agyaggolyó hidropóniás termesztéshez 45 liter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GRO2852</t>
        </is>
      </c>
      <c r="B893" s="14" t="inlineStr">
        <is>
          <t>BioNova Micromix kelátos mikroelem-keverék nyomelemhiányra 5 liter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GRO2861</t>
        </is>
      </c>
      <c r="B894" s="14" t="inlineStr">
        <is>
          <t>Secret Jardin Dark Street DS120W R4.00 termesztősátor 120x60x178 cm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GRO2866</t>
        </is>
      </c>
      <c r="B895" s="14" t="inlineStr">
        <is>
          <t>Plagron Terra Bloom ásványi virágzási táp földhöz 20 liter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GRO2877</t>
        </is>
      </c>
      <c r="B896" s="14" t="inlineStr">
        <is>
          <t>Lumatek HPS Dual Spektrum izzó 400 W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GRO2879</t>
        </is>
      </c>
      <c r="B897" s="14" t="inlineStr">
        <is>
          <t>Lumatek HPS Dual Spectrum nátriumlámpa izzó 1000 W, E40, virágzáshoz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GRO2883</t>
        </is>
      </c>
      <c r="B898" s="14" t="inlineStr">
        <is>
          <t>Lumatek MH fémhalogén izzó 1000 W, 4000 K, E40, növekedési szakaszhoz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GRO2884</t>
        </is>
      </c>
      <c r="B899" s="14" t="inlineStr">
        <is>
          <t>Plagron Cocos A/B kétkomponensű ásványi alaptáp kókuszhoz 20 liter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GRO2892</t>
        </is>
      </c>
      <c r="B900" s="14" t="inlineStr">
        <is>
          <t>Kókusztégla mosott csomagolt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GRO2900</t>
        </is>
      </c>
      <c r="B901" s="14" t="inlineStr">
        <is>
          <t>Palántázócserép 7 x 7 x 6 cm, rugalmas, négyzetes műanyag cserép palántákhoz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GRO2912</t>
        </is>
      </c>
      <c r="B902" s="14" t="inlineStr">
        <is>
          <t>CANNA Coco Professional Plus pufferelt kókuszrost termesztőközeg 50 liter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GRO2919</t>
        </is>
      </c>
      <c r="B903" s="14" t="inlineStr">
        <is>
          <t>Plagron Alga Bloom algás bio virágzási táp földhöz 10 liter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GRO2934</t>
        </is>
      </c>
      <c r="B904" s="14" t="inlineStr">
        <is>
          <t>Aquatek pH 6,86 kalibráló por egy tasak, pH mérők kalibrálásához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GRO2935</t>
        </is>
      </c>
      <c r="B905" s="14" t="inlineStr">
        <is>
          <t>Aquatek digitális TDS és EC mérő 0–9999 ppm, hőmérséklet-kijelzéssel és Hold funkcióval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GRO2938</t>
        </is>
      </c>
      <c r="B906" s="14" t="inlineStr">
        <is>
          <t>Fűthető propagátor 38,5x24x20 cm, szellőzős magas fedéllel, termosztát nélkül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GRO2939</t>
        </is>
      </c>
      <c r="B907" s="14" t="inlineStr">
        <is>
          <t>Önöntöző propagátor 24 cellás, víztartállyal és kapilláris szőnyeggel, 37,5x23x16 cm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GRO2940</t>
        </is>
      </c>
      <c r="B908" s="14" t="inlineStr">
        <is>
          <t>Fűthető propagátor 4 részes, 4 szellőzős egységgel, 40 W, termosztáttal, 59,5x41x20 cm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GRO2941</t>
        </is>
      </c>
      <c r="B909" s="14" t="inlineStr">
        <is>
          <t>Fűthető propagátor 3 részes, 13 W szénszálas fűtéssel, 38,5x24x17,5 cm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GRO2943</t>
        </is>
      </c>
      <c r="B910" s="14" t="inlineStr">
        <is>
          <t>Urban Garden fehér konyhakert nagy, 2 x 24 W 6400K LED világítással, 62 x 40 x 47 cm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GRO2948</t>
        </is>
      </c>
      <c r="B911" s="14" t="inlineStr">
        <is>
          <t>Aquatek digitális zseb pH mérő 0,00–14,00 pH, 0,01 pH felbontással, kétpontos kalibrálással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GRO2963</t>
        </is>
      </c>
      <c r="B912" s="14" t="inlineStr">
        <is>
          <t>Aptus Break-Out Powder vízoldható PK virágzásfokozó por NPK 0-35-23, 100 g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GRO2987</t>
        </is>
      </c>
      <c r="B913" s="14" t="inlineStr">
        <is>
          <t>Tálca Jiffy koronghoz 51 db-os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GRO2997</t>
        </is>
      </c>
      <c r="B914" s="14" t="inlineStr">
        <is>
          <t>Agrolite Clase 2 mágneses trafó 400 W HPS és MH izzókhoz, 230 V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GRO3012</t>
        </is>
      </c>
      <c r="B915" s="14" t="inlineStr">
        <is>
          <t>Advanced Nutrients Bud Factor X virágzási biostimulátor és szárerősítő 5 liter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GRO3020</t>
        </is>
      </c>
      <c r="B916" s="14" t="inlineStr">
        <is>
          <t>Atami Bloombastic PK 14-15 virágzásserkentő, 50 ml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GRO3036</t>
        </is>
      </c>
      <c r="B917" s="14" t="inlineStr">
        <is>
          <t>Advanced Nutrients Bud Candy szénhidrátos biostimulátor magnéziummal 500 ml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GRO3037</t>
        </is>
      </c>
      <c r="B918" s="14" t="inlineStr">
        <is>
          <t>Advanced Nutrients Rhino Skin kálium-szilikát adalék erősebb szárért, 250 ml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GRO3038</t>
        </is>
      </c>
      <c r="B919" s="14" t="inlineStr">
        <is>
          <t>Advanced Nutrients Big Bud Liquid virágzásfokozó PK 0-1-3, 250 ml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GRO3039</t>
        </is>
      </c>
      <c r="B920" s="14" t="inlineStr">
        <is>
          <t>Advanced Nutrients Big Bud Liquid virágzásfokozó PK 0-1-3, 500 ml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GRO3103</t>
        </is>
      </c>
      <c r="B921" s="14" t="inlineStr">
        <is>
          <t>Green Force LED sáv 90 cm, 20 x 3 W LED, 34 W, beltéri növényvilágításhoz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GRO3119</t>
        </is>
      </c>
      <c r="B922" s="14" t="inlineStr">
        <is>
          <t>BioBizz Acti-Vera aloe verás botanikai aktivátor 500 ml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GRO3120</t>
        </is>
      </c>
      <c r="B923" s="14" t="inlineStr">
        <is>
          <t>BioBizz Acti-Vera aloe verás botanikai aktivátor 1 liter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GRO3124</t>
        </is>
      </c>
      <c r="B924" s="14" t="inlineStr">
        <is>
          <t>Secret Jardin kiegészítő víztálca 100x100 cm termesztősátor aljába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GRO3138</t>
        </is>
      </c>
      <c r="B925" s="14" t="inlineStr">
        <is>
          <t>Garland tálca 12 cm magas peremmel, S méret, fröccsöntött polipropilén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GRO3140</t>
        </is>
      </c>
      <c r="B926" s="14" t="inlineStr">
        <is>
          <t>Secret Jardin Hydro Shoot HS150 R2.00 termesztősátor 150x150x200 cm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GRO3141</t>
        </is>
      </c>
      <c r="B927" s="14" t="inlineStr">
        <is>
          <t>HOMEbox Ambient Q60+ termesztősátor 60x60x160 cm, PAR+ belsővel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GRO3142</t>
        </is>
      </c>
      <c r="B928" s="14" t="inlineStr">
        <is>
          <t>HOMEbox Ambient Q80+ termesztősátor 80x80x180 cm, PAR+ belsővel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GRO3143</t>
        </is>
      </c>
      <c r="B929" s="14" t="inlineStr">
        <is>
          <t>HOMEbox Ambient Q100+ termesztősátor 100x100x220 cm, PAR+ belsővel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GRO3144</t>
        </is>
      </c>
      <c r="B930" s="14" t="inlineStr">
        <is>
          <t>Homebox Ambient Növény sátor Q120+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GRO3146</t>
        </is>
      </c>
      <c r="B931" s="14" t="inlineStr">
        <is>
          <t>HOMEbox Ambient R240+ termesztősátor 240x120x220 cm, PAR+ belsővel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GRO3151</t>
        </is>
      </c>
      <c r="B932" s="14" t="inlineStr">
        <is>
          <t>Milwaukee pH51 vízálló pH teszter 0,1 pH felbontással, cserélhető MA73600 elektródával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GRO3152</t>
        </is>
      </c>
      <c r="B933" s="14" t="inlineStr">
        <is>
          <t>Milwaukee C66 vízálló EC teszter 0–10 mS/cm, hőkompenzációval és cserélhető elektródával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GRO3153</t>
        </is>
      </c>
      <c r="B934" s="14" t="inlineStr">
        <is>
          <t>Horti Gear mágneses trafó 600 W HPS és MH izzókhoz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GRO3171</t>
        </is>
      </c>
      <c r="B935" s="14" t="inlineStr">
        <is>
          <t>Lumatek digitális dimmelhető trafó 1000 W, Super Lumens fokozattal, HPS és MH izzókhoz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GRO3175</t>
        </is>
      </c>
      <c r="B936" s="14" t="inlineStr">
        <is>
          <t>Lumatek CMH kerámia fémhalogén izzó 630 W, kétvégű (DE)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GRO3176</t>
        </is>
      </c>
      <c r="B937" s="14" t="inlineStr">
        <is>
          <t>Lumatek dimmelhető CMH trafó 315 W, vezérelhető, E40 adapterrel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GRO3179</t>
        </is>
      </c>
      <c r="B938" s="14" t="inlineStr">
        <is>
          <t>Lumatek Control Panel (HID) világításvezérlő vezérelhető Lumatek trafókhoz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GRO3182</t>
        </is>
      </c>
      <c r="B939" s="14" t="inlineStr">
        <is>
          <t>Dimlux Expert CMH Full Spectrum 315 W komplett lámpatest Alpha 98 reflektorral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GRO3189</t>
        </is>
      </c>
      <c r="B940" s="14" t="inlineStr">
        <is>
          <t>Adjust-A-Wings Hellion Defender CMH fényvető szett reflektorral, izzóval és trafóval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GRO3196</t>
        </is>
      </c>
      <c r="B941" s="14" t="inlineStr">
        <is>
          <t>Secret Jardin Hydro Shoot HS240W R2.00 termesztősátor 238x120x200 cm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GRO3197</t>
        </is>
      </c>
      <c r="B942" s="14" t="inlineStr">
        <is>
          <t>Secret Jardin Hydro Shoot HS300W R2.00 termesztősátor 298x150x200 cm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GRO3209</t>
        </is>
      </c>
      <c r="B943" s="14" t="inlineStr">
        <is>
          <t>Plagron Cocos Brix pufferelt kókusztégla, 6 darabos csomag, összesen kb. 42 liter közeg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GRO3223</t>
        </is>
      </c>
      <c r="B944" s="14" t="inlineStr">
        <is>
          <t>Urban Garden Plug&amp;Play trafó 400 W HPS és MH izzókhoz, IEC és EU csatlakozóval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GRO3225</t>
        </is>
      </c>
      <c r="B945" s="14" t="inlineStr">
        <is>
          <t>Urban Garden szövetcserép 4 liter, légáteresztő textil termesztőedény (14 x 14 x 20 cm)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GRO3226</t>
        </is>
      </c>
      <c r="B946" s="14" t="inlineStr">
        <is>
          <t>Urban Garden szövetcserép 8 liter, légáteresztő textil termesztőedény (18 x 18 x 25,5 cm)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GRO3228</t>
        </is>
      </c>
      <c r="B947" s="14" t="inlineStr">
        <is>
          <t>Urban Garden szövetcserép 15 liter, légáteresztő textil termesztőedény (23 x 23 x 29,5 cm)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GRO3230</t>
        </is>
      </c>
      <c r="B948" s="14" t="inlineStr">
        <is>
          <t>Urban Garden szövetcserép 39 liter, légáteresztő textil termesztőedény (33 x 33 x 36 cm)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GRO3232</t>
        </is>
      </c>
      <c r="B949" s="14" t="inlineStr">
        <is>
          <t>Négyzetes műanyag cserép 9 x 9 x 10 cm palántázáshoz és továbbneveléshez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GRO3234</t>
        </is>
      </c>
      <c r="B950" s="14" t="inlineStr">
        <is>
          <t>Reflektor nagy, 47,5 x 47,5 cm, E40 foglalattal és függesztő tartóval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GRO3246</t>
        </is>
      </c>
      <c r="B951" s="14" t="inlineStr">
        <is>
          <t>BioBizz Coco-Mix kókuszrost termesztőközeg 50 liter, inert, szerves minősítésű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GRO3257</t>
        </is>
      </c>
      <c r="B952" s="14" t="inlineStr">
        <is>
          <t>Grodan Grotop Master kőzetgyapot termesztőtábla 1000 x 150 x 100 mm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GRO3261</t>
        </is>
      </c>
      <c r="B953" s="14" t="inlineStr">
        <is>
          <t>Plagron Sugar Royal aminosavas booster az ízért és illatért 5 liter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GRO3262</t>
        </is>
      </c>
      <c r="B954" s="14" t="inlineStr">
        <is>
          <t>Vékony falú műanyag propagátor 57x37x21 cm, fűtés nélküli, csíráztatáshoz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GRO3263</t>
        </is>
      </c>
      <c r="B955" s="14" t="inlineStr">
        <is>
          <t>Secret Box extraktor gyantaszitáló gép dimmelhető motorral, 40 x 30 x 28 cm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GRO3268</t>
        </is>
      </c>
      <c r="B956" s="14" t="inlineStr">
        <is>
          <t>GIB Growth Spectrum Advanced fémhalogén (MH) izzó 600 W, 8000 K, E40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GRO3273</t>
        </is>
      </c>
      <c r="B957" s="14" t="inlineStr">
        <is>
          <t>Terra Aquatica pH test kit cseppteszt 60 ml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GRO3281</t>
        </is>
      </c>
      <c r="B958" s="14" t="inlineStr">
        <is>
          <t>Bluelab Truncheon tápanyagmérő (EC mérő)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GRO3282</t>
        </is>
      </c>
      <c r="B959" s="14" t="inlineStr">
        <is>
          <t>Bluelab digitális pH mérő készülék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GRO3287</t>
        </is>
      </c>
      <c r="B960" s="14" t="inlineStr">
        <is>
          <t>SANlight LED (Q-széria Gen2) összekötő kábel 1 m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GRO3290</t>
        </is>
      </c>
      <c r="B961" s="14" t="inlineStr">
        <is>
          <t>SANlight LED (Q-széria Gen2) összekötő kábel 2 m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GRO3294</t>
        </is>
      </c>
      <c r="B962" s="14" t="inlineStr">
        <is>
          <t>Cool Tube + reflektor 125 mm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GRO3295</t>
        </is>
      </c>
      <c r="B963" s="14" t="inlineStr">
        <is>
          <t>Cool Tube + reflektor 150 mm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GRO3296</t>
        </is>
      </c>
      <c r="B964" s="14" t="inlineStr">
        <is>
          <t>Cool Wing reflektor 150 mm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GRO3297</t>
        </is>
      </c>
      <c r="B965" s="14" t="inlineStr">
        <is>
          <t>Cool Wing reflektor 125 mm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GRO3298</t>
        </is>
      </c>
      <c r="B966" s="14" t="inlineStr">
        <is>
          <t>Adjust-A-Wings E40 reflektor foglalat + IEC kábel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GRO3309V</t>
        </is>
      </c>
      <c r="B967" s="14" t="inlineStr">
        <is>
          <t>Adjust-A-Wings Avenger Large + IEC kábel 2,5 m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GRO3311V</t>
        </is>
      </c>
      <c r="B968" s="14" t="inlineStr">
        <is>
          <t>Adjust-A-Wings Defender Large + IEC kábel 2,5 m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GRO3312V</t>
        </is>
      </c>
      <c r="B969" s="14" t="inlineStr">
        <is>
          <t>Adjust-A-Wings Defender Medium + IEC kábel 4 m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GRO3315V</t>
        </is>
      </c>
      <c r="B970" s="14" t="inlineStr">
        <is>
          <t>Adjust-A-Wings Enforcer Medium + IEC kábel 4 m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GRO3316V</t>
        </is>
      </c>
      <c r="B971" s="14" t="inlineStr">
        <is>
          <t>Adjust-A-Wings Avenger Large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GRO3317V</t>
        </is>
      </c>
      <c r="B972" s="14" t="inlineStr">
        <is>
          <t>Adjust-A-Wings Avenger Medium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GRO3318V</t>
        </is>
      </c>
      <c r="B973" s="14" t="inlineStr">
        <is>
          <t>Adjust-a-Wings Defender Large reflektor E40 foglalattal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GRO3320V</t>
        </is>
      </c>
      <c r="B974" s="14" t="inlineStr">
        <is>
          <t>Adjust-A-Wings Defender Small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GRO3322V</t>
        </is>
      </c>
      <c r="B975" s="14" t="inlineStr">
        <is>
          <t>Adjust-A-Wings Enforcer Medium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GRO3327</t>
        </is>
      </c>
      <c r="B976" s="14" t="inlineStr">
        <is>
          <t>Homebox Ambient Növény sátor Q240+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GRO3336</t>
        </is>
      </c>
      <c r="B977" s="14" t="inlineStr">
        <is>
          <t>Bluelab EC / ppm mérő, hőmérsékletmérő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GRO3346</t>
        </is>
      </c>
      <c r="B978" s="14" t="inlineStr">
        <is>
          <t>Air-pot cserép 3 liter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GRO3349</t>
        </is>
      </c>
      <c r="B979" s="14" t="inlineStr">
        <is>
          <t>Venti Pot hidro cserép 12 liter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GRO3350</t>
        </is>
      </c>
      <c r="B980" s="14" t="inlineStr">
        <is>
          <t>Venti Pot hidro cserép 25 liter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GRO3356</t>
        </is>
      </c>
      <c r="B981" s="14" t="inlineStr">
        <is>
          <t>Can-Fan Satellite 4A sebességszabályzó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GRO3364</t>
        </is>
      </c>
      <c r="B982" s="14" t="inlineStr">
        <is>
          <t>Horti Gear mágneses trafó 400W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GRO3366</t>
        </is>
      </c>
      <c r="B983" s="14" t="inlineStr">
        <is>
          <t>Horti Gear mágneses trafó 250W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GRO3373</t>
        </is>
      </c>
      <c r="B984" s="14" t="inlineStr">
        <is>
          <t>Bluelab connect stick 2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GRO3374</t>
        </is>
      </c>
      <c r="B985" s="14" t="inlineStr">
        <is>
          <t>ADWA AD33 digitális EC mérő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GRO3383</t>
        </is>
      </c>
      <c r="B986" s="14" t="inlineStr">
        <is>
          <t>BioNova The Missing Link (TML) 5 liter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GRO3389</t>
        </is>
      </c>
      <c r="B987" s="14" t="inlineStr">
        <is>
          <t>Secret Jardin Daisy Reflektor S.J. Daisy Ø80cm CMH-IEC 315W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GRO3390</t>
        </is>
      </c>
      <c r="B988" s="14" t="inlineStr">
        <is>
          <t>Secret Jardin Cosmorrow LED Blooming 20W 50cm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GRO3392</t>
        </is>
      </c>
      <c r="B989" s="14" t="inlineStr">
        <is>
          <t>Secret Jardin Cosmorrow LED Infrared 20W 50cm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GRO3393</t>
        </is>
      </c>
      <c r="B990" s="14" t="inlineStr">
        <is>
          <t>Secret Jardin Cosmorrow LED Ultraviolet 20W 50cm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GRO3394</t>
        </is>
      </c>
      <c r="B991" s="14" t="inlineStr">
        <is>
          <t>Secret Jardin Cosmorrow Power tápegység 1x20W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GRO3395</t>
        </is>
      </c>
      <c r="B992" s="14" t="inlineStr">
        <is>
          <t>Secret Jardin Cosmorrow Power tápegység 2x20W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GRO3396</t>
        </is>
      </c>
      <c r="B993" s="14" t="inlineStr">
        <is>
          <t>Secret Jardin WEBIT Növénytartó Háló (scrog) S.J.Webit Elastic 120x120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GRO3398</t>
        </is>
      </c>
      <c r="B994" s="14" t="inlineStr">
        <is>
          <t>Secret Jardin Trafó Support 13x36 cm 10 kg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GRO3432</t>
        </is>
      </c>
      <c r="B995" s="14" t="inlineStr">
        <is>
          <t>Jiffy tőzegcserép 8x8 cm (vízelvez. nyílással)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GRO3437</t>
        </is>
      </c>
      <c r="B996" s="14" t="inlineStr">
        <is>
          <t>Nutriculture flexibilis tálca 80x80x10 cm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GRO3442</t>
        </is>
      </c>
      <c r="B997" s="14" t="inlineStr">
        <is>
          <t>Secret Jardin WEBIT Növénytartó Háló (scrog) S.J.Webit Elastic 150x150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GRO3449</t>
        </is>
      </c>
      <c r="B998" s="14" t="inlineStr">
        <is>
          <t>Bluelab EC kalibráló folyadék 2.77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GRO3450</t>
        </is>
      </c>
      <c r="B999" s="14" t="inlineStr">
        <is>
          <t>Bluelab készlet PH (PH kalibráló, tisztító, karbantartó készlet)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GRO3451</t>
        </is>
      </c>
      <c r="B1000" s="14" t="inlineStr">
        <is>
          <t>Bluelab EC karbantartó készlet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GRO3459</t>
        </is>
      </c>
      <c r="B1001" s="14" t="inlineStr">
        <is>
          <t>Plagron Hydro A/B 1 liter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GRO3460</t>
        </is>
      </c>
      <c r="B1002" s="14" t="inlineStr">
        <is>
          <t>Plagron Hydro A/B 5 liter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GRO3470V</t>
        </is>
      </c>
      <c r="B1003" s="14" t="inlineStr">
        <is>
          <t>Adjust-A-Wings Enforcer Small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GRO3471V</t>
        </is>
      </c>
      <c r="B1004" s="14" t="inlineStr">
        <is>
          <t>Adjust-A-Wings Enforcer Small + IEC kábel 2,5 m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GRO3484</t>
        </is>
      </c>
      <c r="B1005" s="14" t="inlineStr">
        <is>
          <t>Canna CalMag Agent 1 liter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GRO3485</t>
        </is>
      </c>
      <c r="B1006" s="14" t="inlineStr">
        <is>
          <t>Canna CalMag Agent 5 liter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GRO3518</t>
        </is>
      </c>
      <c r="B1007" s="14" t="inlineStr">
        <is>
          <t>Plagron Cocos Premium perlit 70/30 50 liter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GRO3525</t>
        </is>
      </c>
      <c r="B1008" s="14" t="inlineStr">
        <is>
          <t>Air-pot cserép 5 liter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GRO3526</t>
        </is>
      </c>
      <c r="B1009" s="14" t="inlineStr">
        <is>
          <t>Air-pot cserép 9 liter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GRO3552</t>
        </is>
      </c>
      <c r="B1010" s="14" t="inlineStr">
        <is>
          <t>Secret Jardin Dark Street Grow Box DS150W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GRO3553</t>
        </is>
      </c>
      <c r="B1011" s="14" t="inlineStr">
        <is>
          <t>Secret Jardin DARKROOM Grow Box R4.00 DR150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GRO3554</t>
        </is>
      </c>
      <c r="B1012" s="14" t="inlineStr">
        <is>
          <t>Secret Jardin DARKROOM Grow Box R4.00 DR240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GRO3555</t>
        </is>
      </c>
      <c r="B1013" s="14" t="inlineStr">
        <is>
          <t>Secret Jardin DARKROOM Grow Box R4.00 DR300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GRO3556</t>
        </is>
      </c>
      <c r="B1014" s="14" t="inlineStr">
        <is>
          <t>Secret Jardin DARKROOM Grow Box R4.00 DR240W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GRO3558</t>
        </is>
      </c>
      <c r="B1015" s="14" t="inlineStr">
        <is>
          <t>Secret Jardin Dark Propagator Grow Box D120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GRO3568</t>
        </is>
      </c>
      <c r="B1016" s="14" t="inlineStr">
        <is>
          <t>TLED LED BLOOM Spectrum 42W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GRO3573</t>
        </is>
      </c>
      <c r="B1017" s="14" t="inlineStr">
        <is>
          <t>Lumatek HPS izzó (double ended) 1000 W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GRO3574</t>
        </is>
      </c>
      <c r="B1018" s="14" t="inlineStr">
        <is>
          <t>Agrolite Dark LED 20W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GRO3575</t>
        </is>
      </c>
      <c r="B1019" s="14" t="inlineStr">
        <is>
          <t>Aquatek kalibráló por pH 4.01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GRO3592</t>
        </is>
      </c>
      <c r="B1020" s="14" t="inlineStr">
        <is>
          <t>Secret Jardin Cosmorrow LED Blooming 40W 90cm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GRO3593</t>
        </is>
      </c>
      <c r="B1021" s="14" t="inlineStr">
        <is>
          <t>Secret Jardin Cosmorrow LED Growing 40W 90cm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GRO3594</t>
        </is>
      </c>
      <c r="B1022" s="14" t="inlineStr">
        <is>
          <t>Secret Jardin Cosmorrow LED Infrared 40W 90cm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GRO3595</t>
        </is>
      </c>
      <c r="B1023" s="14" t="inlineStr">
        <is>
          <t>Secret Jardin Cosmorrow LED Ultraviolet 40W 90cm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GRO3596</t>
        </is>
      </c>
      <c r="B1024" s="14" t="inlineStr">
        <is>
          <t>Secret Jardin Cosmorrow Power tápegység 1x40W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GRO3647</t>
        </is>
      </c>
      <c r="B1025" s="14" t="inlineStr">
        <is>
          <t>Prima klima Azerwing reflektor LA55-A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GRO3648</t>
        </is>
      </c>
      <c r="B1026" s="14" t="inlineStr">
        <is>
          <t>Prima klima Azerwing reflektor LA55-V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GRO3650</t>
        </is>
      </c>
      <c r="B1027" s="14" t="inlineStr">
        <is>
          <t>SANlight tápkábel (EVO &amp; Q Gen2 LEDekhez)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GRO3652</t>
        </is>
      </c>
      <c r="B1028" s="14" t="inlineStr">
        <is>
          <t>SANlight EVO dimmerkapcsoló (mágneses / bluetooth) bluetooth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GRO3661</t>
        </is>
      </c>
      <c r="B1029" s="14" t="inlineStr">
        <is>
          <t>Garland Microgreens tálca lyukakkal (56×28×3 cm)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GRO3662</t>
        </is>
      </c>
      <c r="B1030" s="14" t="inlineStr">
        <is>
          <t>Garland Microgreens tálca lyukak nélkül (56×28×3 cm)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GRO3664</t>
        </is>
      </c>
      <c r="B1031" s="14" t="inlineStr">
        <is>
          <t>Urban Garden szövetcserép 2 liter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GRO3665</t>
        </is>
      </c>
      <c r="B1032" s="14" t="inlineStr">
        <is>
          <t>Urban Garden szövetcserép 19 liter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GRO3666</t>
        </is>
      </c>
      <c r="B1033" s="14" t="inlineStr">
        <is>
          <t>Urban Garden szövetcserép 55 liter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GRO3667</t>
        </is>
      </c>
      <c r="B1034" s="14" t="inlineStr">
        <is>
          <t>Urban Garden szövetcserép 75 liter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GRO3668</t>
        </is>
      </c>
      <c r="B1035" s="14" t="inlineStr">
        <is>
          <t>Urban Garden szövetcserép 95 liter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GRO3669</t>
        </is>
      </c>
      <c r="B1036" s="14" t="inlineStr">
        <is>
          <t>Urban Garden szövetcserép 150 liter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GRO3671</t>
        </is>
      </c>
      <c r="B1037" s="14" t="inlineStr">
        <is>
          <t>Urban Garden szövetcserép 300 liter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GRO3672</t>
        </is>
      </c>
      <c r="B1038" s="14" t="inlineStr">
        <is>
          <t>Urban Garden szövetcserép 550 liter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GRO3673</t>
        </is>
      </c>
      <c r="B1039" s="14" t="inlineStr">
        <is>
          <t>Lumatek ZEUS PRO LED 465W 2.9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GRO3678</t>
        </is>
      </c>
      <c r="B1040" s="14" t="inlineStr">
        <is>
          <t>Bluelab pH kalibráló folyadék 250 ml 4.0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GRO3679</t>
        </is>
      </c>
      <c r="B1041" s="14" t="inlineStr">
        <is>
          <t>Bluelab pH kalibráló folyadék 250 ml 7.0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GRO3683</t>
        </is>
      </c>
      <c r="B1042" s="14" t="inlineStr">
        <is>
          <t>TBOX mechanikus időzítő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GRO3688</t>
        </is>
      </c>
      <c r="B1043" s="14" t="inlineStr">
        <is>
          <t>GIB Growth Spectrum Advanced MH izzó 1000 W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GRO3690</t>
        </is>
      </c>
      <c r="B1044" s="14" t="inlineStr">
        <is>
          <t>Secret Jardin WEBIT Növénytartó Háló (scrog) S.J.Webit Elastic 300x150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GRO3708</t>
        </is>
      </c>
      <c r="B1045" s="14" t="inlineStr">
        <is>
          <t>Plagron Silic Rock 500 ml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GRO3709</t>
        </is>
      </c>
      <c r="B1046" s="14" t="inlineStr">
        <is>
          <t>Plagron Silic Rock 1 liter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GRO3710</t>
        </is>
      </c>
      <c r="B1047" s="14" t="inlineStr">
        <is>
          <t>Plagron CalMag Pro 500 ml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GRO3711</t>
        </is>
      </c>
      <c r="B1048" s="14" t="inlineStr">
        <is>
          <t>Plagron CalMag Pro 1 liter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GRO3712</t>
        </is>
      </c>
      <c r="B1049" s="14" t="inlineStr">
        <is>
          <t>Plagron CalMag Pro 5 liter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GRO3717</t>
        </is>
      </c>
      <c r="B1050" s="14" t="inlineStr">
        <is>
          <t>Kerek műanyag virágcserép alátét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GRO3723</t>
        </is>
      </c>
      <c r="B1051" s="14" t="inlineStr">
        <is>
          <t>Secret Jardin kábelakasztó d: 16 mm (15 db)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GRO3728</t>
        </is>
      </c>
      <c r="B1052" s="14" t="inlineStr">
        <is>
          <t>Secret Box Extraktor dimmelhető motorral 60 x 40 x 33,5 cm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GRO3729</t>
        </is>
      </c>
      <c r="B1053" s="14" t="inlineStr">
        <is>
          <t>Secret Box Big 100 mikronos háló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GRO3731</t>
        </is>
      </c>
      <c r="B1054" s="14" t="inlineStr">
        <is>
          <t>Secret Jardin TNoled 2 x 40W Growing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GRO3733</t>
        </is>
      </c>
      <c r="B1055" s="14" t="inlineStr">
        <is>
          <t>SGC Smart Grow világítás szabályozó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GRO3740</t>
        </is>
      </c>
      <c r="B1056" s="14" t="inlineStr">
        <is>
          <t>Master Products trimmelő gép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GRO3748</t>
        </is>
      </c>
      <c r="B1057" s="14" t="inlineStr">
        <is>
          <t>Vermikulit 5 liter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GRO3750</t>
        </is>
      </c>
      <c r="B1058" s="14" t="inlineStr">
        <is>
          <t>TBOX4 mechanikus időkapcsoló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GRO3759</t>
        </is>
      </c>
      <c r="B1059" s="14" t="inlineStr">
        <is>
          <t>Grodan Grotop Master termesztőtábla kőzetgyapot 1000 x 150 x 75 mm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GRO3760</t>
        </is>
      </c>
      <c r="B1060" s="14" t="inlineStr">
        <is>
          <t>Secret Jardin Cosmorrow LED Growing 20W 50cm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GRO3762</t>
        </is>
      </c>
      <c r="B1061" s="14" t="inlineStr">
        <is>
          <t>Secret Jardin Tnoled LED blooming 2x40W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GRO3765</t>
        </is>
      </c>
      <c r="B1062" s="14" t="inlineStr">
        <is>
          <t>Wilma csepegtető rendszer 8 x 1,65 l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GRO3766</t>
        </is>
      </c>
      <c r="B1063" s="14" t="inlineStr">
        <is>
          <t>Wilma csepegtető rendszer 4 x 25 l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GRO3767</t>
        </is>
      </c>
      <c r="B1064" s="14" t="inlineStr">
        <is>
          <t>Wilma csepegtető rendszer 5 x 25 l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GRO3773</t>
        </is>
      </c>
      <c r="B1065" s="14" t="inlineStr">
        <is>
          <t>Garland tálca (7 cm magas) S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GRO3774</t>
        </is>
      </c>
      <c r="B1066" s="14" t="inlineStr">
        <is>
          <t>Garland tálca (7 cm magas) S (lyukakkal)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GRO3775</t>
        </is>
      </c>
      <c r="B1067" s="14" t="inlineStr">
        <is>
          <t>Garland tálca (5 cm magas) XL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GRO3777</t>
        </is>
      </c>
      <c r="B1068" s="14" t="inlineStr">
        <is>
          <t>Garland tálca (5 cm magas) XXXL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GRO3782</t>
        </is>
      </c>
      <c r="B1069" s="14" t="inlineStr">
        <is>
          <t>Hesi pipetta 3 ml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GRO3788</t>
        </is>
      </c>
      <c r="B1070" s="14" t="inlineStr">
        <is>
          <t>Mérőedény 70 ml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GRO3789</t>
        </is>
      </c>
      <c r="B1071" s="14" t="inlineStr">
        <is>
          <t>Mérőedény 250 ml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GRO3791</t>
        </is>
      </c>
      <c r="B1072" s="14" t="inlineStr">
        <is>
          <t>Secret Box Big 200 mikronos háló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GRO3800</t>
        </is>
      </c>
      <c r="B1073" s="14" t="inlineStr">
        <is>
          <t>Secret Jardin Cosmorrow LED készlet (blooming) 60K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GRO3802</t>
        </is>
      </c>
      <c r="B1074" s="14" t="inlineStr">
        <is>
          <t>Secret Jardin Cosmorrow LED készlet (blooming) 200FS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GRO3803</t>
        </is>
      </c>
      <c r="B1075" s="14" t="inlineStr">
        <is>
          <t>Secret Jardin Cosmorrow LED Full Spectrum 40W 70cm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GRO3804</t>
        </is>
      </c>
      <c r="B1076" s="14" t="inlineStr">
        <is>
          <t>SANlight FLEX II LED 10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GRO3805</t>
        </is>
      </c>
      <c r="B1077" s="14" t="inlineStr">
        <is>
          <t>SANlight FLEX II LED 20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GRO3806</t>
        </is>
      </c>
      <c r="B1078" s="14" t="inlineStr">
        <is>
          <t>SANlight Flex II wallplug 25 W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GRO3807</t>
        </is>
      </c>
      <c r="B1079" s="14" t="inlineStr">
        <is>
          <t>SANlight Flex II wallplug 60 W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GRO3816</t>
        </is>
      </c>
      <c r="B1080" s="14" t="inlineStr">
        <is>
          <t>SANlight H-distribution block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GRO3822</t>
        </is>
      </c>
      <c r="B1081" s="14" t="inlineStr">
        <is>
          <t>Plagron Power Buds 1 liter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GRO3823</t>
        </is>
      </c>
      <c r="B1082" s="14" t="inlineStr">
        <is>
          <t>Plagron Power Buds 5 liter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GRO3824</t>
        </is>
      </c>
      <c r="B1083" s="14" t="inlineStr">
        <is>
          <t>Plagron Power Buds 100 ml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GRO3825</t>
        </is>
      </c>
      <c r="B1084" s="14" t="inlineStr">
        <is>
          <t>Plagron Power Buds 250 ml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GRO3826</t>
        </is>
      </c>
      <c r="B1085" s="14" t="inlineStr">
        <is>
          <t>Bluelab pH mérő csere szonda 2 m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GRO3827</t>
        </is>
      </c>
      <c r="B1086" s="14" t="inlineStr">
        <is>
          <t>Trimmelő zsák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GRO3828</t>
        </is>
      </c>
      <c r="B1087" s="14" t="inlineStr">
        <is>
          <t>Agrolite Full Spectrum LED 120W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GRO3829</t>
        </is>
      </c>
      <c r="B1088" s="14" t="inlineStr">
        <is>
          <t>Owlsen Optipro grow szemüveg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GRO3840</t>
        </is>
      </c>
      <c r="B1089" s="14" t="inlineStr">
        <is>
          <t>Secret Jardin TNoled 2 x 20W Growing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GRO3843</t>
        </is>
      </c>
      <c r="B1090" s="14" t="inlineStr">
        <is>
          <t>Easy Snips trimmelő olló ívelt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GRO3844</t>
        </is>
      </c>
      <c r="B1091" s="14" t="inlineStr">
        <is>
          <t>Easy Snips trimmelő olló egyenes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GRO3846</t>
        </is>
      </c>
      <c r="B1092" s="14" t="inlineStr">
        <is>
          <t>Spektra Master Full spectrum LED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GRO3847</t>
        </is>
      </c>
      <c r="B1093" s="14" t="inlineStr">
        <is>
          <t>Plagron Hydro Roots 1 liter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GRO3848</t>
        </is>
      </c>
      <c r="B1094" s="14" t="inlineStr">
        <is>
          <t>Plagron Hydro Roots 5 liter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GRO3849</t>
        </is>
      </c>
      <c r="B1095" s="14" t="inlineStr">
        <is>
          <t>SANlight EVO Led 1.5 EVO 3-60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GRO3850</t>
        </is>
      </c>
      <c r="B1096" s="14" t="inlineStr">
        <is>
          <t>SANlight EVO Led 1.5 EVO 3-80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GRO3851</t>
        </is>
      </c>
      <c r="B1097" s="14" t="inlineStr">
        <is>
          <t>SANlight EVO Led 1.5 EVO 3-100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GRO3854</t>
        </is>
      </c>
      <c r="B1098" s="14" t="inlineStr">
        <is>
          <t>SANlight EVO Led 1.5 EVO 4-120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GRO3855</t>
        </is>
      </c>
      <c r="B1099" s="14" t="inlineStr">
        <is>
          <t>SANlight EVO Led 1.5 EVO 5-100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GRO3856</t>
        </is>
      </c>
      <c r="B1100" s="14" t="inlineStr">
        <is>
          <t>SANlight EVO Led 1.5 EVO 5-120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GRO3860</t>
        </is>
      </c>
      <c r="B1101" s="14" t="inlineStr">
        <is>
          <t>SANlight EVO Set 1.5 60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GRO3861</t>
        </is>
      </c>
      <c r="B1102" s="14" t="inlineStr">
        <is>
          <t>SANlight EVO Set 1.5 80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GRO3862</t>
        </is>
      </c>
      <c r="B1103" s="14" t="inlineStr">
        <is>
          <t>SANlight EVO Set 1.5 100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GRO3863</t>
        </is>
      </c>
      <c r="B1104" s="14" t="inlineStr">
        <is>
          <t>SANlight EVO Set 1.5 120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GRO3864</t>
        </is>
      </c>
      <c r="B1105" s="14" t="inlineStr">
        <is>
          <t>SANlight EVO Set 1.5 150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GRO3874</t>
        </is>
      </c>
      <c r="B1106" s="14" t="inlineStr">
        <is>
          <t>Agrolite E27 foglalat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GRO3881</t>
        </is>
      </c>
      <c r="B1107" s="14" t="inlineStr">
        <is>
          <t>Lumatek daisy chain UV kábel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GRO3882</t>
        </is>
      </c>
      <c r="B1108" s="14" t="inlineStr">
        <is>
          <t>Homebox Ambient Növény sátor R120S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GRO3889</t>
        </is>
      </c>
      <c r="B1109" s="14" t="inlineStr">
        <is>
          <t>Propagátor nagy méretű 56x31x20 cm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GRO3890</t>
        </is>
      </c>
      <c r="B1110" s="14" t="inlineStr">
        <is>
          <t>Vermikulit 100 liter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GRO3897</t>
        </is>
      </c>
      <c r="B1111" s="14" t="inlineStr">
        <is>
          <t>Plagron pH min 5 liter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GRO3898</t>
        </is>
      </c>
      <c r="B1112" s="14" t="inlineStr">
        <is>
          <t>Plagron pH min 10 liter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GRO3899</t>
        </is>
      </c>
      <c r="B1113" s="14" t="inlineStr">
        <is>
          <t>Plagron pH min 1 liter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GRO3900</t>
        </is>
      </c>
      <c r="B1114" s="14" t="inlineStr">
        <is>
          <t>Bluelab Guardian Monitor WIFI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GRO3904</t>
        </is>
      </c>
      <c r="B1115" s="14" t="inlineStr">
        <is>
          <t>Cultibox Light Grow Box 60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GRO3905</t>
        </is>
      </c>
      <c r="B1116" s="14" t="inlineStr">
        <is>
          <t>Aquatek pH teszt 1-14 lakmuszpapír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GRO3907</t>
        </is>
      </c>
      <c r="B1117" s="14" t="inlineStr">
        <is>
          <t>Secret Jardin For Twenty 100 Grow Box 60x40x116 cm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GRO3908</t>
        </is>
      </c>
      <c r="B1118" s="14" t="inlineStr">
        <is>
          <t>Lumatek ZEUS PRO LED 600W 3.1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GRO3909</t>
        </is>
      </c>
      <c r="B1119" s="14" t="inlineStr">
        <is>
          <t>Secret Jardin fűtőlap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GRO3910</t>
        </is>
      </c>
      <c r="B1120" s="14" t="inlineStr">
        <is>
          <t>Secret Jardin Cosmorrow LED Full Spectrum 20W 50cm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GRO3911</t>
        </is>
      </c>
      <c r="B1121" s="14" t="inlineStr">
        <is>
          <t>Secret Jardin Cosmorrow Power tápegység 3x20W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GRO3912</t>
        </is>
      </c>
      <c r="B1122" s="14" t="inlineStr">
        <is>
          <t>Plagron Hydro Roots 100 ml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GRO3913</t>
        </is>
      </c>
      <c r="B1123" s="14" t="inlineStr">
        <is>
          <t>Plagron Hydro Roots 250 ml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GRO3914</t>
        </is>
      </c>
      <c r="B1124" s="14" t="inlineStr">
        <is>
          <t>Plagron pH plus 500 ml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GRO3915</t>
        </is>
      </c>
      <c r="B1125" s="14" t="inlineStr">
        <is>
          <t>Plagron pH plus 1 liter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GRO3916</t>
        </is>
      </c>
      <c r="B1126" s="14" t="inlineStr">
        <is>
          <t>Plagron pH plus 5 liter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GRO3917</t>
        </is>
      </c>
      <c r="B1127" s="14" t="inlineStr">
        <is>
          <t>Plagron pH plus 10 liter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GRO3918</t>
        </is>
      </c>
      <c r="B1128" s="14" t="inlineStr">
        <is>
          <t>Plagron pH min 500 ml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GRO3920</t>
        </is>
      </c>
      <c r="B1129" s="14" t="inlineStr">
        <is>
          <t>Cultibox Light Plus Grow Box 100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GRO3922</t>
        </is>
      </c>
      <c r="B1130" s="14" t="inlineStr">
        <is>
          <t>Cultibox Light Plus Grow Box 80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GRO3923</t>
        </is>
      </c>
      <c r="B1131" s="14" t="inlineStr">
        <is>
          <t>ADWA pH mérő szonda (ECO209 pH monitorhoz)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GRO3924</t>
        </is>
      </c>
      <c r="B1132" s="14" t="inlineStr">
        <is>
          <t>Jiffy Tőzegcserép Kerek Alapú 10 x 8 cm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GRO3925</t>
        </is>
      </c>
      <c r="B1133" s="14" t="inlineStr">
        <is>
          <t>Jiffy tőzegcserép tálca 4 x 4 x 5 cm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GRO3927</t>
        </is>
      </c>
      <c r="B1134" s="14" t="inlineStr">
        <is>
          <t>Nutriculture X-Stream propagátor (fűtés nélkül) L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GRO3931</t>
        </is>
      </c>
      <c r="B1135" s="14" t="inlineStr">
        <is>
          <t>HortiONE Growing LED hortiONE420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GRO3932</t>
        </is>
      </c>
      <c r="B1136" s="14" t="inlineStr">
        <is>
          <t>HortiONE Growing LED hortiONE600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GRO3933</t>
        </is>
      </c>
      <c r="B1137" s="14" t="inlineStr">
        <is>
          <t>Growth Technology pH kalibráló folyadék 4.01 1 liter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GRO3958</t>
        </is>
      </c>
      <c r="B1138" s="14" t="inlineStr">
        <is>
          <t>Aqua Master E300 Pro talaj EC mérő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GRO3959</t>
        </is>
      </c>
      <c r="B1139" s="14" t="inlineStr">
        <is>
          <t>Aqua Master H600 Pro folyadék pH, EC, PPM, TDS mérő (tokkal)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GRO3960</t>
        </is>
      </c>
      <c r="B1140" s="14" t="inlineStr">
        <is>
          <t>Aqua Master H600 Pro talaj pH, EC, PPM, TDS mérő (tokkal)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GRO3961</t>
        </is>
      </c>
      <c r="B1141" s="14" t="inlineStr">
        <is>
          <t>Aqua Master P700 Pro2 Combo mérő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GRO3962</t>
        </is>
      </c>
      <c r="B1142" s="14" t="inlineStr">
        <is>
          <t>Aqua Master pH szonda P50 Pro mérőhöz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GRO3963</t>
        </is>
      </c>
      <c r="B1143" s="14" t="inlineStr">
        <is>
          <t>Aqua Master pH szonda P110 Pro mérőhöz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GRO3964</t>
        </is>
      </c>
      <c r="B1144" s="14" t="inlineStr">
        <is>
          <t>Aqua Master EC kalibráló folyadék 12,88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GRO3965</t>
        </is>
      </c>
      <c r="B1145" s="14" t="inlineStr">
        <is>
          <t>Aqua Master EC kalibráló folyadék 1413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GRO3966</t>
        </is>
      </c>
      <c r="B1146" s="14" t="inlineStr">
        <is>
          <t>Aqua Master pH kalibráló folyadék 7.00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GRO3967</t>
        </is>
      </c>
      <c r="B1147" s="14" t="inlineStr">
        <is>
          <t>Aqua Master pH kalibráló folyadék 4,01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GRO3968</t>
        </is>
      </c>
      <c r="B1148" s="14" t="inlineStr">
        <is>
          <t>Aqua Master KCI tároló folyadék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GRO3969</t>
        </is>
      </c>
      <c r="B1149" s="14" t="inlineStr">
        <is>
          <t>Aqua Master EC kalibráló folyadék 3.0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GRO3971</t>
        </is>
      </c>
      <c r="B1150" s="14" t="inlineStr">
        <is>
          <t>HortiLight Grow LED 150W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GRO4003</t>
        </is>
      </c>
      <c r="B1151" s="14" t="inlineStr">
        <is>
          <t>Fortis BYD Full Spectrum LED 720 W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GRO4004</t>
        </is>
      </c>
      <c r="B1152" s="14" t="inlineStr">
        <is>
          <t>Fortis Master digitális trafó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GRO4005</t>
        </is>
      </c>
      <c r="B1153" s="14" t="inlineStr">
        <is>
          <t>Bluelab pH és EC starter pack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GRO4006</t>
        </is>
      </c>
      <c r="B1154" s="14" t="inlineStr">
        <is>
          <t>Bluelab OnePen (pH, EC)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GRO4007</t>
        </is>
      </c>
      <c r="B1155" s="14" t="inlineStr">
        <is>
          <t>Bluelab pH szabályozó Wi-Fi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GRO4008</t>
        </is>
      </c>
      <c r="B1156" s="14" t="inlineStr">
        <is>
          <t>Bluelab Pro szabályozó Wi-Fi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GRO4009</t>
        </is>
      </c>
      <c r="B1157" s="14" t="inlineStr">
        <is>
          <t>Bluelab PeriPod M3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GRO4013</t>
        </is>
      </c>
      <c r="B1158" s="14" t="inlineStr">
        <is>
          <t>TBOX4 smart mechanikus időkapcsoló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GRO4014</t>
        </is>
      </c>
      <c r="B1159" s="14" t="inlineStr">
        <is>
          <t>TBOX6 mechanikus időkapcsoló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GRO4016</t>
        </is>
      </c>
      <c r="B1160" s="14" t="inlineStr">
        <is>
          <t>TBOX12 mechanikus időkapcsoló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GRO4030</t>
        </is>
      </c>
      <c r="B1161" s="14" t="inlineStr">
        <is>
          <t>Terra Aquatica (GHE) Tripart Flora Micro Hard Water 1 liter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GRO4031</t>
        </is>
      </c>
      <c r="B1162" s="14" t="inlineStr">
        <is>
          <t>Terra Aquatica (GHE) Tripart Flora Micro Hard Water 5 liter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GRO4032</t>
        </is>
      </c>
      <c r="B1163" s="14" t="inlineStr">
        <is>
          <t>Terra Aquatica (GHE) Kalcium-Magnézium kiegészítő 1 liter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GRO4033</t>
        </is>
      </c>
      <c r="B1164" s="14" t="inlineStr">
        <is>
          <t>Terra Aquatica Silicate 1 liter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GRO4034</t>
        </is>
      </c>
      <c r="B1165" s="14" t="inlineStr">
        <is>
          <t>Terra Aquatica DryPart Grow 1 kg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GRO4035</t>
        </is>
      </c>
      <c r="B1166" s="14" t="inlineStr">
        <is>
          <t>Terra Aquatica DryPart Bloom 1 kg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GRO4039</t>
        </is>
      </c>
      <c r="B1167" s="14" t="inlineStr">
        <is>
          <t>Sanlight Stixx 50 LED 54W 3.0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GRO4048</t>
        </is>
      </c>
      <c r="B1168" s="14" t="inlineStr">
        <is>
          <t>Agrolite LED QB BID 730W 2.9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GRO4085</t>
        </is>
      </c>
      <c r="B1169" s="14" t="inlineStr">
        <is>
          <t>Terra Aquatica (GHE) TrikoLogic 10 g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GRO4086</t>
        </is>
      </c>
      <c r="B1170" s="14" t="inlineStr">
        <is>
          <t>Terra Aquatica (GHE) TrikoLogic 25 g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GRO4087</t>
        </is>
      </c>
      <c r="B1171" s="14" t="inlineStr">
        <is>
          <t>Terra Aquatica (GHE) TrikoLogic 50 g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GRO4088</t>
        </is>
      </c>
      <c r="B1172" s="14" t="inlineStr">
        <is>
          <t>Terra Aquatica (GHE) PermaBloom 1 liter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GRO4089</t>
        </is>
      </c>
      <c r="B1173" s="14" t="inlineStr">
        <is>
          <t>Terra Aquatica (GHE) Kalcium-Magnézium kiegészítő 500 ml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GRO4090</t>
        </is>
      </c>
      <c r="B1174" s="14" t="inlineStr">
        <is>
          <t>Terra Aquatica (GHE) Kalcium-Magnézium kiegészítő 5 liter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GRO4091</t>
        </is>
      </c>
      <c r="B1175" s="14" t="inlineStr">
        <is>
          <t>Terra Aquatica (GHE) Pro Organic Grow 500 ml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GRO4092</t>
        </is>
      </c>
      <c r="B1176" s="14" t="inlineStr">
        <is>
          <t>Terra Aquatica (GHE) Pro Organic Grow 1 liter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GRO4093</t>
        </is>
      </c>
      <c r="B1177" s="14" t="inlineStr">
        <is>
          <t>Terra Aquatica (GHE) Pro Organic Bloom 500 ml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GRO4094</t>
        </is>
      </c>
      <c r="B1178" s="14" t="inlineStr">
        <is>
          <t>Terra Aquatica (GHE) Pro Organic Bloom 1 liter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GRO4097</t>
        </is>
      </c>
      <c r="B1179" s="14" t="inlineStr">
        <is>
          <t>Urban Garden Clone600 Growing LED 30W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GRO4098</t>
        </is>
      </c>
      <c r="B1180" s="14" t="inlineStr">
        <is>
          <t>Urban Garden Clone900 Growing LED 45W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GRO4099</t>
        </is>
      </c>
      <c r="B1181" s="14" t="inlineStr">
        <is>
          <t>Urban Garden Clone1200 Growing LED 60W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GRO4101</t>
        </is>
      </c>
      <c r="B1182" s="14" t="inlineStr">
        <is>
          <t>Urban Garden Q200 Full Spectrum LED 200W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GRO4102</t>
        </is>
      </c>
      <c r="B1183" s="14" t="inlineStr">
        <is>
          <t>Urban Garden Q320 Full Spectrum LED 320W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GRO4103</t>
        </is>
      </c>
      <c r="B1184" s="14" t="inlineStr">
        <is>
          <t>SANlight FLEX II LED 25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GRO4105</t>
        </is>
      </c>
      <c r="B1185" s="14" t="inlineStr">
        <is>
          <t>Terra Aquatica Silicate 5 liter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GRO4106</t>
        </is>
      </c>
      <c r="B1186" s="14" t="inlineStr">
        <is>
          <t>AC Infinity Advance sátor szett WIFI 60x60x180 cm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GRO4131</t>
        </is>
      </c>
      <c r="B1187" s="14" t="inlineStr">
        <is>
          <t>Garden Highpro szövetcserép (7 liter)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GRO4134</t>
        </is>
      </c>
      <c r="B1188" s="14" t="inlineStr">
        <is>
          <t>Garden Highpro Propagator Box M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GRO4135</t>
        </is>
      </c>
      <c r="B1189" s="14" t="inlineStr">
        <is>
          <t>Garden Highpro Propagator Grow Box L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GRO4136</t>
        </is>
      </c>
      <c r="B1190" s="14" t="inlineStr">
        <is>
          <t>Garden Highpro Propagator Grow Box XL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GRO4141</t>
        </is>
      </c>
      <c r="B1191" s="14" t="inlineStr">
        <is>
          <t>Garden Highpro LEDMAXECO Full Spectrum LED 300W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GRO4143</t>
        </is>
      </c>
      <c r="B1192" s="14" t="inlineStr">
        <is>
          <t>Garden Highpro Grow Box szett 150W / 80x80x180 cm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GRO4144</t>
        </is>
      </c>
      <c r="B1193" s="14" t="inlineStr">
        <is>
          <t>Garden Highpro Grow Box szett 300W / 120x60x180 cm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GRO4148</t>
        </is>
      </c>
      <c r="B1194" s="14" t="inlineStr">
        <is>
          <t>Photobio Advanced Quantum PAR mérő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GRO4164</t>
        </is>
      </c>
      <c r="B1195" s="14" t="inlineStr">
        <is>
          <t>Dimlux Xtreme Series MKII LED 550W 3.4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GRO4165</t>
        </is>
      </c>
      <c r="B1196" s="14" t="inlineStr">
        <is>
          <t>Dimlux Xtreme Series MKII LED 800W 3.45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GRO4166</t>
        </is>
      </c>
      <c r="B1197" s="14" t="inlineStr">
        <is>
          <t>Dimlux Xtreme Series MKII LED 1050W 3.55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GRO4167</t>
        </is>
      </c>
      <c r="B1198" s="14" t="inlineStr">
        <is>
          <t>Dimlux Xtreme NIR+UV-A ADD-ON LED 70W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GRO4168</t>
        </is>
      </c>
      <c r="B1199" s="14" t="inlineStr">
        <is>
          <t>Dimlux Xtreme NIR+UV-A ADD-ON LED 140W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GRO4169</t>
        </is>
      </c>
      <c r="B1200" s="14" t="inlineStr">
        <is>
          <t>Dimlux Xtreme Series UV-B Booster Add-On T5 fénycső 22W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GRO4170</t>
        </is>
      </c>
      <c r="B1201" s="14" t="inlineStr">
        <is>
          <t>Dimlux Xtreme Series UV-B Booster Add-On T5 fénycső 33W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GRO4171</t>
        </is>
      </c>
      <c r="B1202" s="14" t="inlineStr">
        <is>
          <t>Dimlux Xplore series 9X LED 730W 2.7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GRO4172</t>
        </is>
      </c>
      <c r="B1203" s="14" t="inlineStr">
        <is>
          <t>Dimlux Xplore series 9X LED 730W 3.0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GRO4173</t>
        </is>
      </c>
      <c r="B1204" s="14" t="inlineStr">
        <is>
          <t>Dimlux Xplore Series UV ADD-ON LED 2x25W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GRO4174</t>
        </is>
      </c>
      <c r="B1205" s="14" t="inlineStr">
        <is>
          <t>Dimlux Xplore Series NIR ADD-ON LED 2x25W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GRO4175</t>
        </is>
      </c>
      <c r="B1206" s="14" t="inlineStr">
        <is>
          <t>Dimlux Xplore Series NIR+UV ADD-ON 2x25W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GRO4188</t>
        </is>
      </c>
      <c r="B1207" s="14" t="inlineStr">
        <is>
          <t>AC Infinity Advanced sátor szett WIFI 2 növényes 60x120x180 cm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GRO4189</t>
        </is>
      </c>
      <c r="B1208" s="14" t="inlineStr">
        <is>
          <t>AC Infinity Advanced sátor szett WIFI 3 növényes 90x90x180 cm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GRO4190</t>
        </is>
      </c>
      <c r="B1209" s="14" t="inlineStr">
        <is>
          <t>AC Infinity Ionframe EVO4 Samsung LM301H Growing LED 90x90 cm 300W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GRO4203</t>
        </is>
      </c>
      <c r="B1210" s="14" t="inlineStr">
        <is>
          <t>AC Infinity védőszemüveg 3 cserélhető lencsével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GRO4204</t>
        </is>
      </c>
      <c r="B1211" s="14" t="inlineStr">
        <is>
          <t>AC Infinity trimmelő olló ívelt,rozsdamentes acél 16,8 cm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GRO4205</t>
        </is>
      </c>
      <c r="B1212" s="14" t="inlineStr">
        <is>
          <t>AC Infinity trimmelő olló egyenes,rozsdamentes acél 16,8 cm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GRO4206</t>
        </is>
      </c>
      <c r="B1213" s="14" t="inlineStr">
        <is>
          <t>AC Infinity trimmelő olló egyenes,rozsdamentes acél,tisztítószettel 16,8 cm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GRO4219</t>
        </is>
      </c>
      <c r="B1214" s="14" t="inlineStr">
        <is>
          <t>Aqua Master S300 Pro3 pH mérő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GRO4225</t>
        </is>
      </c>
      <c r="B1215" s="14" t="inlineStr">
        <is>
          <t>pH teszt papír 4,5-9 pH precíziós lakmuszpapír 100 db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GRO4226</t>
        </is>
      </c>
      <c r="B1216" s="14" t="inlineStr">
        <is>
          <t>Dimlux Xplore series LED 730W 2.7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GRO4227</t>
        </is>
      </c>
      <c r="B1217" s="14" t="inlineStr">
        <is>
          <t>Dimlux Xplore series LED 730W 3.0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GRO4235</t>
        </is>
      </c>
      <c r="B1218" s="14" t="inlineStr">
        <is>
          <t>Trimmelőgép Peladora Rapax Secret Smoke L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GRO4237</t>
        </is>
      </c>
      <c r="B1219" s="14" t="inlineStr">
        <is>
          <t>GF Termesztősátor 60x60x160 cm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GRO4238</t>
        </is>
      </c>
      <c r="B1220" s="14" t="inlineStr">
        <is>
          <t>GF Termesztősátor 80x80x180 cm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GRO4239</t>
        </is>
      </c>
      <c r="B1221" s="14" t="inlineStr">
        <is>
          <t>GF Termesztősátor 100x100x200 cm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GRO4240</t>
        </is>
      </c>
      <c r="B1222" s="14" t="inlineStr">
        <is>
          <t>GF Cserép economic 10 L 10 db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GRO4241</t>
        </is>
      </c>
      <c r="B1223" s="14" t="inlineStr">
        <is>
          <t>GF Cserép economic 15 L 10 db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GRO4248</t>
        </is>
      </c>
      <c r="B1224" s="14" t="inlineStr">
        <is>
          <t>Aqua Master P160 pro2 kombinált pH EC PPM TDS és hőmérséklet mérő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GRO4249</t>
        </is>
      </c>
      <c r="B1225" s="14" t="inlineStr">
        <is>
          <t>Aqua Master EC 12,88 kalibráló folyadék 20 ml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GRO4251</t>
        </is>
      </c>
      <c r="B1226" s="14" t="inlineStr">
        <is>
          <t>Aqua Master EC 1413 kalibráló folyadék 20 ml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GRO4252</t>
        </is>
      </c>
      <c r="B1227" s="14" t="inlineStr">
        <is>
          <t>Aqua Master EC 1413 kalibráló folyadék 500 ml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GRO4253</t>
        </is>
      </c>
      <c r="B1228" s="14" t="inlineStr">
        <is>
          <t>Aqua Master pH 7.00 kalibráló folyadék 20 ml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GRO4254</t>
        </is>
      </c>
      <c r="B1229" s="14" t="inlineStr">
        <is>
          <t>Aqua Master pH 7.00 kalibráló folyadék 500 ml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GRO4256</t>
        </is>
      </c>
      <c r="B1230" s="14" t="inlineStr">
        <is>
          <t>Aqua Master pH 4,01 kalibráló folyadék 20 ml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GRO4257</t>
        </is>
      </c>
      <c r="B1231" s="14" t="inlineStr">
        <is>
          <t>Aqua Master pH 4,01 kalibráló folyadék 500 ml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GRO4259</t>
        </is>
      </c>
      <c r="B1232" s="14" t="inlineStr">
        <is>
          <t>Aqua Master tároló folyadék KCI 500 ml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GRO4260</t>
        </is>
      </c>
      <c r="B1233" s="14" t="inlineStr">
        <is>
          <t>Aqua Master tároló folyadék KCI 3 mol 5 L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GRO4261</t>
        </is>
      </c>
      <c r="B1234" s="14" t="inlineStr">
        <is>
          <t>Aqua Master pH mérő elektróda tisztító D 100ml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GRO4262</t>
        </is>
      </c>
      <c r="B1235" s="14" t="inlineStr">
        <is>
          <t>Aqua Master C800 pro pH EC PPM TDS és hőmérséklet vezérlő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GRO4263</t>
        </is>
      </c>
      <c r="B1236" s="14" t="inlineStr">
        <is>
          <t>Aqua Master C10 szivattyúblokk 1x perisztaltikus adagoló pumpa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GRO4264</t>
        </is>
      </c>
      <c r="B1237" s="14" t="inlineStr">
        <is>
          <t>Aqua Master C20 szivattyúblokk 2x perisztaltikus adagoló pumpa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GRO4265</t>
        </is>
      </c>
      <c r="B1238" s="14" t="inlineStr">
        <is>
          <t>Aqua Master C30 szivattyúblokk 3x perisztaltikus adagoló pumpa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GRO4270</t>
        </is>
      </c>
      <c r="B1239" s="14" t="inlineStr">
        <is>
          <t>GF rope ratchet ECO reflektor felfüggesztő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GRO4273</t>
        </is>
      </c>
      <c r="B1240" s="14" t="inlineStr">
        <is>
          <t>GF manuális trimmelő 40 cm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GRO4274</t>
        </is>
      </c>
      <c r="B1241" s="14" t="inlineStr">
        <is>
          <t>GF Termesztősátor 40x40x140 cm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GRO4275</t>
        </is>
      </c>
      <c r="B1242" s="14" t="inlineStr">
        <is>
          <t>GF Trimmelő olló egyenes plasztik piros 21 cm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GRO4276</t>
        </is>
      </c>
      <c r="B1243" s="14" t="inlineStr">
        <is>
          <t>GF Trimmelő olló egyenes gumírozott fekete-piros 20,5 cm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GRO4277</t>
        </is>
      </c>
      <c r="B1244" s="14" t="inlineStr">
        <is>
          <t>GF Trimmelő olló egyenes zöld-fekete 18,5 cm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GRO4281</t>
        </is>
      </c>
      <c r="B1245" s="14" t="inlineStr">
        <is>
          <t>Elem, 9V blokkelem az Aquatek 4in1 digitális talaj teszterhez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GRO4282</t>
        </is>
      </c>
      <c r="B1246" s="14" t="inlineStr">
        <is>
          <t>Dimlux Xplore series LED 730W termékhez hálózati kábel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GRO4283</t>
        </is>
      </c>
      <c r="B1247" s="14" t="inlineStr">
        <is>
          <t>Dimlux Xplore Series LED ADD-ON 2x25W termékhez hosszabbító kábel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GRO4298</t>
        </is>
      </c>
      <c r="B1248" s="14" t="inlineStr">
        <is>
          <t>AC Infinity Víztartályos alátét 4 db 3,7 L (19 L szövetcseréphez)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GRO4299</t>
        </is>
      </c>
      <c r="B1249" s="14" t="inlineStr">
        <is>
          <t>AC Infinity szárító háló 4 szintes d: 45 cm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GRO4302</t>
        </is>
      </c>
      <c r="B1250" s="14" t="inlineStr">
        <is>
          <t>AC Infinity (háló) Plant Support 60x120 cm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GRO4306</t>
        </is>
      </c>
      <c r="B1251" s="14" t="inlineStr">
        <is>
          <t>AC Infinity nagyító LED lámpával dupla lencsével 30x-60x nagyítás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GRO4307</t>
        </is>
      </c>
      <c r="B1252" s="14" t="inlineStr">
        <is>
          <t>AC Infinity propagátor Samsung LM301H EVO LED 40 növényhez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GRO4308</t>
        </is>
      </c>
      <c r="B1253" s="14" t="inlineStr">
        <is>
          <t>Agrolite LED QB bid 320 W 2.8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GRO4309</t>
        </is>
      </c>
      <c r="B1254" s="14" t="inlineStr">
        <is>
          <t>Hydro kosár univerzális DWC d: 22 cm h: 14 cm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GRO4311</t>
        </is>
      </c>
      <c r="B1255" s="14" t="inlineStr">
        <is>
          <t>Bluelab Multimedia pH Meter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GRO4312</t>
        </is>
      </c>
      <c r="B1256" s="14" t="inlineStr">
        <is>
          <t>Secret Jardin Power Pack LED Full Spectrum 250W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GRO4313</t>
        </is>
      </c>
      <c r="B1257" s="14" t="inlineStr">
        <is>
          <t>Secret Jardin WEBTH120W (háló) Web Plant Support 120x60 cm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GRO4314</t>
        </is>
      </c>
      <c r="B1258" s="14" t="inlineStr">
        <is>
          <t>Secret Jardin WEBTH150W (háló) Web Plant Support 150x75 cm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GRO4315</t>
        </is>
      </c>
      <c r="B1259" s="14" t="inlineStr">
        <is>
          <t>Secret Jardin WEBTH60W (háló) Web Plant Support 60x40 cm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GRO4316</t>
        </is>
      </c>
      <c r="B1260" s="14" t="inlineStr">
        <is>
          <t>Secret Jardin WEBTH120 (háló) Web Plant Support 120x120 cm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GRO4317</t>
        </is>
      </c>
      <c r="B1261" s="14" t="inlineStr">
        <is>
          <t>Aqua Master E50 pro2 EC mérő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GRO4318</t>
        </is>
      </c>
      <c r="B1262" s="14" t="inlineStr">
        <is>
          <t>Aqua Master P50 pro2 PH mérő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GRO4319</t>
        </is>
      </c>
      <c r="B1263" s="14" t="inlineStr">
        <is>
          <t>Aqua Master P110 pro2 kombinált pH és EC mérő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GRO4320</t>
        </is>
      </c>
      <c r="B1264" s="14" t="inlineStr">
        <is>
          <t>Kókusztégla mosott 5 kg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GRO4321</t>
        </is>
      </c>
      <c r="B1265" s="14" t="inlineStr">
        <is>
          <t>Kókusztégla mosott csomagolt 650 g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GRO4324</t>
        </is>
      </c>
      <c r="B1266" s="14" t="inlineStr">
        <is>
          <t>AC Infinity szövetcserép 5 db 11 L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GRO4326</t>
        </is>
      </c>
      <c r="B1267" s="14" t="inlineStr">
        <is>
          <t>Lumen-King Eco Line LED Light fixture 400W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GRO4327</t>
        </is>
      </c>
      <c r="B1268" s="14" t="inlineStr">
        <is>
          <t>Lumen-King Eco Line LED Light fixture 720W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GRO4329</t>
        </is>
      </c>
      <c r="B1269" s="14" t="inlineStr">
        <is>
          <t>AC Infinity (net) Plant Support 60x60 cm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GRO4330</t>
        </is>
      </c>
      <c r="B1270" s="14" t="inlineStr">
        <is>
          <t>AC Infinity (háló) Plant Support 90x90 cm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GRO4336</t>
        </is>
      </c>
      <c r="B1271" s="14" t="inlineStr">
        <is>
          <t>fólia Mylar 35μm 1,4x30 m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GRO4337</t>
        </is>
      </c>
      <c r="B1272" s="14" t="inlineStr">
        <is>
          <t>fólia fekete-fehér 70μm 2x25 m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GRO4338</t>
        </is>
      </c>
      <c r="B1273" s="14" t="inlineStr">
        <is>
          <t>fólia gyémánt mintás 125μm 1,2x10 m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GRO4341</t>
        </is>
      </c>
      <c r="B1274" s="14" t="inlineStr">
        <is>
          <t>AC Infinity AI talaj teszter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GRO4343</t>
        </is>
      </c>
      <c r="B1275" s="14" t="inlineStr">
        <is>
          <t>Probox MushPro S Gombatermesztő sátor GHP 60x40x40 cm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GRO4344</t>
        </is>
      </c>
      <c r="B1276" s="14" t="inlineStr">
        <is>
          <t>Probox MushPro M Gombatermesztő sátor GHP 60x40x80 cm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GRO4345</t>
        </is>
      </c>
      <c r="B1277" s="14" t="inlineStr">
        <is>
          <t>ROOTIT propagátor fűtő lap HOBBY Small 25x35 cm 11 W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GRO4346</t>
        </is>
      </c>
      <c r="B1278" s="14" t="inlineStr">
        <is>
          <t>Plagron NextGen 150 ml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GRO4349</t>
        </is>
      </c>
      <c r="B1279" s="14" t="inlineStr">
        <is>
          <t>Garland Seed keskeny tálca lyukakkal 37x13,5x6 cm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GRO4350</t>
        </is>
      </c>
      <c r="B1280" s="14" t="inlineStr">
        <is>
          <t>Garland Seed keskeny tálca cserépalátét 37x13,5x6 cm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GRO4351</t>
        </is>
      </c>
      <c r="B1281" s="14" t="inlineStr">
        <is>
          <t>Garland Standard Seed tálca cserépalátét lyukakkal 37,5x23x6 cm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GRO4352</t>
        </is>
      </c>
      <c r="B1282" s="14" t="inlineStr">
        <is>
          <t>Garland Midi Garden tálca cserépalátét 37,5x23x6 cm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GRO4356</t>
        </is>
      </c>
      <c r="B1283" s="14" t="inlineStr">
        <is>
          <t>Garland Seed juta lap mikrozöld termesztéshez 34x19,5 cm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GRO4357</t>
        </is>
      </c>
      <c r="B1284" s="14" t="inlineStr">
        <is>
          <t>Garland Seed juta lap mikrozöld termesztéshez 53x24,5 cm (3 db)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GRO4358</t>
        </is>
      </c>
      <c r="B1285" s="14" t="inlineStr">
        <is>
          <t>Garland Microgreens tálca lyukakkal 56x28x6 cm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GRO4359</t>
        </is>
      </c>
      <c r="B1286" s="14" t="inlineStr">
        <is>
          <t>Garland Microgreens tálca lyukak nélkül 56x28x6 cm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GRO4360</t>
        </is>
      </c>
      <c r="B1287" s="14" t="inlineStr">
        <is>
          <t>Jiffy tőzegcserép kerek 6,2x5,8 cm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GRO4362</t>
        </is>
      </c>
      <c r="B1288" s="14" t="inlineStr">
        <is>
          <t>Lumen-King Eco Line LED Light fixture 1000W 2.7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GRO4363</t>
        </is>
      </c>
      <c r="B1289" s="14" t="inlineStr">
        <is>
          <t>Eazy Plug piramis 4,8 L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GRO4365</t>
        </is>
      </c>
      <c r="B1290" s="14" t="inlineStr">
        <is>
          <t>Neptune Hydroponics fűtő lap 35x25 cm 15W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GRO4366</t>
        </is>
      </c>
      <c r="B1291" s="14" t="inlineStr">
        <is>
          <t>Neptune Hydroponics fűtő lap 60x30 cm 32W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GRO4367</t>
        </is>
      </c>
      <c r="B1292" s="14" t="inlineStr">
        <is>
          <t>Agrolite LED 2xCB10 60 cm 2x10W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GRO4369</t>
        </is>
      </c>
      <c r="B1293" s="14" t="inlineStr">
        <is>
          <t>Levegőztető pumpa Neptune Hydroponics NHA1, 1 kimenet, 1,5 l/perc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GRO4370</t>
        </is>
      </c>
      <c r="B1294" s="14" t="inlineStr">
        <is>
          <t>Levegőztető pumpa Neptune Hydroponics NHA2, 2 kimenet, 2 x 1,5 l/perc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GRO4371</t>
        </is>
      </c>
      <c r="B1295" s="14" t="inlineStr">
        <is>
          <t>Kókusz magvetőkocka tálcán (53x30 cm) 104 db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GRO4372</t>
        </is>
      </c>
      <c r="B1296" s="14" t="inlineStr">
        <is>
          <t>Trimmelőgép motoros tál d: 62 cm H: 48 cm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GRO4377</t>
        </is>
      </c>
      <c r="B1297" s="14" t="inlineStr">
        <is>
          <t>Jiffy tőzegcserép sáv (207 db/dob) 8x8 cm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GRO4380</t>
        </is>
      </c>
      <c r="B1298" s="14" t="inlineStr">
        <is>
          <t>Grodan Delta 4G kőzetgyapot nevelőkocka 75x75x65 mm 40/40 (nagy lyukú)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GRO4382</t>
        </is>
      </c>
      <c r="B1299" s="14" t="inlineStr">
        <is>
          <t>Csíráztató üvegtál szűrővel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GRO4383</t>
        </is>
      </c>
      <c r="B1300" s="14" t="inlineStr">
        <is>
          <t>Mikrozöld csíráztató üvegedény szűrővel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GRO4384</t>
        </is>
      </c>
      <c r="B1301" s="14" t="inlineStr">
        <is>
          <t>Mikrozöld csíráztató műanyag torony 3 emeletes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GRO4385</t>
        </is>
      </c>
      <c r="B1302" s="14" t="inlineStr">
        <is>
          <t>Mikrozöld mag zsázsa bio 60 g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GRO4386</t>
        </is>
      </c>
      <c r="B1303" s="14" t="inlineStr">
        <is>
          <t>Mikrozöld mag vöröskáposzta 15 g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GRO4388</t>
        </is>
      </c>
      <c r="B1304" s="14" t="inlineStr">
        <is>
          <t>Mikrozöld mag mustár bio 50 g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GRO4389</t>
        </is>
      </c>
      <c r="B1305" s="14" t="inlineStr">
        <is>
          <t>Mikrozöld mag búza bio 75 g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GRO4390</t>
        </is>
      </c>
      <c r="B1306" s="14" t="inlineStr">
        <is>
          <t>Mikrozöld mag brokkoli bio 20 g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GRO4391</t>
        </is>
      </c>
      <c r="B1307" s="14" t="inlineStr">
        <is>
          <t>Mikrozöld mag vöröshagyma bio 15 g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GRO4392</t>
        </is>
      </c>
      <c r="B1308" s="14" t="inlineStr">
        <is>
          <t>Mikrozöld mag lucerna bio 40 g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GRO4393</t>
        </is>
      </c>
      <c r="B1309" s="14" t="inlineStr">
        <is>
          <t>Mikrozöld mag póréhagyma bio 15 g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GRO4394</t>
        </is>
      </c>
      <c r="B1310" s="14" t="inlineStr">
        <is>
          <t>Mikrozöld mag retek bio 30 g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GRO4395</t>
        </is>
      </c>
      <c r="B1311" s="14" t="inlineStr">
        <is>
          <t>Mikrozöld mag salátaborsó 50 g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GRO4397</t>
        </is>
      </c>
      <c r="B1312" s="14" t="inlineStr">
        <is>
          <t>Mikrozöld mag búza bio 500 g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GRO4398</t>
        </is>
      </c>
      <c r="B1313" s="14" t="inlineStr">
        <is>
          <t>Mikrozöld mag retek bio 500 g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GRO4400</t>
        </is>
      </c>
      <c r="B1314" s="14" t="inlineStr">
        <is>
          <t>Mikrozöld mag zsázsa bio 500 g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GRO4401</t>
        </is>
      </c>
      <c r="B1315" s="14" t="inlineStr">
        <is>
          <t>Chili paprika vetőmag Habanero piros 20 db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GRO4402</t>
        </is>
      </c>
      <c r="B1316" s="14" t="inlineStr">
        <is>
          <t>Chili paprika vetőmag Etna piros 20 db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GRO4403</t>
        </is>
      </c>
      <c r="B1317" s="14" t="inlineStr">
        <is>
          <t>Chili paprika vetőmag Habanero csokoládébarna 20 szem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GRO4404</t>
        </is>
      </c>
      <c r="B1318" s="14" t="inlineStr">
        <is>
          <t>Chili paprika vetőmag Habanero narancssárga 20 db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GRO4405</t>
        </is>
      </c>
      <c r="B1319" s="14" t="inlineStr">
        <is>
          <t>Chili paprika vetőmag Jalapeno 20 db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GRO4406</t>
        </is>
      </c>
      <c r="B1320" s="14" t="inlineStr">
        <is>
          <t>Chili paprika vetőmag Bohócsapka 20 db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GRO4407</t>
        </is>
      </c>
      <c r="B1321" s="14" t="inlineStr">
        <is>
          <t>Chili paprika vetőmag Cayenne 20 db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GRO4411</t>
        </is>
      </c>
      <c r="B1322" s="14" t="inlineStr">
        <is>
          <t>Jiffy-7 3070 tőzeg &amp; kókusz korong 38x39 mm (1000 db/doboz)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GRO4412</t>
        </is>
      </c>
      <c r="B1323" s="14" t="inlineStr">
        <is>
          <t>Jiffy-7 6040 tőzeg &amp; kókusz korong 42x43 mm (1000 db/doboz)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GRO4413</t>
        </is>
      </c>
      <c r="B1324" s="14" t="inlineStr">
        <is>
          <t>Garland rost palántázó cserép tálca 36 db 35x5 cm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GRO4414</t>
        </is>
      </c>
      <c r="B1325" s="14" t="inlineStr">
        <is>
          <t>Garland rost szögletes palántázó cserép 20 db 20x6 cm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GRO4415</t>
        </is>
      </c>
      <c r="B1326" s="14" t="inlineStr">
        <is>
          <t>Garland rost palántázó kerek cserép 12 db 12x8 cm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GRO4416</t>
        </is>
      </c>
      <c r="B1327" s="14" t="inlineStr">
        <is>
          <t>Garland préselt kókuszrost korong 20 db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GRO4417</t>
        </is>
      </c>
      <c r="B1328" s="14" t="inlineStr">
        <is>
          <t>Garland kókuszrost préselt korong 50 db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GRO4419</t>
        </is>
      </c>
      <c r="B1329" s="14" t="inlineStr">
        <is>
          <t>Sylvania ToLEDo GLS LED izzó E27 9,5 W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GRO4423</t>
        </is>
      </c>
      <c r="B1330" s="14" t="inlineStr">
        <is>
          <t>Sylvania START Waterproof Slim 600 LED IP66 18,5 W tápkábel nélkül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GRO4424</t>
        </is>
      </c>
      <c r="B1331" s="14" t="inlineStr">
        <is>
          <t>Sylvania START Waterproof Slim 1200 LED IP66 34,5 W tápkábel nélkül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GRO4425</t>
        </is>
      </c>
      <c r="B1332" s="14" t="inlineStr">
        <is>
          <t>Sylvania START Waterproof Slim 1500 LED IP66 52,5 W tápkábel nélkül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GRO4426</t>
        </is>
      </c>
      <c r="B1333" s="14" t="inlineStr">
        <is>
          <t>Sylvania START Eco Waterproof 600 LED IP65 16 W tápkábel nélkül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GRO4427</t>
        </is>
      </c>
      <c r="B1334" s="14" t="inlineStr">
        <is>
          <t>Sylvania START Eco Waterproof 1200 LED IP65 32 W tápkábel nélkül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GRO4428</t>
        </is>
      </c>
      <c r="B1335" s="14" t="inlineStr">
        <is>
          <t>Sylvania START Eco Waterproof 1500 LED IP65 40 W tápkábel nélkül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GRO4431</t>
        </is>
      </c>
      <c r="B1336" s="14" t="inlineStr">
        <is>
          <t>Mikrozöld mag azuki bab 200 g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GRO4432</t>
        </is>
      </c>
      <c r="B1337" s="14" t="inlineStr">
        <is>
          <t>Mikrozöld mag bíborhere 200 g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GRO4433</t>
        </is>
      </c>
      <c r="B1338" s="14" t="inlineStr">
        <is>
          <t>Mikrozöld mag brokkoli 200 g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GRO4434</t>
        </is>
      </c>
      <c r="B1339" s="14" t="inlineStr">
        <is>
          <t>Mikrozöld mag cékla 200 g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GRO4435</t>
        </is>
      </c>
      <c r="B1340" s="14" t="inlineStr">
        <is>
          <t>Csíráztató üvegedény szűrővel fehér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GRO4436</t>
        </is>
      </c>
      <c r="B1341" s="14" t="inlineStr">
        <is>
          <t>Csíráztató üvegedény szűrővel fekete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GRO4437</t>
        </is>
      </c>
      <c r="B1342" s="14" t="inlineStr">
        <is>
          <t>Csíráztató üvegedény szűrővel sárga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GRO4438</t>
        </is>
      </c>
      <c r="B1343" s="14" t="inlineStr">
        <is>
          <t>Mikrozöld csíráztató üvegedény szűrővel sötét zöld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GRO4439</t>
        </is>
      </c>
      <c r="B1344" s="14" t="inlineStr">
        <is>
          <t>Mikrozöld mag karalábé 200 g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GRO4441</t>
        </is>
      </c>
      <c r="B1345" s="14" t="inlineStr">
        <is>
          <t>Mikrozöld mag vörös mizuna 200 g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GRO4442</t>
        </is>
      </c>
      <c r="B1346" s="14" t="inlineStr">
        <is>
          <t>Mikrozöld mag mungóbab 200 g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GRO4443</t>
        </is>
      </c>
      <c r="B1347" s="14" t="inlineStr">
        <is>
          <t>Mikrozöld mag napraforgó 200 g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GRO4444</t>
        </is>
      </c>
      <c r="B1348" s="14" t="inlineStr">
        <is>
          <t>Mikrozöld mag petrezselyem 200 g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GRO4445</t>
        </is>
      </c>
      <c r="B1349" s="14" t="inlineStr">
        <is>
          <t>Mikrozöld mag repce 200 g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GRO4446</t>
        </is>
      </c>
      <c r="B1350" s="14" t="inlineStr">
        <is>
          <t>Mikrozöld mag retek 200 g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GRO4447</t>
        </is>
      </c>
      <c r="B1351" s="14" t="inlineStr">
        <is>
          <t>Mikrozöld mag fekete retek 200 g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GRO4448</t>
        </is>
      </c>
      <c r="B1352" s="14" t="inlineStr">
        <is>
          <t>Mikrozöld mag sango retek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GRO4449</t>
        </is>
      </c>
      <c r="B1353" s="14" t="inlineStr">
        <is>
          <t>Mikrozöld mag retek vörös korall 200 g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GRO4450</t>
        </is>
      </c>
      <c r="B1354" s="14" t="inlineStr">
        <is>
          <t>Mikrozöld mag rukkola 200 g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GRO4451</t>
        </is>
      </c>
      <c r="B1355" s="14" t="inlineStr">
        <is>
          <t>Mikrozöld mag vajrépa 200 g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GRO4452</t>
        </is>
      </c>
      <c r="B1356" s="14" t="inlineStr">
        <is>
          <t>Mikrozöld mag vöröshere 200 g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GRO4453</t>
        </is>
      </c>
      <c r="B1357" s="14" t="inlineStr">
        <is>
          <t>Mikrozöld mag vöröskáposzta 200 g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GRO4454</t>
        </is>
      </c>
      <c r="B1358" s="14" t="inlineStr">
        <is>
          <t>Mikrozöld mag vöröslencse 200 g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GRO4460</t>
        </is>
      </c>
      <c r="B1359" s="14" t="inlineStr">
        <is>
          <t>Mikrozöld juta háló 60x60 cm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GRO4463/1</t>
        </is>
      </c>
      <c r="B1360" s="14" t="inlineStr">
        <is>
          <t>Mikrozöld kókuszrost szőnyeg 60x30 cm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GRO4464</t>
        </is>
      </c>
      <c r="B1361" s="14" t="inlineStr">
        <is>
          <t>Grodan Plantop Plug NG 2.0 tálcás kőzetgyapot 240 db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GRO4493</t>
        </is>
      </c>
      <c r="B1362" s="14" t="inlineStr">
        <is>
          <t>Urban Garden Propagátor fűtő lap digitális szabályzóval 25x53 cm 30 W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GRO4504</t>
        </is>
      </c>
      <c r="B1363" s="14" t="inlineStr">
        <is>
          <t>Mikrozöld szilikon háló 1mm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GRO4506</t>
        </is>
      </c>
      <c r="B1364" s="14" t="inlineStr">
        <is>
          <t>Milwaukee EC45 EC/TDS mérő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GRO4512</t>
        </is>
      </c>
      <c r="B1365" s="14" t="inlineStr">
        <is>
          <t>Vezeték nélküli jeladó és vevő AC Infinity AC-WTA3 UIS eszközökhöz, 2 db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GRO4535</t>
        </is>
      </c>
      <c r="B1366" s="14" t="inlineStr">
        <is>
          <t>SANlight LED lámpatest EVO 2C S1W 310W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GRO4536</t>
        </is>
      </c>
      <c r="B1367" s="14" t="inlineStr">
        <is>
          <t>SANlight LED lámpatest EVO 3C S1W 470W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GRO4537</t>
        </is>
      </c>
      <c r="B1368" s="14" t="inlineStr">
        <is>
          <t>SANlight LED lámpatest EVO 4C S1W 625W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GRO4540</t>
        </is>
      </c>
      <c r="B1369" s="14" t="inlineStr">
        <is>
          <t>Csomagolás palánta szállításhoz 38x50x18 mm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GRO4546</t>
        </is>
      </c>
      <c r="B1370" s="14" t="inlineStr">
        <is>
          <t>Milwaukee PH54 pH mérő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GRO4547</t>
        </is>
      </c>
      <c r="B1371" s="14" t="inlineStr">
        <is>
          <t>Milwaukee MA871 digitális refraktométer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GRO4548</t>
        </is>
      </c>
      <c r="B1372" s="14" t="inlineStr">
        <is>
          <t>Milwaukee TH300 digitális hőmérő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GRO4549</t>
        </is>
      </c>
      <c r="B1373" s="14" t="inlineStr">
        <is>
          <t>Milwaukee MW10 digitális szabadklór fotométer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GRO4550</t>
        </is>
      </c>
      <c r="B1374" s="14" t="inlineStr">
        <is>
          <t>Milwaukee MW102 FOOD PRO+ 2 az 1-ben pH- és hőmérsékletmérő élelmiszerekhez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GRO4551</t>
        </is>
      </c>
      <c r="B1375" s="14" t="inlineStr">
        <is>
          <t>Fekete-fehér fólia 70μm 2x100 m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GRO4552</t>
        </is>
      </c>
      <c r="B1376" s="14" t="inlineStr">
        <is>
          <t>Fekete-fehér fólia 70μm 2x10 m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GRO4553</t>
        </is>
      </c>
      <c r="B1377" s="14" t="inlineStr">
        <is>
          <t>Gyémánt mintás fólia 125μm 1,2x30 m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GRO4554</t>
        </is>
      </c>
      <c r="B1378" s="14" t="inlineStr">
        <is>
          <t>Gyémánt mintás fólia 125μm 1,2x100 m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GRO4555</t>
        </is>
      </c>
      <c r="B1379" s="14" t="inlineStr">
        <is>
          <t>Ezüst fólia 35μm 1,4x100 m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GRO4556</t>
        </is>
      </c>
      <c r="B1380" s="14" t="inlineStr">
        <is>
          <t>Ezüst fólia 35μm 1,4x10 m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GRO4559</t>
        </is>
      </c>
      <c r="B1381" s="14" t="inlineStr">
        <is>
          <t>Gumikesztyű vinyl XL méret, kék - 100 db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GRO4563</t>
        </is>
      </c>
      <c r="B1382" s="14" t="inlineStr">
        <is>
          <t>Easy Grow scrog elasztikus növénytartó háló 60-120cm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GRO4565</t>
        </is>
      </c>
      <c r="B1383" s="14" t="inlineStr">
        <is>
          <t>Neu Bag Candy Gas terpénes aromatasak 5 g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GRO4566</t>
        </is>
      </c>
      <c r="B1384" s="14" t="inlineStr">
        <is>
          <t>Neu Bag Dessert terpénes aromatasak 5 g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GRO4567</t>
        </is>
      </c>
      <c r="B1385" s="14" t="inlineStr">
        <is>
          <t>Neu Bag Purple terpénes aromatasak 5 g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GRO4568</t>
        </is>
      </c>
      <c r="B1386" s="14" t="inlineStr">
        <is>
          <t>Neu Bag Sour terpénes aromatasak 5 g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GRO4569</t>
        </is>
      </c>
      <c r="B1387" s="14" t="inlineStr">
        <is>
          <t>Szárító háló normál 4 szintes d: 30 cm H: 40 cm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GRO4572</t>
        </is>
      </c>
      <c r="B1388" s="14" t="inlineStr">
        <is>
          <t>Szárító háló szűrő XL 120 mm x 120 mm x 50 mm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GRO4573</t>
        </is>
      </c>
      <c r="B1389" s="14" t="inlineStr">
        <is>
          <t>Aqua Master E300 pro2 talaj EC mérő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GRO4576</t>
        </is>
      </c>
      <c r="B1390" s="14" t="inlineStr">
        <is>
          <t>Neptune Hydroponics elektromos porlasztófej Spray GO 16L permetezőhöz, 80 W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GRO4577</t>
        </is>
      </c>
      <c r="B1391" s="14" t="inlineStr">
        <is>
          <t>Probox MushPro S Gombatermesztő sátor GHP 45x30x20cm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GRO4579</t>
        </is>
      </c>
      <c r="B1392" s="14" t="inlineStr">
        <is>
          <t>Agrolite LED AgroBell 200 W 2.6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GRO4583</t>
        </is>
      </c>
      <c r="B1393" s="14" t="inlineStr">
        <is>
          <t>AC Infinity Advanced sátor szett PRO 4 növényes, 120x120x200 cm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GRO4585</t>
        </is>
      </c>
      <c r="B1394" s="14" t="inlineStr">
        <is>
          <t>Sansi LED E27 36W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GRO4586</t>
        </is>
      </c>
      <c r="B1395" s="14" t="inlineStr">
        <is>
          <t>Sansi LED E27 24W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GRO4587</t>
        </is>
      </c>
      <c r="B1396" s="14" t="inlineStr">
        <is>
          <t>Sansi LED E27 10W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GRO4589</t>
        </is>
      </c>
      <c r="B1397" s="14" t="inlineStr">
        <is>
          <t>Sansi LED E27 állítható 2x30W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GRO4590</t>
        </is>
      </c>
      <c r="B1398" s="14" t="inlineStr">
        <is>
          <t>Sansi LED E27 csíptethető 2x10W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GRO4591</t>
        </is>
      </c>
      <c r="B1399" s="14" t="inlineStr">
        <is>
          <t>Sansi LED E27 csíptethető 3x10W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GRO4592</t>
        </is>
      </c>
      <c r="B1400" s="14" t="inlineStr">
        <is>
          <t>Sansi LED E27 csíptethető 4x10W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GRO4593</t>
        </is>
      </c>
      <c r="B1401" s="14" t="inlineStr">
        <is>
          <t>Sansi LED E27 álló 3x30W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GRO4594</t>
        </is>
      </c>
      <c r="B1402" s="14" t="inlineStr">
        <is>
          <t>Sansi LED E27 álló 4x30W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GRO4595</t>
        </is>
      </c>
      <c r="B1403" s="14" t="inlineStr">
        <is>
          <t>Sansi LED E27 távirányítóval 40W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GRO4596</t>
        </is>
      </c>
      <c r="B1404" s="14" t="inlineStr">
        <is>
          <t>Sansi LED szett E27 izzó és állvány 40W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GRO4597</t>
        </is>
      </c>
      <c r="B1405" s="14" t="inlineStr">
        <is>
          <t>Sansi LED cső 60 cm 15W foglalat és tápkábel nélkül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GRO4598</t>
        </is>
      </c>
      <c r="B1406" s="14" t="inlineStr">
        <is>
          <t>Sansi LED cső 90 cm 20W foglalat és tápkábel nélkül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GRO4599</t>
        </is>
      </c>
      <c r="B1407" s="14" t="inlineStr">
        <is>
          <t>Sansi LED E27 csíptethető,vezérlővel 10W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GRO4602</t>
        </is>
      </c>
      <c r="B1408" s="14" t="inlineStr">
        <is>
          <t>Saboten precíziós trimmelőolló, 10 cm, rugós karral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GRO4603</t>
        </is>
      </c>
      <c r="B1409" s="14" t="inlineStr">
        <is>
          <t>Saboten PT-6 metsző- és trimmelőolló 48 mm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GRO4604</t>
        </is>
      </c>
      <c r="B1410" s="14" t="inlineStr">
        <is>
          <t>Saboten PT-8 tungsten élező ollóhoz és késhez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GRO4605</t>
        </is>
      </c>
      <c r="B1411" s="14" t="inlineStr">
        <is>
          <t>Saboten mágneses trimmelőolló egyenes, extra vékony rozsdamentes pengével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GRO4606</t>
        </is>
      </c>
      <c r="B1412" s="14" t="inlineStr">
        <is>
          <t>Trimmelő olló Saboten PT-16 mágneses, ívelt pengével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GRO4608</t>
        </is>
      </c>
      <c r="B1413" s="14" t="inlineStr">
        <is>
          <t>Garland Seed vékonyfalú tálca cserépalátét 5 db 37x23,5x5 cm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GRO4609</t>
        </is>
      </c>
      <c r="B1414" s="14" t="inlineStr">
        <is>
          <t>Garland propagátor fedél 37,5x24x8,5 cm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GRO4610</t>
        </is>
      </c>
      <c r="B1415" s="14" t="inlineStr">
        <is>
          <t>Garland vékony falú tálca cserépalátét kapilláris szőnyeggel 55x31x3 cm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GRO4611</t>
        </is>
      </c>
      <c r="B1416" s="14" t="inlineStr">
        <is>
          <t>Garland kapilláris szőnyeg 2 db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GRO4612</t>
        </is>
      </c>
      <c r="B1417" s="14" t="inlineStr">
        <is>
          <t>Garland Seed Mini tálca cserépalátét lyukakkal 7x10x5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GRO4613</t>
        </is>
      </c>
      <c r="B1418" s="14" t="inlineStr">
        <is>
          <t>Garland magas falú cserép 37,5x23x12,5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GRO4614</t>
        </is>
      </c>
      <c r="B1419" s="14" t="inlineStr">
        <is>
          <t>Garland propagátor fedél 56x28x8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GRO4615</t>
        </is>
      </c>
      <c r="B1420" s="14" t="inlineStr">
        <is>
          <t>Garland Seed Small tálca lyukakkal cserépalátét 23x17x6 cm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GRO4616</t>
        </is>
      </c>
      <c r="B1421" s="14" t="inlineStr">
        <is>
          <t>Garland Mini tálca cserépalátét 23x17x6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GRO4618</t>
        </is>
      </c>
      <c r="B1422" s="14" t="inlineStr">
        <is>
          <t>Garland propagátor Large fedél 37,5x23x6,5 cm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GRO4619</t>
        </is>
      </c>
      <c r="B1423" s="14" t="inlineStr">
        <is>
          <t>Garland propagátor keskeny fedél 37x13,5x6,5 cm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GRO4620</t>
        </is>
      </c>
      <c r="B1424" s="14" t="inlineStr">
        <is>
          <t>Garland propagátor Large fedél szellőzővel 37,5x23x8 cm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GRO4630</t>
        </is>
      </c>
      <c r="B1425" s="14" t="inlineStr">
        <is>
          <t>Kertészeti jelölő műanyagtábla nagy 1 db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GRO4631</t>
        </is>
      </c>
      <c r="B1426" s="14" t="inlineStr">
        <is>
          <t>Kertészeti jelölő krétatábla kicsi 1 db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GRO4632</t>
        </is>
      </c>
      <c r="B1427" s="14" t="inlineStr">
        <is>
          <t>Kertészeti jelölő krétatábla közepes 1 db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GRO4633</t>
        </is>
      </c>
      <c r="B1428" s="14" t="inlineStr">
        <is>
          <t>40 lyukas palántanevelő tálca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GRO4634</t>
        </is>
      </c>
      <c r="B1429" s="14" t="inlineStr">
        <is>
          <t>66 lyukas palántanevelő tálca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GRO4635</t>
        </is>
      </c>
      <c r="B1430" s="14" t="inlineStr">
        <is>
          <t>104 lyukas palántanevelő tálca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GRO4636</t>
        </is>
      </c>
      <c r="B1431" s="14" t="inlineStr">
        <is>
          <t>Mikrozöld magvető tálca 61,5x33x3 cm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GRO4637</t>
        </is>
      </c>
      <c r="B1432" s="14" t="inlineStr">
        <is>
          <t>Mikrozöld magvető tálca, lyukacsos, 59x29x7 cm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GRO4641</t>
        </is>
      </c>
      <c r="B1433" s="14" t="inlineStr">
        <is>
          <t>Nitril gumikesztyű púdermentes, S méret, 100 db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GRO4644</t>
        </is>
      </c>
      <c r="B1434" s="14" t="inlineStr">
        <is>
          <t>Kerek műanyag konténer fogantyúval, 43 L (45x34 cm)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GRO4645</t>
        </is>
      </c>
      <c r="B1435" s="14" t="inlineStr">
        <is>
          <t>Kerek műanyag konténer fogantyúval, 50 L (45x41 cm)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GRO4646</t>
        </is>
      </c>
      <c r="B1436" s="14" t="inlineStr">
        <is>
          <t>Kerek műanyag konténer fogantyúval, 60 L (50x38 cm)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GRO4647</t>
        </is>
      </c>
      <c r="B1437" s="14" t="inlineStr">
        <is>
          <t>Kerek műanyag konténer fogantyúval, 70 L (50x44 cm)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GRO4648</t>
        </is>
      </c>
      <c r="B1438" s="14" t="inlineStr">
        <is>
          <t>Kerek műanyag konténer fogantyúval, 80 L (55x43 cm)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GRO4649</t>
        </is>
      </c>
      <c r="B1439" s="14" t="inlineStr">
        <is>
          <t>Kerek műanyag konténer fogantyúval 100 L (55x51 cm)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GRO4652</t>
        </is>
      </c>
      <c r="B1440" s="14" t="inlineStr">
        <is>
          <t>Kerek műanyag konténer fogantyúval, 130 L (65x51 cm)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GRO4653</t>
        </is>
      </c>
      <c r="B1441" s="14" t="inlineStr">
        <is>
          <t>Kerek műanyag konténer fogantyúval, 155 L (70x51 cm)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GRO4654</t>
        </is>
      </c>
      <c r="B1442" s="14" t="inlineStr">
        <is>
          <t>Kerek cserépalátét fekete, 18 cm átmérővel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GRO4655</t>
        </is>
      </c>
      <c r="B1443" s="14" t="inlineStr">
        <is>
          <t>Kerek cserépalátét, fekete, 20 cm átmérő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GRO4656</t>
        </is>
      </c>
      <c r="B1444" s="14" t="inlineStr">
        <is>
          <t>Kerek cserépalátét, fekete, 30 cm átmérő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GRO4659</t>
        </is>
      </c>
      <c r="B1445" s="14" t="inlineStr">
        <is>
          <t>Fekete kerek cserépalátét, 35 cm átmérő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GRO4667</t>
        </is>
      </c>
      <c r="B1446" s="14" t="inlineStr">
        <is>
          <t>Secret Jardin vízgyűjtő tálca 40x40x8 cm growboxhoz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GRO4668</t>
        </is>
      </c>
      <c r="B1447" s="14" t="inlineStr">
        <is>
          <t>Secret Jardin vízgyűjtő tálca 60x60x8 cm growboxhoz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GRO4669</t>
        </is>
      </c>
      <c r="B1448" s="14" t="inlineStr">
        <is>
          <t>Secret Jardin vízgyűjtő tálca 80x80x8 cm growboxhoz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GRO4670</t>
        </is>
      </c>
      <c r="B1449" s="14" t="inlineStr">
        <is>
          <t>Secret Jardin vízgyűjtő tálca 100x100x8 cm growboxhoz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GRO4671</t>
        </is>
      </c>
      <c r="B1450" s="14" t="inlineStr">
        <is>
          <t>Secret Jardin vízgyűjtő tálca 120x120x8 cm growboxhoz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GRO4672</t>
        </is>
      </c>
      <c r="B1451" s="14" t="inlineStr">
        <is>
          <t>Secret Jardin vízgyűjtő tálca 150x150x8 cm growboxhoz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GRO4673</t>
        </is>
      </c>
      <c r="B1452" s="14" t="inlineStr">
        <is>
          <t>Secret Jardin vízgyűjtő tálca 120x60x8 cm growboxhoz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GRO4674</t>
        </is>
      </c>
      <c r="B1453" s="14" t="inlineStr">
        <is>
          <t>Secret Jardin vízgyűjtő tálca 240x120x8 cm growboxhoz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GRO4675</t>
        </is>
      </c>
      <c r="B1454" s="14" t="inlineStr">
        <is>
          <t>Jiffy-7 kókuszrost szaporítólap mikrozöldhöz, 400 vetőhely, 24x24,7 cm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GRO4676</t>
        </is>
      </c>
      <c r="B1455" s="14" t="inlineStr">
        <is>
          <t>Jiffy tőzegcserép kerek réselt 5,5x5,2 cm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GRO4680</t>
        </is>
      </c>
      <c r="B1456" s="14" t="inlineStr">
        <is>
          <t>Palántaszállító csomagolás 6 db plántához, 38x50 mm (250db/doboz)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GRO4681</t>
        </is>
      </c>
      <c r="B1457" s="14" t="inlineStr">
        <is>
          <t>Palántacsomagoló doboz 3 részes, 3,8x5x18 cm (450db/doboz)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GRO4682</t>
        </is>
      </c>
      <c r="B1458" s="14" t="inlineStr">
        <is>
          <t>Palántaszállító csomagolás 3 db palántához, 7,5x7,5x39 cm (100db/doboz)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GRO4683</t>
        </is>
      </c>
      <c r="B1459" s="14" t="inlineStr">
        <is>
          <t>Palántaszállító csomagolás 3 db palántához (200db/doboz)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GRO4684</t>
        </is>
      </c>
      <c r="B1460" s="14" t="inlineStr">
        <is>
          <t>Propagátor tálca 43x32,5 cm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GRO4686</t>
        </is>
      </c>
      <c r="B1461" s="14" t="inlineStr">
        <is>
          <t>Propagátor tálca 32,9x22,8 cm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GRO4687</t>
        </is>
      </c>
      <c r="B1462" s="14" t="inlineStr">
        <is>
          <t>Propagátor tető 31,3x21,3 cm, áttetsző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GRO4704</t>
        </is>
      </c>
      <c r="B1463" s="14" t="inlineStr">
        <is>
          <t>Aluflex flexibilis légcső 127 mm átmérő, 3 m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GRO4706</t>
        </is>
      </c>
      <c r="B1464" s="14" t="inlineStr">
        <is>
          <t>Tápegység SANlight FLEX II 30 W adapterkábellel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GRO4707</t>
        </is>
      </c>
      <c r="B1465" s="14" t="inlineStr">
        <is>
          <t>LED növénylámpa Sanlight Stixx 2-60 47W teljes spektrumú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GRO4708</t>
        </is>
      </c>
      <c r="B1466" s="14" t="inlineStr">
        <is>
          <t>Sanlight Stixx 3-80 LED növénylámpa 70W, teljes spektrumú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GRO4709</t>
        </is>
      </c>
      <c r="B1467" s="14" t="inlineStr">
        <is>
          <t>Sanlight Stixx 4-100 LED növénylámpa 94 W, teljes spektrumú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GRO4711</t>
        </is>
      </c>
      <c r="B1468" s="14" t="inlineStr">
        <is>
          <t>LED tápegység növénylámpához SANlight Driver Set STIXX 2, 160 W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GRO4712</t>
        </is>
      </c>
      <c r="B1469" s="14" t="inlineStr">
        <is>
          <t>LED tápegység SANlight STIXX 3/6 növénylámpához, 200 W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GRO4746</t>
        </is>
      </c>
      <c r="B1470" s="14" t="inlineStr">
        <is>
          <t>Kenderrost termesztőlap mikrozöldekhez, 56x28 cm, 400 g/m2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GRO4751</t>
        </is>
      </c>
      <c r="B1471" s="14" t="inlineStr">
        <is>
          <t>Agra-Wool Speedgrow Kőzetgyapot palántázó kocka 7,5x7,5x6,5 cm, 38x35 mm lyukkal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GRO4752</t>
        </is>
      </c>
      <c r="B1472" s="14" t="inlineStr">
        <is>
          <t>Agra-Wool Speedgrow Kőzetgyapot kocka 10x10x6,5 cm, 38x35 mm lyukkal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GRO4753</t>
        </is>
      </c>
      <c r="B1473" s="14" t="inlineStr">
        <is>
          <t>Agra-Wool Speedgrow kőzetgyapot tábla 100x15x7,5 cm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GRO4754</t>
        </is>
      </c>
      <c r="B1474" s="14" t="inlineStr">
        <is>
          <t>Agra-Wool Speedgrow BASIC kőzetgyapot szaporítókocka 38x40 mm, 84 db tálcán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GRO4755</t>
        </is>
      </c>
      <c r="B1475" s="14" t="inlineStr">
        <is>
          <t>Agra-Wool Speedgrow BASIC kőzetgyapot szaporítókocka 28x40 mm, 126 db tálcán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GRO4757</t>
        </is>
      </c>
      <c r="B1476" s="14" t="inlineStr">
        <is>
          <t>Agra-Wool Big Block kőzetgyapot kocka 15x15x15 cm, 38x35 mm ültetőlyukkal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GYSZ0005V</t>
        </is>
      </c>
      <c r="B1477" s="14" t="inlineStr">
        <is>
          <t>Növénynevelő lámpa szett 250W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GYSZ0006V</t>
        </is>
      </c>
      <c r="B1478" s="14" t="inlineStr">
        <is>
          <t>Növénynevelő lámpa szett 400W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GYSZ0007V</t>
        </is>
      </c>
      <c r="B1479" s="14" t="inlineStr">
        <is>
          <t>Növénynevelő lámpa szett 600W HPS izzó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GYSZ0013V</t>
        </is>
      </c>
      <c r="B1480" s="14" t="inlineStr">
        <is>
          <t>Kezdő HPS Grow Box szett 250W / 80x80x178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GYSZ0015V</t>
        </is>
      </c>
      <c r="B1481" s="14" t="inlineStr">
        <is>
          <t>Kezdő HPS Grow Box szett 400W / 100x100x200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GYSZ0016V</t>
        </is>
      </c>
      <c r="B1482" s="14" t="inlineStr">
        <is>
          <t>Kezdő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GYSZ0018V</t>
        </is>
      </c>
      <c r="B1483" s="14" t="inlineStr">
        <is>
          <t>Haladó HPS Grow Box szett 600W / 120x120x200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GYSZ0023V</t>
        </is>
      </c>
      <c r="B1484" s="14" t="inlineStr">
        <is>
          <t>Növénynevelő lámpa szett 600W HPS &amp; AAW &amp; Digitális trafó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GYSZ0024V</t>
        </is>
      </c>
      <c r="B1485" s="14" t="inlineStr">
        <is>
          <t>Nutriculture X-Stream Heat fűthető propagátor Small + termosztát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GYSZ0029V</t>
        </is>
      </c>
      <c r="B1486" s="14" t="inlineStr">
        <is>
          <t>Kezdő hidrocsomag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GYSZ0034</t>
        </is>
      </c>
      <c r="B1487" s="14" t="inlineStr">
        <is>
          <t>Nutripot Vega DWC hidrorendszer 9 növényhez 83x83x35cm 110L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GYSZ0053V</t>
        </is>
      </c>
      <c r="B1488" s="14" t="inlineStr">
        <is>
          <t>Kiegészítő csomag sátorszettekhez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GYSZ0054V</t>
        </is>
      </c>
      <c r="B1489" s="14" t="inlineStr">
        <is>
          <t>Haladó LED Grow Box szett 200W / 80x80x178 cm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GYSZ0059V</t>
        </is>
      </c>
      <c r="B1490" s="14" t="inlineStr">
        <is>
          <t>Haladó LED Grow Box szett 100W / 60x60x160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GYSZ0060V</t>
        </is>
      </c>
      <c r="B1491" s="14" t="inlineStr">
        <is>
          <t>Haladó LED Grow Box szett 320W / 100x100x200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GYSZ0062V</t>
        </is>
      </c>
      <c r="B1492" s="14" t="inlineStr">
        <is>
          <t>Kezdő LED Grow Box szett 120W / 60x60x160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GYSZ0063V</t>
        </is>
      </c>
      <c r="B1493" s="14" t="inlineStr">
        <is>
          <t>Kezdő LED Grow Box szett 240W / 80x80x178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GYSZ0064V</t>
        </is>
      </c>
      <c r="B1494" s="14" t="inlineStr">
        <is>
          <t>Kezdő LED Grow Box szett 360W / 100x100x200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GYSZ0065V</t>
        </is>
      </c>
      <c r="B1495" s="14" t="inlineStr">
        <is>
          <t>Haladó LED Grow Box szett 730W / 120x120x200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GYSZ0066V</t>
        </is>
      </c>
      <c r="B1496" s="14" t="inlineStr">
        <is>
          <t>Haladó LED Grow Box szett 730W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GYSZ0067V</t>
        </is>
      </c>
      <c r="B1497" s="14" t="inlineStr">
        <is>
          <t>Haladó LED Grow Box szett 550W / 150x150x200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GYUJTO0319</t>
        </is>
      </c>
      <c r="B1498" s="14" t="inlineStr">
        <is>
          <t>Plagron Europebbles hidrogolyók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HED0413</t>
        </is>
      </c>
      <c r="B1499" s="14" t="inlineStr">
        <is>
          <t>Kalibráló súly 100g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HED0414</t>
        </is>
      </c>
      <c r="B1500" s="14" t="inlineStr">
        <is>
          <t>Kalibráló súly 200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HED0415</t>
        </is>
      </c>
      <c r="B1501" s="14" t="inlineStr">
        <is>
          <t>Kalibráló súly 500 g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HED0724</t>
        </is>
      </c>
      <c r="B1502" s="14" t="inlineStr">
        <is>
          <t>Secret shaker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HED1397</t>
        </is>
      </c>
      <c r="B1503" s="14" t="inlineStr">
        <is>
          <t>Digitális precíziós mérleg 100 g - 0.01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HED1489</t>
        </is>
      </c>
      <c r="B1504" s="14" t="inlineStr">
        <is>
          <t>Kalibráló súly 50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HED1490</t>
        </is>
      </c>
      <c r="B1505" s="14" t="inlineStr">
        <is>
          <t>Kalibráló súly 1000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HED1828</t>
        </is>
      </c>
      <c r="B1506" s="14" t="inlineStr">
        <is>
          <t>G-Scale Pro digitális zsebmérleg 500 g - 0.1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HED1836</t>
        </is>
      </c>
      <c r="B1507" s="14" t="inlineStr">
        <is>
          <t>Mérleg számológép 200 g - 0.01 g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HED1892</t>
        </is>
      </c>
      <c r="B1508" s="14" t="inlineStr">
        <is>
          <t>Boveda kétirányú páratartalmat biztosító csomag RH 58%, 4g, 21x21 mm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HED1894</t>
        </is>
      </c>
      <c r="B1509" s="14" t="inlineStr">
        <is>
          <t>Integra Boost nedvesség és páraszabályzó tasak RH 55%, 4g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HED1895</t>
        </is>
      </c>
      <c r="B1510" s="14" t="inlineStr">
        <is>
          <t>Integra Boost nedvesség és páraszabályzó tasak RH 55%, 8g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HED1896</t>
        </is>
      </c>
      <c r="B1511" s="14" t="inlineStr">
        <is>
          <t>Integra Boost nedvesség és páraszabályzó tasak RH 55%, 67g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HED1944</t>
        </is>
      </c>
      <c r="B1512" s="14" t="inlineStr">
        <is>
          <t>Boveda kétirányú páratartalmat biztosító csomag RH 62%; 4g, 40x40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HED2041</t>
        </is>
      </c>
      <c r="B1513" s="14" t="inlineStr">
        <is>
          <t>Boveda kétirányú páratartalmat biztosító csomag RH 62%; 67g, 132 x 89 mm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HED2156</t>
        </is>
      </c>
      <c r="B1514" s="14" t="inlineStr">
        <is>
          <t>G-Scale digitális zsebmérleg 100 g - 0.01 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HED2196</t>
        </is>
      </c>
      <c r="B1515" s="14" t="inlineStr">
        <is>
          <t>Integra Boost nedvesség és páraszabályzó tasak RH 62%, 4g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HED2197</t>
        </is>
      </c>
      <c r="B1516" s="14" t="inlineStr">
        <is>
          <t>Integra Boost nedvesség és páraszabályzó tasak RH 62%, 8g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HED2198</t>
        </is>
      </c>
      <c r="B1517" s="14" t="inlineStr">
        <is>
          <t>Boveda páratartalom regulációs tasak (RH 62%; 8 g)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HED2203</t>
        </is>
      </c>
      <c r="B1518" s="14" t="inlineStr">
        <is>
          <t>Ziplock bag 350x450 mm átlátszó 100 db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HED2287</t>
        </is>
      </c>
      <c r="B1519" s="14" t="inlineStr">
        <is>
          <t>Integra Boost nedvesség és páraszabályzó tasak RH 62%, 67g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HED2288</t>
        </is>
      </c>
      <c r="B1520" s="14" t="inlineStr">
        <is>
          <t>Integra Boost terpén - ízesített limonén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HED2289</t>
        </is>
      </c>
      <c r="B1521" s="14" t="inlineStr">
        <is>
          <t>Integra Boost terpén - ízesített mircén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HED2329</t>
        </is>
      </c>
      <c r="B1522" s="14" t="inlineStr">
        <is>
          <t>Integra Boost terpén - ízesített terpinolén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HED2330</t>
        </is>
      </c>
      <c r="B1523" s="14" t="inlineStr">
        <is>
          <t>Integra Boost terpén - ízesített linalol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HED2331</t>
        </is>
      </c>
      <c r="B1524" s="14" t="inlineStr">
        <is>
          <t>Integra Boost terpén - ízesített humulén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HED2341</t>
        </is>
      </c>
      <c r="B1525" s="14" t="inlineStr">
        <is>
          <t>G-Scale digitális zsebmérleg 2000 g - 0.1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HED2401</t>
        </is>
      </c>
      <c r="B1526" s="14" t="inlineStr">
        <is>
          <t>G-Scale Lite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HED2402</t>
        </is>
      </c>
      <c r="B1527" s="14" t="inlineStr">
        <is>
          <t>G-Scale Basic digitális zsebmérleg 100 g - 0.01 g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HED2403</t>
        </is>
      </c>
      <c r="B1528" s="14" t="inlineStr">
        <is>
          <t>G-Scale digitális zsebmérleg 100 g - 0.01 g (kalibráló súllyal)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HED2404</t>
        </is>
      </c>
      <c r="B1529" s="14" t="inlineStr">
        <is>
          <t>G-Scale digitális zsebmérleg 100 g - 0.01 g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HED2405</t>
        </is>
      </c>
      <c r="B1530" s="14" t="inlineStr">
        <is>
          <t>G-Scale digitális zsebmérleg 50 g - 0,001 g (kalibráló súllyal)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HED2441</t>
        </is>
      </c>
      <c r="B1531" s="14" t="inlineStr">
        <is>
          <t>Boveda páratartalom regulációs tasak (RH 62%; 320g)</t>
        </is>
      </c>
      <c r="C1531" s="14" t="inlineStr">
        <is>
          <t>–</t>
        </is>
      </c>
      <c r="D1531" s="14" t="inlineStr"/>
      <c r="E1531" s="14" t="inlineStr">
        <is>
          <t>Nem tartozik ide</t>
        </is>
      </c>
      <c r="F1531" s="14" t="inlineStr">
        <is>
          <t>az elmúlt 30 napban</t>
        </is>
      </c>
      <c r="G1531" s="14" t="inlineStr">
        <is>
          <t>Más főkategória terméke</t>
        </is>
      </c>
    </row>
    <row r="1532">
      <c r="A1532" s="14" t="inlineStr">
        <is>
          <t>GRO1076</t>
        </is>
      </c>
      <c r="B1532" s="14" t="inlineStr">
        <is>
          <t>Can Filter Can Lite Szénszűrő (acél) 2000 m3/h szűrővég: 250 mm</t>
        </is>
      </c>
      <c r="C1532" s="14" t="inlineStr">
        <is>
          <t>Aktív szénszűrő, előszűrő</t>
        </is>
      </c>
      <c r="D1532" s="14" t="inlineStr"/>
      <c r="E1532" s="14" t="inlineStr">
        <is>
          <t>Nem aktív</t>
        </is>
      </c>
      <c r="F1532" s="14" t="inlineStr">
        <is>
          <t>az elmúlt 6 hónapban</t>
        </is>
      </c>
      <c r="G1532" s="14" t="inlineStr">
        <is>
          <t>Nincs az élő kínálatban – Aktív szénszűrő (Can-Lite, Can Original, Can-Inline, Prima Klima, DF16, AC Infinity…)</t>
        </is>
      </c>
    </row>
    <row r="1533">
      <c r="A1533" s="14" t="inlineStr">
        <is>
          <t>GRO2510</t>
        </is>
      </c>
      <c r="B1533" s="14" t="inlineStr">
        <is>
          <t>Can Filter Can Lite Szénszűrő (acél) 3500 m3/h szűrővég: 355 mm</t>
        </is>
      </c>
      <c r="C1533" s="14" t="inlineStr">
        <is>
          <t>Aktív szénszűrő, előszűrő</t>
        </is>
      </c>
      <c r="D1533" s="14" t="inlineStr"/>
      <c r="E1533" s="14" t="inlineStr">
        <is>
          <t>Nem aktív</t>
        </is>
      </c>
      <c r="F1533" s="14" t="inlineStr">
        <is>
          <t>az elmúlt 6 hónapban</t>
        </is>
      </c>
      <c r="G1533" s="14" t="inlineStr">
        <is>
          <t>Nincs az élő kínálatban – Aktív szénszűrő (Can-Lite, Can Original, Can-Inline, Prima Klima, DF16, AC Infinity…)</t>
        </is>
      </c>
    </row>
    <row r="1534">
      <c r="A1534" s="14" t="inlineStr">
        <is>
          <t>GRO3212</t>
        </is>
      </c>
      <c r="B1534" s="14" t="inlineStr">
        <is>
          <t>CAN Original Prémium Szénszűrő CF 1400 m3/h, vég: 250 mm</t>
        </is>
      </c>
      <c r="C1534" s="14" t="inlineStr">
        <is>
          <t>Aktív szénszűrő, előszűrő</t>
        </is>
      </c>
      <c r="D1534" s="14" t="inlineStr"/>
      <c r="E1534" s="14" t="inlineStr">
        <is>
          <t>Nem aktív</t>
        </is>
      </c>
      <c r="F1534" s="14" t="inlineStr">
        <is>
          <t>az elmúlt 6 hónapban</t>
        </is>
      </c>
      <c r="G1534" s="14" t="inlineStr">
        <is>
          <t>Nincs az élő kínálatban – Aktív szénszűrő (Can-Lite, Can Original, Can-Inline, Prima Klima, DF16, AC Infinity…)</t>
        </is>
      </c>
    </row>
    <row r="1535">
      <c r="A1535" s="14" t="inlineStr">
        <is>
          <t>GRO3213</t>
        </is>
      </c>
      <c r="B1535" s="14" t="inlineStr">
        <is>
          <t>Can-Filter Original Prémium Szénszűrő 1000 m3/h, vég: 250 mm, hossz: 75 cm</t>
        </is>
      </c>
      <c r="C1535" s="14" t="inlineStr">
        <is>
          <t>Aktív szénszűrő, előszűrő</t>
        </is>
      </c>
      <c r="D1535" s="14" t="inlineStr"/>
      <c r="E1535" s="14" t="inlineStr">
        <is>
          <t>Nem aktív</t>
        </is>
      </c>
      <c r="F1535" s="14" t="inlineStr">
        <is>
          <t>2024-10 – 2025-09 (lehet, hogy már nem aktív)</t>
        </is>
      </c>
      <c r="G1535" s="14" t="inlineStr">
        <is>
          <t>Nincs az élő kínálatban – Aktív szénszűrő (Can-Lite, Can Original, Can-Inline, Prima Klima, DF16, AC Infinity…)</t>
        </is>
      </c>
    </row>
    <row r="1536">
      <c r="A1536" s="14" t="inlineStr">
        <is>
          <t>GRO3415</t>
        </is>
      </c>
      <c r="B1536" s="14" t="inlineStr">
        <is>
          <t>Can Filters Can-Inline Szénszűrő 600 m3/h / 150 mm</t>
        </is>
      </c>
      <c r="C1536" s="14" t="inlineStr">
        <is>
          <t>Aktív szénszűrő, előszűrő</t>
        </is>
      </c>
      <c r="D1536" s="14" t="inlineStr"/>
      <c r="E1536" s="14" t="inlineStr">
        <is>
          <t>Nem aktív</t>
        </is>
      </c>
      <c r="F1536" s="14" t="inlineStr">
        <is>
          <t>az elmúlt 6 hónapban</t>
        </is>
      </c>
      <c r="G1536" s="14" t="inlineStr">
        <is>
          <t>Nincs az élő kínálatban – Aktív szénszűrő (Can-Lite, Can Original, Can-Inline, Prima Klima, DF16, AC Infinity…)</t>
        </is>
      </c>
    </row>
    <row r="1537">
      <c r="A1537" s="14" t="inlineStr">
        <is>
          <t>GRO3421</t>
        </is>
      </c>
      <c r="B1537" s="14" t="inlineStr">
        <is>
          <t>Can Lite Pre filter előszűrő (Can-lite szénszűrőhöz) Pre Filter 600 m3/h (acél házú szűrőhöz)</t>
        </is>
      </c>
      <c r="C1537" s="14" t="inlineStr">
        <is>
          <t>Aktív szénszűrő, előszűrő</t>
        </is>
      </c>
      <c r="D1537" s="14" t="inlineStr"/>
      <c r="E1537" s="14" t="inlineStr">
        <is>
          <t>Nem aktív</t>
        </is>
      </c>
      <c r="F1537" s="14" t="inlineStr">
        <is>
          <t>2024-10 – 2025-09 (lehet, hogy már nem aktív)</t>
        </is>
      </c>
      <c r="G1537" s="14" t="inlineStr">
        <is>
          <t>Nincs az élő kínálatban – Előszűrő, utántöltő szénpellet</t>
        </is>
      </c>
    </row>
    <row r="1538">
      <c r="A1538" s="14" t="inlineStr">
        <is>
          <t>GRO3422</t>
        </is>
      </c>
      <c r="B1538" s="14" t="inlineStr">
        <is>
          <t>Can Lite Pre filter előszűrő (szénszűrőhöz) 800 m3/h (acél házú szűrőhöz)</t>
        </is>
      </c>
      <c r="C1538" s="14" t="inlineStr">
        <is>
          <t>Aktív szénszűrő, előszűrő</t>
        </is>
      </c>
      <c r="D1538" s="14" t="inlineStr"/>
      <c r="E1538" s="14" t="inlineStr">
        <is>
          <t>Nem aktív</t>
        </is>
      </c>
      <c r="F1538" s="14" t="inlineStr">
        <is>
          <t>2025-10 – 2026-04</t>
        </is>
      </c>
      <c r="G1538" s="14" t="inlineStr">
        <is>
          <t>Nincs az élő kínálatban – Előszűrő, utántöltő szénpellet</t>
        </is>
      </c>
    </row>
    <row r="1539">
      <c r="A1539" s="14" t="inlineStr">
        <is>
          <t>GRO3423</t>
        </is>
      </c>
      <c r="B1539" s="14" t="inlineStr">
        <is>
          <t>Can Lite Pre filter előszűrő (szénszűrőhöz) 1000 m3/h (acél házú szűrőhöz)</t>
        </is>
      </c>
      <c r="C1539" s="14" t="inlineStr">
        <is>
          <t>Aktív szénszűrő, előszűrő</t>
        </is>
      </c>
      <c r="D1539" s="14" t="inlineStr"/>
      <c r="E1539" s="14" t="inlineStr">
        <is>
          <t>Nem aktív</t>
        </is>
      </c>
      <c r="F1539" s="14" t="inlineStr">
        <is>
          <t>2025-10 – 2026-04</t>
        </is>
      </c>
      <c r="G1539" s="14" t="inlineStr">
        <is>
          <t>Nincs az élő kínálatban – Előszűrő, utántöltő szénpellet</t>
        </is>
      </c>
    </row>
    <row r="1540">
      <c r="A1540" s="14" t="inlineStr">
        <is>
          <t>GRO3424</t>
        </is>
      </c>
      <c r="B1540" s="14" t="inlineStr">
        <is>
          <t>Can Lite Pre filter előszűrő (szénszűrőhöz) 1500 m3/h (acél házú szűrőhöz)</t>
        </is>
      </c>
      <c r="C1540" s="14" t="inlineStr">
        <is>
          <t>Aktív szénszűrő, előszűrő</t>
        </is>
      </c>
      <c r="D1540" s="14" t="inlineStr"/>
      <c r="E1540" s="14" t="inlineStr">
        <is>
          <t>Nem aktív</t>
        </is>
      </c>
      <c r="F1540" s="14" t="inlineStr">
        <is>
          <t>2025-10 – 2026-04</t>
        </is>
      </c>
      <c r="G1540" s="14" t="inlineStr">
        <is>
          <t>Nincs az élő kínálatban – Előszűrő, utántöltő szénpellet</t>
        </is>
      </c>
    </row>
    <row r="1541">
      <c r="A1541" s="14" t="inlineStr">
        <is>
          <t>GRO3426</t>
        </is>
      </c>
      <c r="B1541" s="14" t="inlineStr">
        <is>
          <t>Can Lite Pre filter előszűrő (szénszűrőhöz) 2500 m3/h (acél házú szűrőhöz)</t>
        </is>
      </c>
      <c r="C1541" s="14" t="inlineStr">
        <is>
          <t>Aktív szénszűrő, előszűrő</t>
        </is>
      </c>
      <c r="D1541" s="14" t="inlineStr"/>
      <c r="E1541" s="14" t="inlineStr">
        <is>
          <t>Nem aktív</t>
        </is>
      </c>
      <c r="F1541" s="14" t="inlineStr">
        <is>
          <t>az elmúlt 6 hónapban</t>
        </is>
      </c>
      <c r="G1541" s="14" t="inlineStr">
        <is>
          <t>Nincs az élő kínálatban – Előszűrő, utántöltő szénpellet</t>
        </is>
      </c>
    </row>
    <row r="1542">
      <c r="A1542" s="14" t="inlineStr">
        <is>
          <t>GRO3427</t>
        </is>
      </c>
      <c r="B1542" s="14" t="inlineStr">
        <is>
          <t>Can Lite Pre filter előszűrő (Can-lite szénszűrőhöz) Pre Filter 3000 m3/h (acél házú szűrőhöz)</t>
        </is>
      </c>
      <c r="C1542" s="14" t="inlineStr">
        <is>
          <t>Aktív szénszűrő, előszűrő</t>
        </is>
      </c>
      <c r="D1542" s="14" t="inlineStr"/>
      <c r="E1542" s="14" t="inlineStr">
        <is>
          <t>Nem aktív</t>
        </is>
      </c>
      <c r="F1542" s="14" t="inlineStr">
        <is>
          <t>2024-10 – 2025-09 (lehet, hogy már nem aktív)</t>
        </is>
      </c>
      <c r="G1542" s="14" t="inlineStr">
        <is>
          <t>Nincs az élő kínálatban – Előszűrő, utántöltő szénpellet</t>
        </is>
      </c>
    </row>
    <row r="1543">
      <c r="A1543" s="14" t="inlineStr">
        <is>
          <t>GRO3428</t>
        </is>
      </c>
      <c r="B1543" s="14" t="inlineStr">
        <is>
          <t>Can Lite Pre filter előszűrő (szénszűrőhöz) 3500 m3/h (acél házú szűrőhöz)</t>
        </is>
      </c>
      <c r="C1543" s="14" t="inlineStr">
        <is>
          <t>Aktív szénszűrő, előszűrő</t>
        </is>
      </c>
      <c r="D1543" s="14" t="inlineStr"/>
      <c r="E1543" s="14" t="inlineStr">
        <is>
          <t>Nem aktív</t>
        </is>
      </c>
      <c r="F1543" s="14" t="inlineStr">
        <is>
          <t>2025-10 – 2026-04</t>
        </is>
      </c>
      <c r="G1543" s="14" t="inlineStr">
        <is>
          <t>Nincs az élő kínálatban – Előszűrő, utántöltő szénpellet</t>
        </is>
      </c>
    </row>
    <row r="1544">
      <c r="A1544" s="14" t="inlineStr">
        <is>
          <t>GRO3429</t>
        </is>
      </c>
      <c r="B1544" s="14" t="inlineStr">
        <is>
          <t>Can Lite Pre filter előszűrő (Can-lite szénszűrőhöz) Pre Filter 4500 m3/h (acél házú szűrőhöz)</t>
        </is>
      </c>
      <c r="C1544" s="14" t="inlineStr">
        <is>
          <t>Aktív szénszűrő, előszűrő</t>
        </is>
      </c>
      <c r="D1544" s="14" t="inlineStr"/>
      <c r="E1544" s="14" t="inlineStr">
        <is>
          <t>Nem aktív</t>
        </is>
      </c>
      <c r="F1544" s="14" t="inlineStr">
        <is>
          <t>2024-10 – 2025-09 (lehet, hogy már nem aktív)</t>
        </is>
      </c>
      <c r="G1544" s="14" t="inlineStr">
        <is>
          <t>Nincs az élő kínálatban – Előszűrő, utántöltő szénpellet</t>
        </is>
      </c>
    </row>
    <row r="1545">
      <c r="A1545" s="14" t="inlineStr">
        <is>
          <t>GRO3466</t>
        </is>
      </c>
      <c r="B1545" s="14" t="inlineStr">
        <is>
          <t>Can Filters Can-Inline Szénszűrő 600 m3/h / 125 mm</t>
        </is>
      </c>
      <c r="C1545" s="14" t="inlineStr">
        <is>
          <t>Aktív szénszűrő, előszűrő</t>
        </is>
      </c>
      <c r="D1545" s="14" t="inlineStr"/>
      <c r="E1545" s="14" t="inlineStr">
        <is>
          <t>Nem aktív</t>
        </is>
      </c>
      <c r="F1545" s="14" t="inlineStr">
        <is>
          <t>az elmúlt 6 hónapban</t>
        </is>
      </c>
      <c r="G1545" s="14" t="inlineStr">
        <is>
          <t>Nincs az élő kínálatban – Aktív szénszűrő (Can-Lite, Can Original, Can-Inline, Prima Klima, DF16, AC Infinity…)</t>
        </is>
      </c>
    </row>
    <row r="1546">
      <c r="A1546" s="14" t="inlineStr">
        <is>
          <t>GRO3504</t>
        </is>
      </c>
      <c r="B1546" s="14" t="inlineStr">
        <is>
          <t>CKV3 szén pellet (Can Filter Original aktív szénszűrőhöz) 1 kg</t>
        </is>
      </c>
      <c r="C1546" s="14" t="inlineStr">
        <is>
          <t>Aktív szénszűrő, előszűrő</t>
        </is>
      </c>
      <c r="D1546" s="14" t="inlineStr"/>
      <c r="E1546" s="14" t="inlineStr">
        <is>
          <t>Nem aktív</t>
        </is>
      </c>
      <c r="F1546" s="14" t="inlineStr">
        <is>
          <t>az elmúlt 6 hónapban</t>
        </is>
      </c>
      <c r="G1546" s="14" t="inlineStr">
        <is>
          <t>Nincs az élő kínálatban – Előszűrő, utántöltő szénpellet</t>
        </is>
      </c>
    </row>
    <row r="1547">
      <c r="A1547" s="14" t="inlineStr">
        <is>
          <t>GRO3538</t>
        </is>
      </c>
      <c r="B1547" s="14" t="inlineStr">
        <is>
          <t>Can-Inline Szénszűrő 600 m3/h vég: 160 mm</t>
        </is>
      </c>
      <c r="C1547" s="14" t="inlineStr">
        <is>
          <t>Aktív szénszűrő, előszűrő</t>
        </is>
      </c>
      <c r="D1547" s="14" t="inlineStr"/>
      <c r="E1547" s="14" t="inlineStr">
        <is>
          <t>Nem aktív</t>
        </is>
      </c>
      <c r="F1547" s="14" t="inlineStr">
        <is>
          <t>2024-10 – 2025-09 (lehet, hogy már nem aktív)</t>
        </is>
      </c>
      <c r="G1547" s="14" t="inlineStr">
        <is>
          <t>Nincs az élő kínálatban – Aktív szénszűrő (Can-Lite, Can Original, Can-Inline, Prima Klima, DF16, AC Infinity…)</t>
        </is>
      </c>
    </row>
    <row r="1548">
      <c r="A1548" s="14" t="inlineStr">
        <is>
          <t>GRO3539</t>
        </is>
      </c>
      <c r="B1548" s="14" t="inlineStr">
        <is>
          <t>Can-Inline Szénszűrő 1500 m3/h vég: 250 mm</t>
        </is>
      </c>
      <c r="C1548" s="14" t="inlineStr">
        <is>
          <t>Aktív szénszűrő, előszűrő</t>
        </is>
      </c>
      <c r="D1548" s="14" t="inlineStr"/>
      <c r="E1548" s="14" t="inlineStr">
        <is>
          <t>Nem aktív</t>
        </is>
      </c>
      <c r="F1548" s="14" t="inlineStr">
        <is>
          <t>2024-10 – 2025-09 (lehet, hogy már nem aktív)</t>
        </is>
      </c>
      <c r="G1548" s="14" t="inlineStr">
        <is>
          <t>Nincs az élő kínálatban – Aktív szénszűrő (Can-Lite, Can Original, Can-Inline, Prima Klima, DF16, AC Infinity…)</t>
        </is>
      </c>
    </row>
    <row r="1549">
      <c r="A1549" s="14" t="inlineStr">
        <is>
          <t>GRO3540</t>
        </is>
      </c>
      <c r="B1549" s="14" t="inlineStr">
        <is>
          <t>Can Filters Can-Inline Szénszűrő 2500 m3/h / 250 mm</t>
        </is>
      </c>
      <c r="C1549" s="14" t="inlineStr">
        <is>
          <t>Aktív szénszűrő, előszűrő</t>
        </is>
      </c>
      <c r="D1549" s="14" t="inlineStr"/>
      <c r="E1549" s="14" t="inlineStr">
        <is>
          <t>Nem aktív</t>
        </is>
      </c>
      <c r="F1549" s="14" t="inlineStr">
        <is>
          <t>az elmúlt 6 hónapban</t>
        </is>
      </c>
      <c r="G1549" s="14" t="inlineStr">
        <is>
          <t>Nincs az élő kínálatban – Aktív szénszűrő (Can-Lite, Can Original, Can-Inline, Prima Klima, DF16, AC Infinity…)</t>
        </is>
      </c>
    </row>
    <row r="1550">
      <c r="A1550" s="14" t="inlineStr">
        <is>
          <t>GRO3547</t>
        </is>
      </c>
      <c r="B1550" s="14" t="inlineStr">
        <is>
          <t>Can Filter Can Lite Szénszűrő (acél) 4500 m3/h szűrővég: 315 mm</t>
        </is>
      </c>
      <c r="C1550" s="14" t="inlineStr">
        <is>
          <t>Aktív szénszűrő, előszűrő</t>
        </is>
      </c>
      <c r="D1550" s="14" t="inlineStr"/>
      <c r="E1550" s="14" t="inlineStr">
        <is>
          <t>Nem aktív</t>
        </is>
      </c>
      <c r="F1550" s="14" t="inlineStr">
        <is>
          <t>az elmúlt 6 hónapban</t>
        </is>
      </c>
      <c r="G1550" s="14" t="inlineStr">
        <is>
          <t>Nincs az élő kínálatban – Aktív szénszűrő (Can-Lite, Can Original, Can-Inline, Prima Klima, DF16, AC Infinity…)</t>
        </is>
      </c>
    </row>
    <row r="1551">
      <c r="A1551" s="14" t="inlineStr">
        <is>
          <t>GRO3613</t>
        </is>
      </c>
      <c r="B1551" s="14" t="inlineStr">
        <is>
          <t>Secret Jardin DF16 szénszűrő 250 m3/óra</t>
        </is>
      </c>
      <c r="C1551" s="14" t="inlineStr">
        <is>
          <t>Aktív szénszűrő, előszűrő</t>
        </is>
      </c>
      <c r="D1551" s="14" t="inlineStr"/>
      <c r="E1551" s="14" t="inlineStr">
        <is>
          <t>Nem aktív</t>
        </is>
      </c>
      <c r="F1551" s="14" t="inlineStr">
        <is>
          <t>az elmúlt 6 hónapban</t>
        </is>
      </c>
      <c r="G1551" s="14" t="inlineStr">
        <is>
          <t>Nincs az élő kínálatban – Aktív szénszűrő (Can-Lite, Can Original, Can-Inline, Prima Klima, DF16, AC Infinity…)</t>
        </is>
      </c>
    </row>
    <row r="1552">
      <c r="A1552" s="14" t="inlineStr">
        <is>
          <t>GRO3625</t>
        </is>
      </c>
      <c r="B1552" s="14" t="inlineStr">
        <is>
          <t>Prima klima Industry Line szénszűrő Industry Line K1608 d:160mm 1150m3/h</t>
        </is>
      </c>
      <c r="C1552" s="14" t="inlineStr">
        <is>
          <t>Aktív szénszűrő, előszűrő</t>
        </is>
      </c>
      <c r="D1552" s="14" t="inlineStr"/>
      <c r="E1552" s="14" t="inlineStr">
        <is>
          <t>Nem aktív</t>
        </is>
      </c>
      <c r="F1552" s="14" t="inlineStr">
        <is>
          <t>2025-10 – 2026-04</t>
        </is>
      </c>
      <c r="G1552" s="14" t="inlineStr">
        <is>
          <t>Nincs az élő kínálatban – Aktív szénszűrő (Can-Lite, Can Original, Can-Inline, Prima Klima, DF16, AC Infinity…)</t>
        </is>
      </c>
    </row>
    <row r="1553">
      <c r="A1553" s="14" t="inlineStr">
        <is>
          <t>GRO3627</t>
        </is>
      </c>
      <c r="B1553" s="14" t="inlineStr">
        <is>
          <t>Prima klima Industry Line szénszűrő Industry Line K1610 d:200mm 1650m3/h</t>
        </is>
      </c>
      <c r="C1553" s="14" t="inlineStr">
        <is>
          <t>Aktív szénszűrő, előszűrő</t>
        </is>
      </c>
      <c r="D1553" s="14" t="inlineStr"/>
      <c r="E1553" s="14" t="inlineStr">
        <is>
          <t>Nem aktív</t>
        </is>
      </c>
      <c r="F1553" s="14" t="inlineStr">
        <is>
          <t>az elmúlt 6 hónapban</t>
        </is>
      </c>
      <c r="G1553" s="14" t="inlineStr">
        <is>
          <t>Nincs az élő kínálatban – Aktív szénszűrő (Can-Lite, Can Original, Can-Inline, Prima Klima, DF16, AC Infinity…)</t>
        </is>
      </c>
    </row>
    <row r="1554">
      <c r="A1554" s="14" t="inlineStr">
        <is>
          <t>GRO3634</t>
        </is>
      </c>
      <c r="B1554" s="14" t="inlineStr">
        <is>
          <t>Prima klima Ecoline szénszűrő K2603-150 d:150mm 900m3/h</t>
        </is>
      </c>
      <c r="C1554" s="14" t="inlineStr">
        <is>
          <t>Aktív szénszűrő, előszűrő</t>
        </is>
      </c>
      <c r="D1554" s="14" t="inlineStr"/>
      <c r="E1554" s="14" t="inlineStr">
        <is>
          <t>Nem aktív</t>
        </is>
      </c>
      <c r="F1554" s="14" t="inlineStr">
        <is>
          <t>az elmúlt 6 hónapban</t>
        </is>
      </c>
      <c r="G1554" s="14" t="inlineStr">
        <is>
          <t>Nincs az élő kínálatban – Aktív szénszűrő (Can-Lite, Can Original, Can-Inline, Prima Klima, DF16, AC Infinity…)</t>
        </is>
      </c>
    </row>
    <row r="1555">
      <c r="A1555" s="14" t="inlineStr">
        <is>
          <t>GRO3794</t>
        </is>
      </c>
      <c r="B1555" s="14" t="inlineStr">
        <is>
          <t>Szénszűrő EL 1500</t>
        </is>
      </c>
      <c r="C1555" s="14" t="inlineStr">
        <is>
          <t>Aktív szénszűrő, előszűrő</t>
        </is>
      </c>
      <c r="D1555" s="14" t="inlineStr"/>
      <c r="E1555" s="14" t="inlineStr">
        <is>
          <t>Nem aktív</t>
        </is>
      </c>
      <c r="F1555" s="14" t="inlineStr">
        <is>
          <t>2024-10 – 2025-09 (lehet, hogy már nem aktív)</t>
        </is>
      </c>
      <c r="G1555" s="14" t="inlineStr">
        <is>
          <t>Nincs az élő kínálatban – Aktív szénszűrő (Can-Lite, Can Original, Can-Inline, Prima Klima, DF16, AC Infinity…)</t>
        </is>
      </c>
    </row>
    <row r="1556">
      <c r="A1556" s="14" t="inlineStr">
        <is>
          <t>GRO3795</t>
        </is>
      </c>
      <c r="B1556" s="14" t="inlineStr">
        <is>
          <t>Szénszűrő EL 1000</t>
        </is>
      </c>
      <c r="C1556" s="14" t="inlineStr">
        <is>
          <t>Aktív szénszűrő, előszűrő</t>
        </is>
      </c>
      <c r="D1556" s="14" t="inlineStr"/>
      <c r="E1556" s="14" t="inlineStr">
        <is>
          <t>Nem aktív</t>
        </is>
      </c>
      <c r="F1556" s="14" t="inlineStr">
        <is>
          <t>2024-10 – 2025-09 (lehet, hogy már nem aktív)</t>
        </is>
      </c>
      <c r="G1556" s="14" t="inlineStr">
        <is>
          <t>Nincs az élő kínálatban – Aktív szénszűrő (Can-Lite, Can Original, Can-Inline, Prima Klima, DF16, AC Infinity…)</t>
        </is>
      </c>
    </row>
    <row r="1557">
      <c r="A1557" s="14" t="inlineStr">
        <is>
          <t>GRO3797</t>
        </is>
      </c>
      <c r="B1557" s="14" t="inlineStr">
        <is>
          <t>Szénszűrő EL 600</t>
        </is>
      </c>
      <c r="C1557" s="14" t="inlineStr">
        <is>
          <t>Aktív szénszűrő, előszűrő</t>
        </is>
      </c>
      <c r="D1557" s="14" t="inlineStr"/>
      <c r="E1557" s="14" t="inlineStr">
        <is>
          <t>Nem aktív</t>
        </is>
      </c>
      <c r="F1557" s="14" t="inlineStr">
        <is>
          <t>2025-10 – 2026-04</t>
        </is>
      </c>
      <c r="G1557" s="14" t="inlineStr">
        <is>
          <t>Nincs az élő kínálatban – Aktív szénszűrő (Can-Lite, Can Original, Can-Inline, Prima Klima, DF16, AC Infinity…)</t>
        </is>
      </c>
    </row>
    <row r="1558">
      <c r="A1558" s="14" t="inlineStr">
        <is>
          <t>GRO3798</t>
        </is>
      </c>
      <c r="B1558" s="14" t="inlineStr">
        <is>
          <t>Szénszűrő EL 425</t>
        </is>
      </c>
      <c r="C1558" s="14" t="inlineStr">
        <is>
          <t>Aktív szénszűrő, előszűrő</t>
        </is>
      </c>
      <c r="D1558" s="14" t="inlineStr"/>
      <c r="E1558" s="14" t="inlineStr">
        <is>
          <t>Nem aktív</t>
        </is>
      </c>
      <c r="F1558" s="14" t="inlineStr">
        <is>
          <t>az elmúlt 6 hónapban</t>
        </is>
      </c>
      <c r="G1558" s="14" t="inlineStr">
        <is>
          <t>Nincs az élő kínálatban – Aktív szénszűrő (Can-Lite, Can Original, Can-Inline, Prima Klima, DF16, AC Infinity…)</t>
        </is>
      </c>
    </row>
    <row r="1559">
      <c r="A1559" s="14" t="inlineStr">
        <is>
          <t>GRO3799</t>
        </is>
      </c>
      <c r="B1559" s="14" t="inlineStr">
        <is>
          <t>Szénszűrő EL 300</t>
        </is>
      </c>
      <c r="C1559" s="14" t="inlineStr">
        <is>
          <t>Aktív szénszűrő, előszűrő</t>
        </is>
      </c>
      <c r="D1559" s="14" t="inlineStr"/>
      <c r="E1559" s="14" t="inlineStr">
        <is>
          <t>Nem aktív</t>
        </is>
      </c>
      <c r="F1559" s="14" t="inlineStr">
        <is>
          <t>az elmúlt 6 hónapban</t>
        </is>
      </c>
      <c r="G1559" s="14" t="inlineStr">
        <is>
          <t>Nincs az élő kínálatban – Aktív szénszűrő (Can-Lite, Can Original, Can-Inline, Prima Klima, DF16, AC Infinity…)</t>
        </is>
      </c>
    </row>
    <row r="1560">
      <c r="A1560" s="14" t="inlineStr">
        <is>
          <t>GRO3950</t>
        </is>
      </c>
      <c r="B1560" s="14" t="inlineStr">
        <is>
          <t>Prima Klima Industry Line K1607 720 m3/h Pre Filter</t>
        </is>
      </c>
      <c r="C1560" s="14" t="inlineStr">
        <is>
          <t>Aktív szénszűrő, előszűrő</t>
        </is>
      </c>
      <c r="D1560" s="14" t="inlineStr"/>
      <c r="E1560" s="14" t="inlineStr">
        <is>
          <t>Nem aktív</t>
        </is>
      </c>
      <c r="F1560" s="14" t="inlineStr">
        <is>
          <t>az elmúlt 6 hónapban</t>
        </is>
      </c>
      <c r="G1560" s="14" t="inlineStr">
        <is>
          <t>Nincs az élő kínálatban – Előszűrő, utántöltő szénpellet</t>
        </is>
      </c>
    </row>
    <row r="1561">
      <c r="A1561" s="14" t="inlineStr">
        <is>
          <t>GRO3951</t>
        </is>
      </c>
      <c r="B1561" s="14" t="inlineStr">
        <is>
          <t>Prima Klima Industry Line előszűrő (K1608 szénszűrőhöz)</t>
        </is>
      </c>
      <c r="C1561" s="14" t="inlineStr">
        <is>
          <t>Aktív szénszűrő, előszűrő</t>
        </is>
      </c>
      <c r="D1561" s="14" t="inlineStr"/>
      <c r="E1561" s="14" t="inlineStr">
        <is>
          <t>Nem aktív</t>
        </is>
      </c>
      <c r="F1561" s="14" t="inlineStr">
        <is>
          <t>2025-10 – 2026-04</t>
        </is>
      </c>
      <c r="G1561" s="14" t="inlineStr">
        <is>
          <t>Nincs az élő kínálatban – Előszűrő, utántöltő szénpellet</t>
        </is>
      </c>
    </row>
    <row r="1562">
      <c r="A1562" s="14" t="inlineStr">
        <is>
          <t>GRO4145</t>
        </is>
      </c>
      <c r="B1562" s="14" t="inlineStr">
        <is>
          <t>Garden Highpro Proactiv szénszűrő</t>
        </is>
      </c>
      <c r="C1562" s="14" t="inlineStr">
        <is>
          <t>Aktív szénszűrő, előszűrő</t>
        </is>
      </c>
      <c r="D1562" s="14" t="inlineStr"/>
      <c r="E1562" s="14" t="inlineStr">
        <is>
          <t>Nem aktív</t>
        </is>
      </c>
      <c r="F1562" s="14" t="inlineStr">
        <is>
          <t>2024-10 – 2025-09 (lehet, hogy már nem aktív)</t>
        </is>
      </c>
      <c r="G1562" s="14" t="inlineStr">
        <is>
          <t>Nincs az élő kínálatban – Aktív szénszűrő (Can-Lite, Can Original, Can-Inline, Prima Klima, DF16, AC Infinity…)</t>
        </is>
      </c>
    </row>
    <row r="1563">
      <c r="A1563" s="14" t="inlineStr">
        <is>
          <t>GRO4328</t>
        </is>
      </c>
      <c r="B1563" s="14" t="inlineStr">
        <is>
          <t>Can-Filters Can-Lite szénszűrő d: 250 mm 3000 m3/h</t>
        </is>
      </c>
      <c r="C1563" s="14" t="inlineStr">
        <is>
          <t>Aktív szénszűrő, előszűrő</t>
        </is>
      </c>
      <c r="D1563" s="14" t="inlineStr"/>
      <c r="E1563" s="14" t="inlineStr">
        <is>
          <t>Nem aktív</t>
        </is>
      </c>
      <c r="F1563" s="14" t="inlineStr">
        <is>
          <t>az elmúlt 6 hónapban</t>
        </is>
      </c>
      <c r="G1563" s="14" t="inlineStr">
        <is>
          <t>Nincs az élő kínálatban – Aktív szénszűrő (Can-Lite, Can Original, Can-Inline, Prima Klima, DF16, AC Infinity…)</t>
        </is>
      </c>
    </row>
    <row r="1564">
      <c r="A1564" s="14" t="inlineStr">
        <is>
          <t>GRO1655</t>
        </is>
      </c>
      <c r="B1564" s="14" t="inlineStr">
        <is>
          <t>Can Fan csőventilátor RK 100LS</t>
        </is>
      </c>
      <c r="C1564" s="14" t="inlineStr">
        <is>
          <t>Csőventilátor, elszívó ventilátor</t>
        </is>
      </c>
      <c r="D1564" s="14" t="inlineStr"/>
      <c r="E1564" s="14" t="inlineStr">
        <is>
          <t>Nem aktív</t>
        </is>
      </c>
      <c r="F1564" s="14" t="inlineStr">
        <is>
          <t>2025-10 – 2026-04</t>
        </is>
      </c>
      <c r="G1564" s="14" t="inlineStr">
        <is>
          <t>Nincs az élő kínálatban – Csőventilátor (Can-Fan, Vents, Prima Klima, AC Infinity, Garden Highpro, DF16)</t>
        </is>
      </c>
    </row>
    <row r="1565">
      <c r="A1565" s="14" t="inlineStr">
        <is>
          <t>GRO1662</t>
        </is>
      </c>
      <c r="B1565" s="14" t="inlineStr">
        <is>
          <t>Can-Fan ISO-Max hangtompítós csőventilátor 250mm 2310m3</t>
        </is>
      </c>
      <c r="C1565" s="14" t="inlineStr">
        <is>
          <t>Csőventilátor, elszívó ventilátor</t>
        </is>
      </c>
      <c r="D1565" s="14" t="inlineStr"/>
      <c r="E1565" s="14" t="inlineStr">
        <is>
          <t>Nem aktív</t>
        </is>
      </c>
      <c r="F1565" s="14" t="inlineStr">
        <is>
          <t>2024-10 – 2025-09 (lehet, hogy már nem aktív)</t>
        </is>
      </c>
      <c r="G1565" s="14" t="inlineStr">
        <is>
          <t>Nincs az élő kínálatban – Csőventilátor (Can-Fan, Vents, Prima Klima, AC Infinity, Garden Highpro, DF16)</t>
        </is>
      </c>
    </row>
    <row r="1566">
      <c r="A1566" s="14" t="inlineStr">
        <is>
          <t>GRO2052</t>
        </is>
      </c>
      <c r="B1566" s="14" t="inlineStr">
        <is>
          <t>Vents TT ventilátor 150</t>
        </is>
      </c>
      <c r="C1566" s="14" t="inlineStr">
        <is>
          <t>Csőventilátor, elszívó ventilátor</t>
        </is>
      </c>
      <c r="D1566" s="14" t="inlineStr"/>
      <c r="E1566" s="14" t="inlineStr">
        <is>
          <t>Nem aktív</t>
        </is>
      </c>
      <c r="F1566" s="14" t="inlineStr">
        <is>
          <t>az elmúlt 6 hónapban</t>
        </is>
      </c>
      <c r="G1566" s="14" t="inlineStr">
        <is>
          <t>Nincs az élő kínálatban – Csőventilátor (Can-Fan, Vents, Prima Klima, AC Infinity, Garden Highpro, DF16)</t>
        </is>
      </c>
    </row>
    <row r="1567">
      <c r="A1567" s="14" t="inlineStr">
        <is>
          <t>GRO2056</t>
        </is>
      </c>
      <c r="B1567" s="14" t="inlineStr">
        <is>
          <t>Vents TT Silent-M ventilátor 125</t>
        </is>
      </c>
      <c r="C1567" s="14" t="inlineStr">
        <is>
          <t>Csőventilátor, elszívó ventilátor</t>
        </is>
      </c>
      <c r="D1567" s="14" t="inlineStr"/>
      <c r="E1567" s="14" t="inlineStr">
        <is>
          <t>Nem aktív</t>
        </is>
      </c>
      <c r="F1567" s="14" t="inlineStr">
        <is>
          <t>az elmúlt 6 hónapban</t>
        </is>
      </c>
      <c r="G1567" s="14" t="inlineStr">
        <is>
          <t>Nincs az élő kínálatban – Csőventilátor (Can-Fan, Vents, Prima Klima, AC Infinity, Garden Highpro, DF16)</t>
        </is>
      </c>
    </row>
    <row r="1568">
      <c r="A1568" s="14" t="inlineStr">
        <is>
          <t>GRO2990</t>
        </is>
      </c>
      <c r="B1568" s="14" t="inlineStr">
        <is>
          <t>Can-Fan MAX-Fan Pro 2 sebességes AC ventilátor 1660 m3/h</t>
        </is>
      </c>
      <c r="C1568" s="14" t="inlineStr">
        <is>
          <t>Csőventilátor, elszívó ventilátor</t>
        </is>
      </c>
      <c r="D1568" s="14" t="inlineStr"/>
      <c r="E1568" s="14" t="inlineStr">
        <is>
          <t>Nem aktív</t>
        </is>
      </c>
      <c r="F1568" s="14" t="inlineStr">
        <is>
          <t>az elmúlt 6 hónapban</t>
        </is>
      </c>
      <c r="G1568" s="14" t="inlineStr">
        <is>
          <t>Nincs az élő kínálatban – Csőventilátor (Can-Fan, Vents, Prima Klima, AC Infinity, Garden Highpro, DF16)</t>
        </is>
      </c>
    </row>
    <row r="1569">
      <c r="A1569" s="14" t="inlineStr">
        <is>
          <t>GRO2991</t>
        </is>
      </c>
      <c r="B1569" s="14" t="inlineStr">
        <is>
          <t>Can-Fan MAX-Fan Pro 2 sebességes AC ventilátor 1220 m3/h</t>
        </is>
      </c>
      <c r="C1569" s="14" t="inlineStr">
        <is>
          <t>Csőventilátor, elszívó ventilátor</t>
        </is>
      </c>
      <c r="D1569" s="14" t="inlineStr"/>
      <c r="E1569" s="14" t="inlineStr">
        <is>
          <t>Nem aktív</t>
        </is>
      </c>
      <c r="F1569" s="14" t="inlineStr">
        <is>
          <t>az elmúlt 6 hónapban</t>
        </is>
      </c>
      <c r="G1569" s="14" t="inlineStr">
        <is>
          <t>Nincs az élő kínálatban – Csőventilátor (Can-Fan, Vents, Prima Klima, AC Infinity, Garden Highpro, DF16)</t>
        </is>
      </c>
    </row>
    <row r="1570">
      <c r="A1570" s="14" t="inlineStr">
        <is>
          <t>GRO3107</t>
        </is>
      </c>
      <c r="B1570" s="14" t="inlineStr">
        <is>
          <t>Vents TT PRO Un ventilátor 315 PRO</t>
        </is>
      </c>
      <c r="C1570" s="14" t="inlineStr">
        <is>
          <t>Csőventilátor, elszívó ventilátor</t>
        </is>
      </c>
      <c r="D1570" s="14" t="inlineStr">
        <is>
          <t>Klímavezérlő: ventilátor-szabályzó, termosztát, higrosztát</t>
        </is>
      </c>
      <c r="E1570" s="14" t="inlineStr">
        <is>
          <t>Nem aktív</t>
        </is>
      </c>
      <c r="F1570" s="14" t="inlineStr">
        <is>
          <t>az elmúlt 6 hónapban</t>
        </is>
      </c>
      <c r="G1570" s="14" t="inlineStr">
        <is>
          <t>Nincs az élő kínálatban – Csőventilátor beépített / mellékelt szabályzóval (TC, Un, Cloudline)</t>
        </is>
      </c>
    </row>
    <row r="1571">
      <c r="A1571" s="14" t="inlineStr">
        <is>
          <t>GRO3134</t>
        </is>
      </c>
      <c r="B1571" s="14" t="inlineStr">
        <is>
          <t>Can-Fan MAX-Fan Pro EC villanymotoros ventilátor 200 mm 1301 m3/h</t>
        </is>
      </c>
      <c r="C1571" s="14" t="inlineStr">
        <is>
          <t>Csőventilátor, elszívó ventilátor</t>
        </is>
      </c>
      <c r="D1571" s="14" t="inlineStr"/>
      <c r="E1571" s="14" t="inlineStr">
        <is>
          <t>Nem aktív</t>
        </is>
      </c>
      <c r="F1571" s="14" t="inlineStr">
        <is>
          <t>2024-10 – 2025-09 (lehet, hogy már nem aktív)</t>
        </is>
      </c>
      <c r="G1571" s="14" t="inlineStr">
        <is>
          <t>Nincs az élő kínálatban – EC motoros csőventilátor</t>
        </is>
      </c>
    </row>
    <row r="1572">
      <c r="A1572" s="14" t="inlineStr">
        <is>
          <t>GRO3204</t>
        </is>
      </c>
      <c r="B1572" s="14" t="inlineStr">
        <is>
          <t>Can Fan csőventilátor RK 150LS</t>
        </is>
      </c>
      <c r="C1572" s="14" t="inlineStr">
        <is>
          <t>Csőventilátor, elszívó ventilátor</t>
        </is>
      </c>
      <c r="D1572" s="14" t="inlineStr"/>
      <c r="E1572" s="14" t="inlineStr">
        <is>
          <t>Nem aktív</t>
        </is>
      </c>
      <c r="F1572" s="14" t="inlineStr">
        <is>
          <t>az elmúlt 6 hónapban</t>
        </is>
      </c>
      <c r="G1572" s="14" t="inlineStr">
        <is>
          <t>Nincs az élő kínálatban – Csőventilátor (Can-Fan, Vents, Prima Klima, AC Infinity, Garden Highpro, DF16)</t>
        </is>
      </c>
    </row>
    <row r="1573">
      <c r="A1573" s="14" t="inlineStr">
        <is>
          <t>GRO3252</t>
        </is>
      </c>
      <c r="B1573" s="14" t="inlineStr">
        <is>
          <t>Can Fan csőventilátor RK 160LS</t>
        </is>
      </c>
      <c r="C1573" s="14" t="inlineStr">
        <is>
          <t>Csőventilátor, elszívó ventilátor</t>
        </is>
      </c>
      <c r="D1573" s="14" t="inlineStr"/>
      <c r="E1573" s="14" t="inlineStr">
        <is>
          <t>Nem aktív</t>
        </is>
      </c>
      <c r="F1573" s="14" t="inlineStr">
        <is>
          <t>az elmúlt 6 hónapban</t>
        </is>
      </c>
      <c r="G1573" s="14" t="inlineStr">
        <is>
          <t>Nincs az élő kínálatban – Csőventilátor (Can-Fan, Vents, Prima Klima, AC Infinity, Garden Highpro, DF16)</t>
        </is>
      </c>
    </row>
    <row r="1574">
      <c r="A1574" s="14" t="inlineStr">
        <is>
          <t>GRO3477</t>
        </is>
      </c>
      <c r="B1574" s="14" t="inlineStr">
        <is>
          <t>Vents VK EC ventilátor Vents VK EC 100</t>
        </is>
      </c>
      <c r="C1574" s="14" t="inlineStr">
        <is>
          <t>Csőventilátor, elszívó ventilátor</t>
        </is>
      </c>
      <c r="D1574" s="14" t="inlineStr"/>
      <c r="E1574" s="14" t="inlineStr">
        <is>
          <t>Nem aktív</t>
        </is>
      </c>
      <c r="F1574" s="14" t="inlineStr">
        <is>
          <t>2025-10 – 2026-04</t>
        </is>
      </c>
      <c r="G1574" s="14" t="inlineStr">
        <is>
          <t>Nincs az élő kínálatban – EC motoros csőventilátor</t>
        </is>
      </c>
    </row>
    <row r="1575">
      <c r="A1575" s="14" t="inlineStr">
        <is>
          <t>GRO3478</t>
        </is>
      </c>
      <c r="B1575" s="14" t="inlineStr">
        <is>
          <t>Vents VK EC ventilátor VK EC 125</t>
        </is>
      </c>
      <c r="C1575" s="14" t="inlineStr">
        <is>
          <t>Csőventilátor, elszívó ventilátor</t>
        </is>
      </c>
      <c r="D1575" s="14" t="inlineStr"/>
      <c r="E1575" s="14" t="inlineStr">
        <is>
          <t>Nem aktív</t>
        </is>
      </c>
      <c r="F1575" s="14" t="inlineStr">
        <is>
          <t>2024-10 – 2025-09 (lehet, hogy már nem aktív)</t>
        </is>
      </c>
      <c r="G1575" s="14" t="inlineStr">
        <is>
          <t>Nincs az élő kínálatban – EC motoros csőventilátor</t>
        </is>
      </c>
    </row>
    <row r="1576">
      <c r="A1576" s="14" t="inlineStr">
        <is>
          <t>GRO3479</t>
        </is>
      </c>
      <c r="B1576" s="14" t="inlineStr">
        <is>
          <t>Vents VK EC ventilátor Vents VK EC 150</t>
        </is>
      </c>
      <c r="C1576" s="14" t="inlineStr">
        <is>
          <t>Csőventilátor, elszívó ventilátor</t>
        </is>
      </c>
      <c r="D1576" s="14" t="inlineStr"/>
      <c r="E1576" s="14" t="inlineStr">
        <is>
          <t>Nem aktív</t>
        </is>
      </c>
      <c r="F1576" s="14" t="inlineStr">
        <is>
          <t>2025-10 – 2026-04</t>
        </is>
      </c>
      <c r="G1576" s="14" t="inlineStr">
        <is>
          <t>Nincs az élő kínálatban – EC motoros csőventilátor</t>
        </is>
      </c>
    </row>
    <row r="1577">
      <c r="A1577" s="14" t="inlineStr">
        <is>
          <t>GRO3482</t>
        </is>
      </c>
      <c r="B1577" s="14" t="inlineStr">
        <is>
          <t>Vents VK EC ventilátor Vents VK EC 315</t>
        </is>
      </c>
      <c r="C1577" s="14" t="inlineStr">
        <is>
          <t>Csőventilátor, elszívó ventilátor</t>
        </is>
      </c>
      <c r="D1577" s="14" t="inlineStr"/>
      <c r="E1577" s="14" t="inlineStr">
        <is>
          <t>Nem aktív</t>
        </is>
      </c>
      <c r="F1577" s="14" t="inlineStr">
        <is>
          <t>2025-10 – 2026-04</t>
        </is>
      </c>
      <c r="G1577" s="14" t="inlineStr">
        <is>
          <t>Nincs az élő kínálatban – EC motoros csőventilátor</t>
        </is>
      </c>
    </row>
    <row r="1578">
      <c r="A1578" s="14" t="inlineStr">
        <is>
          <t>GRO3636</t>
        </is>
      </c>
      <c r="B1578" s="14" t="inlineStr">
        <is>
          <t>Prima klima ventilátor (1 sebességes) PK100-L</t>
        </is>
      </c>
      <c r="C1578" s="14" t="inlineStr">
        <is>
          <t>Csőventilátor, elszívó ventilátor</t>
        </is>
      </c>
      <c r="D1578" s="14" t="inlineStr"/>
      <c r="E1578" s="14" t="inlineStr">
        <is>
          <t>Nem aktív</t>
        </is>
      </c>
      <c r="F1578" s="14" t="inlineStr">
        <is>
          <t>az elmúlt 6 hónapban</t>
        </is>
      </c>
      <c r="G1578" s="14" t="inlineStr">
        <is>
          <t>Nincs az élő kínálatban – Csőventilátor (Can-Fan, Vents, Prima Klima, AC Infinity, Garden Highpro, DF16)</t>
        </is>
      </c>
    </row>
    <row r="1579">
      <c r="A1579" s="14" t="inlineStr">
        <is>
          <t>GRO3639</t>
        </is>
      </c>
      <c r="B1579" s="14" t="inlineStr">
        <is>
          <t>Prima klima ventilátor (1 sebességes) PK125-L</t>
        </is>
      </c>
      <c r="C1579" s="14" t="inlineStr">
        <is>
          <t>Csőventilátor, elszívó ventilátor</t>
        </is>
      </c>
      <c r="D1579" s="14" t="inlineStr"/>
      <c r="E1579" s="14" t="inlineStr">
        <is>
          <t>Nem aktív</t>
        </is>
      </c>
      <c r="F1579" s="14" t="inlineStr">
        <is>
          <t>az elmúlt 6 hónapban</t>
        </is>
      </c>
      <c r="G1579" s="14" t="inlineStr">
        <is>
          <t>Nincs az élő kínálatban – Csőventilátor (Can-Fan, Vents, Prima Klima, AC Infinity, Garden Highpro, DF16)</t>
        </is>
      </c>
    </row>
    <row r="1580">
      <c r="A1580" s="14" t="inlineStr">
        <is>
          <t>GRO3644</t>
        </is>
      </c>
      <c r="B1580" s="14" t="inlineStr">
        <is>
          <t>Prima klima ventilátor (1 sebességes) PK160-L</t>
        </is>
      </c>
      <c r="C1580" s="14" t="inlineStr">
        <is>
          <t>Csőventilátor, elszívó ventilátor</t>
        </is>
      </c>
      <c r="D1580" s="14" t="inlineStr"/>
      <c r="E1580" s="14" t="inlineStr">
        <is>
          <t>Nem aktív</t>
        </is>
      </c>
      <c r="F1580" s="14" t="inlineStr">
        <is>
          <t>az elmúlt 6 hónapban</t>
        </is>
      </c>
      <c r="G1580" s="14" t="inlineStr">
        <is>
          <t>Nincs az élő kínálatban – Csőventilátor (Can-Fan, Vents, Prima Klima, AC Infinity, Garden Highpro, DF16)</t>
        </is>
      </c>
    </row>
    <row r="1581">
      <c r="A1581" s="14" t="inlineStr">
        <is>
          <t>GRO3645</t>
        </is>
      </c>
      <c r="B1581" s="14" t="inlineStr">
        <is>
          <t>Prima klima ventilátor (hőmérsékletszabályzós) PK160-TC</t>
        </is>
      </c>
      <c r="C1581" s="14" t="inlineStr">
        <is>
          <t>Csőventilátor, elszívó ventilátor</t>
        </is>
      </c>
      <c r="D1581" s="14" t="inlineStr">
        <is>
          <t>Klímavezérlő: ventilátor-szabályzó, termosztát, higrosztát</t>
        </is>
      </c>
      <c r="E1581" s="14" t="inlineStr">
        <is>
          <t>Nem aktív</t>
        </is>
      </c>
      <c r="F1581" s="14" t="inlineStr">
        <is>
          <t>az elmúlt 6 hónapban</t>
        </is>
      </c>
      <c r="G1581" s="14" t="inlineStr">
        <is>
          <t>Nincs az élő kínálatban – Csőventilátor beépített / mellékelt szabályzóval (TC, Un, Cloudline)</t>
        </is>
      </c>
    </row>
    <row r="1582">
      <c r="A1582" s="14" t="inlineStr">
        <is>
          <t>GRO3646</t>
        </is>
      </c>
      <c r="B1582" s="14" t="inlineStr">
        <is>
          <t>Prima klima ventilátor (1 sebességes) PK200-L</t>
        </is>
      </c>
      <c r="C1582" s="14" t="inlineStr">
        <is>
          <t>Csőventilátor, elszívó ventilátor</t>
        </is>
      </c>
      <c r="D1582" s="14" t="inlineStr"/>
      <c r="E1582" s="14" t="inlineStr">
        <is>
          <t>Nem aktív</t>
        </is>
      </c>
      <c r="F1582" s="14" t="inlineStr">
        <is>
          <t>az elmúlt 6 hónapban</t>
        </is>
      </c>
      <c r="G1582" s="14" t="inlineStr">
        <is>
          <t>Nincs az élő kínálatban – Csőventilátor (Can-Fan, Vents, Prima Klima, AC Infinity, Garden Highpro, DF16)</t>
        </is>
      </c>
    </row>
    <row r="1583">
      <c r="A1583" s="14" t="inlineStr">
        <is>
          <t>GRO3700</t>
        </is>
      </c>
      <c r="B1583" s="14" t="inlineStr">
        <is>
          <t>Prima klima EC ventilátor (hőmérsékletszabályzós) PK160EC-TC</t>
        </is>
      </c>
      <c r="C1583" s="14" t="inlineStr">
        <is>
          <t>Csőventilátor, elszívó ventilátor</t>
        </is>
      </c>
      <c r="D1583" s="14" t="inlineStr">
        <is>
          <t>Klímavezérlő: ventilátor-szabályzó, termosztát, higrosztát</t>
        </is>
      </c>
      <c r="E1583" s="14" t="inlineStr">
        <is>
          <t>Nem aktív</t>
        </is>
      </c>
      <c r="F1583" s="14" t="inlineStr">
        <is>
          <t>az elmúlt 6 hónapban</t>
        </is>
      </c>
      <c r="G1583" s="14" t="inlineStr">
        <is>
          <t>Nincs az élő kínálatban – Csőventilátor beépített / mellékelt szabályzóval (TC, Un, Cloudline)</t>
        </is>
      </c>
    </row>
    <row r="1584">
      <c r="A1584" s="14" t="inlineStr">
        <is>
          <t>GRO3970</t>
        </is>
      </c>
      <c r="B1584" s="14" t="inlineStr">
        <is>
          <t>Prima klima PK125WHSP-EC29 Ventilátor 125 mm 450 m3/h</t>
        </is>
      </c>
      <c r="C1584" s="14" t="inlineStr">
        <is>
          <t>Csőventilátor, elszívó ventilátor</t>
        </is>
      </c>
      <c r="D1584" s="14" t="inlineStr"/>
      <c r="E1584" s="14" t="inlineStr">
        <is>
          <t>Nem aktív</t>
        </is>
      </c>
      <c r="F1584" s="14" t="inlineStr">
        <is>
          <t>az elmúlt 6 hónapban</t>
        </is>
      </c>
      <c r="G1584" s="14" t="inlineStr">
        <is>
          <t>Nincs az élő kínálatban – EC motoros csőventilátor</t>
        </is>
      </c>
    </row>
    <row r="1585">
      <c r="A1585" s="14" t="inlineStr">
        <is>
          <t>GRO4116</t>
        </is>
      </c>
      <c r="B1585" s="14" t="inlineStr">
        <is>
          <t>Garden Highpro Inline ventilátor (100 mm)</t>
        </is>
      </c>
      <c r="C1585" s="14" t="inlineStr">
        <is>
          <t>Csőventilátor, elszívó ventilátor</t>
        </is>
      </c>
      <c r="D1585" s="14" t="inlineStr"/>
      <c r="E1585" s="14" t="inlineStr">
        <is>
          <t>Nem aktív</t>
        </is>
      </c>
      <c r="F1585" s="14" t="inlineStr">
        <is>
          <t>az elmúlt 6 hónapban</t>
        </is>
      </c>
      <c r="G1585" s="14" t="inlineStr">
        <is>
          <t>Nincs az élő kínálatban – Csőventilátor (Can-Fan, Vents, Prima Klima, AC Infinity, Garden Highpro, DF16)</t>
        </is>
      </c>
    </row>
    <row r="1586">
      <c r="A1586" s="14" t="inlineStr">
        <is>
          <t>GRO4117</t>
        </is>
      </c>
      <c r="B1586" s="14" t="inlineStr">
        <is>
          <t>Garden Highpro Inline ventilátor (125 mm)</t>
        </is>
      </c>
      <c r="C1586" s="14" t="inlineStr">
        <is>
          <t>Csőventilátor, elszívó ventilátor</t>
        </is>
      </c>
      <c r="D1586" s="14" t="inlineStr"/>
      <c r="E1586" s="14" t="inlineStr">
        <is>
          <t>Nem aktív</t>
        </is>
      </c>
      <c r="F1586" s="14" t="inlineStr">
        <is>
          <t>az elmúlt 6 hónapban</t>
        </is>
      </c>
      <c r="G1586" s="14" t="inlineStr">
        <is>
          <t>Nincs az élő kínálatban – Csőventilátor (Can-Fan, Vents, Prima Klima, AC Infinity, Garden Highpro, DF16)</t>
        </is>
      </c>
    </row>
    <row r="1587">
      <c r="A1587" s="14" t="inlineStr">
        <is>
          <t>GRO4119</t>
        </is>
      </c>
      <c r="B1587" s="14" t="inlineStr">
        <is>
          <t>Garden Highpro 2 sebességes ventilátor (100 mm)</t>
        </is>
      </c>
      <c r="C1587" s="14" t="inlineStr">
        <is>
          <t>Csőventilátor, elszívó ventilátor</t>
        </is>
      </c>
      <c r="D1587" s="14" t="inlineStr"/>
      <c r="E1587" s="14" t="inlineStr">
        <is>
          <t>Nem aktív</t>
        </is>
      </c>
      <c r="F1587" s="14" t="inlineStr">
        <is>
          <t>2024-10 – 2025-09 (lehet, hogy már nem aktív)</t>
        </is>
      </c>
      <c r="G1587" s="14" t="inlineStr">
        <is>
          <t>Nincs az élő kínálatban – Csőventilátor (Can-Fan, Vents, Prima Klima, AC Infinity, Garden Highpro, DF16)</t>
        </is>
      </c>
    </row>
    <row r="1588">
      <c r="A1588" s="14" t="inlineStr">
        <is>
          <t>GRO4120</t>
        </is>
      </c>
      <c r="B1588" s="14" t="inlineStr">
        <is>
          <t>Garden Highpro 2 sebességes ventilátor (125 mm)</t>
        </is>
      </c>
      <c r="C1588" s="14" t="inlineStr">
        <is>
          <t>Csőventilátor, elszívó ventilátor</t>
        </is>
      </c>
      <c r="D1588" s="14" t="inlineStr"/>
      <c r="E1588" s="14" t="inlineStr">
        <is>
          <t>Nem aktív</t>
        </is>
      </c>
      <c r="F1588" s="14" t="inlineStr">
        <is>
          <t>2024-10 – 2025-09 (lehet, hogy már nem aktív)</t>
        </is>
      </c>
      <c r="G1588" s="14" t="inlineStr">
        <is>
          <t>Nincs az élő kínálatban – Csőventilátor (Can-Fan, Vents, Prima Klima, AC Infinity, Garden Highpro, DF16)</t>
        </is>
      </c>
    </row>
    <row r="1589">
      <c r="A1589" s="14" t="inlineStr">
        <is>
          <t>GRO4193</t>
        </is>
      </c>
      <c r="B1589" s="14" t="inlineStr">
        <is>
          <t>AC Infinity Cloudline pro S4 Inline ventilátor sebességszabályzóval 100 mm</t>
        </is>
      </c>
      <c r="C1589" s="14" t="inlineStr">
        <is>
          <t>Csőventilátor, elszívó ventilátor</t>
        </is>
      </c>
      <c r="D1589" s="14" t="inlineStr">
        <is>
          <t>Klímavezérlő: ventilátor-szabályzó, termosztát, higrosztát</t>
        </is>
      </c>
      <c r="E1589" s="14" t="inlineStr">
        <is>
          <t>Nem aktív</t>
        </is>
      </c>
      <c r="F1589" s="14" t="inlineStr">
        <is>
          <t>2024-10 – 2025-09 (lehet, hogy már nem aktív)</t>
        </is>
      </c>
      <c r="G1589" s="14" t="inlineStr">
        <is>
          <t>Nincs az élő kínálatban – Csőventilátor beépített / mellékelt szabályzóval (TC, Un, Cloudline)</t>
        </is>
      </c>
    </row>
    <row r="1590">
      <c r="A1590" s="14" t="inlineStr">
        <is>
          <t>GRO1992</t>
        </is>
      </c>
      <c r="B1590" s="14" t="inlineStr">
        <is>
          <t>HAILEA HC akvárium klíma HC 500A</t>
        </is>
      </c>
      <c r="C1590" s="14" t="inlineStr">
        <is>
          <t>Hidropónia ág – Tápoldat-adagoló, vízhűtő</t>
        </is>
      </c>
      <c r="D1590" s="14" t="inlineStr"/>
      <c r="E1590" s="14" t="inlineStr">
        <is>
          <t>Nem aktív</t>
        </is>
      </c>
      <c r="F1590" s="14" t="inlineStr">
        <is>
          <t>2024-10 – 2025-09 (lehet, hogy már nem aktív)</t>
        </is>
      </c>
      <c r="G1590" s="14" t="inlineStr">
        <is>
          <t>Nincs az élő kínálatban – Hailea vízhűtő (chiller) – tápoldathűtés, nem légkondi</t>
        </is>
      </c>
    </row>
    <row r="1591">
      <c r="A1591" s="14" t="inlineStr">
        <is>
          <t>GRO1993</t>
        </is>
      </c>
      <c r="B1591" s="14" t="inlineStr">
        <is>
          <t>HAILEA HC akvárium klíma HC 150A</t>
        </is>
      </c>
      <c r="C1591" s="14" t="inlineStr">
        <is>
          <t>Hidropónia ág – Tápoldat-adagoló, vízhűtő</t>
        </is>
      </c>
      <c r="D1591" s="14" t="inlineStr"/>
      <c r="E1591" s="14" t="inlineStr">
        <is>
          <t>Nem aktív</t>
        </is>
      </c>
      <c r="F1591" s="14" t="inlineStr">
        <is>
          <t>2024-10 – 2025-09 (lehet, hogy már nem aktív)</t>
        </is>
      </c>
      <c r="G1591" s="14" t="inlineStr">
        <is>
          <t>Nincs az élő kínálatban – Hailea vízhűtő (chiller) – tápoldathűtés, nem légkondi</t>
        </is>
      </c>
    </row>
    <row r="1592">
      <c r="A1592" s="14" t="inlineStr">
        <is>
          <t>GRO4125</t>
        </is>
      </c>
      <c r="B1592" s="14" t="inlineStr">
        <is>
          <t>Garden Highpro thermo-higrometer digital basic páratartalom-mérő</t>
        </is>
      </c>
      <c r="C1592" s="14" t="inlineStr">
        <is>
          <t>Hő- és páratartalom-mérő</t>
        </is>
      </c>
      <c r="D1592" s="14" t="inlineStr"/>
      <c r="E1592" s="14" t="inlineStr">
        <is>
          <t>Nem aktív</t>
        </is>
      </c>
      <c r="F1592" s="14" t="inlineStr">
        <is>
          <t>2025-10 – 2026-04</t>
        </is>
      </c>
      <c r="G1592" s="14" t="inlineStr">
        <is>
          <t>Nincs az élő kínálatban – Digitális hő- és páratartalom-mérő (thermo-higrométer) – a Mérőműszer ágban is</t>
        </is>
      </c>
    </row>
    <row r="1593">
      <c r="A1593" s="14" t="inlineStr">
        <is>
          <t>GRO4126</t>
        </is>
      </c>
      <c r="B1593" s="14" t="inlineStr">
        <is>
          <t>Garden Highpro thermo-higrometer digital medium páratartalom-mérő</t>
        </is>
      </c>
      <c r="C1593" s="14" t="inlineStr">
        <is>
          <t>Hő- és páratartalom-mérő</t>
        </is>
      </c>
      <c r="D1593" s="14" t="inlineStr"/>
      <c r="E1593" s="14" t="inlineStr">
        <is>
          <t>Nem aktív</t>
        </is>
      </c>
      <c r="F1593" s="14" t="inlineStr">
        <is>
          <t>2025-10 – 2026-04</t>
        </is>
      </c>
      <c r="G1593" s="14" t="inlineStr">
        <is>
          <t>Nincs az élő kínálatban – Digitális hő- és páratartalom-mérő (thermo-higrométer) – a Mérőműszer ágban is</t>
        </is>
      </c>
    </row>
    <row r="1594">
      <c r="A1594" s="14" t="inlineStr">
        <is>
          <t>GRO4127</t>
        </is>
      </c>
      <c r="B1594" s="14" t="inlineStr">
        <is>
          <t>Garden Highpro thermo-higrometer digital pro páratartalom-mérő</t>
        </is>
      </c>
      <c r="C1594" s="14" t="inlineStr">
        <is>
          <t>Hő- és páratartalom-mérő</t>
        </is>
      </c>
      <c r="D1594" s="14" t="inlineStr"/>
      <c r="E1594" s="14" t="inlineStr">
        <is>
          <t>Nem aktív</t>
        </is>
      </c>
      <c r="F1594" s="14" t="inlineStr">
        <is>
          <t>2025-10 – 2026-04</t>
        </is>
      </c>
      <c r="G1594" s="14" t="inlineStr">
        <is>
          <t>Nincs az élő kínálatban – Digitális hő- és páratartalom-mérő (thermo-higrométer) – a Mérőműszer ágban is</t>
        </is>
      </c>
    </row>
    <row r="1595">
      <c r="A1595" s="14" t="inlineStr">
        <is>
          <t>GRO1458</t>
        </is>
      </c>
      <c r="B1595" s="14" t="inlineStr">
        <is>
          <t>Cornwall fém padlóventilátor 90W 40cm</t>
        </is>
      </c>
      <c r="C1595" s="14" t="inlineStr">
        <is>
          <t>Keringető ventilátor</t>
        </is>
      </c>
      <c r="D1595" s="14" t="inlineStr"/>
      <c r="E1595" s="14" t="inlineStr">
        <is>
          <t>Nem aktív</t>
        </is>
      </c>
      <c r="F1595" s="14" t="inlineStr">
        <is>
          <t>az elmúlt 6 hónapban</t>
        </is>
      </c>
      <c r="G1595" s="14" t="inlineStr">
        <is>
          <t>Nincs az élő kínálatban – Csíptetős / padló / fali keringető ventilátor</t>
        </is>
      </c>
    </row>
    <row r="1596">
      <c r="A1596" s="14" t="inlineStr">
        <is>
          <t>GRO1459</t>
        </is>
      </c>
      <c r="B1596" s="14" t="inlineStr">
        <is>
          <t>Cornwall állóventilátor</t>
        </is>
      </c>
      <c r="C1596" s="14" t="inlineStr">
        <is>
          <t>Keringető ventilátor</t>
        </is>
      </c>
      <c r="D1596" s="14" t="inlineStr"/>
      <c r="E1596" s="14" t="inlineStr">
        <is>
          <t>Nem aktív</t>
        </is>
      </c>
      <c r="F1596" s="14" t="inlineStr">
        <is>
          <t>az elmúlt 6 hónapban</t>
        </is>
      </c>
      <c r="G1596" s="14" t="inlineStr">
        <is>
          <t>Nincs az élő kínálatban – Csíptetős / padló / fali keringető ventilátor</t>
        </is>
      </c>
    </row>
    <row r="1597">
      <c r="A1597" s="14" t="inlineStr">
        <is>
          <t>GRO2826</t>
        </is>
      </c>
      <c r="B1597" s="14" t="inlineStr">
        <is>
          <t>Secret Jardin Monkey Fan csíptethető ventilátor 16W</t>
        </is>
      </c>
      <c r="C1597" s="14" t="inlineStr">
        <is>
          <t>Keringető ventilátor</t>
        </is>
      </c>
      <c r="D1597" s="14" t="inlineStr"/>
      <c r="E1597" s="14" t="inlineStr">
        <is>
          <t>Nem aktív</t>
        </is>
      </c>
      <c r="F1597" s="14" t="inlineStr">
        <is>
          <t>az elmúlt 6 hónapban</t>
        </is>
      </c>
      <c r="G1597" s="14" t="inlineStr">
        <is>
          <t>Nincs az élő kínálatban – Csíptetős / padló / fali keringető ventilátor</t>
        </is>
      </c>
    </row>
    <row r="1598">
      <c r="A1598" s="14" t="inlineStr">
        <is>
          <t>GRO2827</t>
        </is>
      </c>
      <c r="B1598" s="14" t="inlineStr">
        <is>
          <t>Secret Jardin Monkey Fan csíptethető ventilátor 20 W oszcilláló</t>
        </is>
      </c>
      <c r="C1598" s="14" t="inlineStr">
        <is>
          <t>Keringető ventilátor</t>
        </is>
      </c>
      <c r="D1598" s="14" t="inlineStr"/>
      <c r="E1598" s="14" t="inlineStr">
        <is>
          <t>Nem aktív</t>
        </is>
      </c>
      <c r="F1598" s="14" t="inlineStr">
        <is>
          <t>az elmúlt 6 hónapban</t>
        </is>
      </c>
      <c r="G1598" s="14" t="inlineStr">
        <is>
          <t>Nincs az élő kínálatban – Csíptetős / padló / fali keringető ventilátor</t>
        </is>
      </c>
    </row>
    <row r="1599">
      <c r="A1599" s="14" t="inlineStr">
        <is>
          <t>GRO3035</t>
        </is>
      </c>
      <c r="B1599" s="14" t="inlineStr">
        <is>
          <t>Secret Jardin Monkey Fan csíptethető ventilátor 30W</t>
        </is>
      </c>
      <c r="C1599" s="14" t="inlineStr">
        <is>
          <t>Keringető ventilátor</t>
        </is>
      </c>
      <c r="D1599" s="14" t="inlineStr"/>
      <c r="E1599" s="14" t="inlineStr">
        <is>
          <t>Nem aktív</t>
        </is>
      </c>
      <c r="F1599" s="14" t="inlineStr">
        <is>
          <t>2025-10 – 2026-04</t>
        </is>
      </c>
      <c r="G1599" s="14" t="inlineStr">
        <is>
          <t>Nincs az élő kínálatban – Csíptetős / padló / fali keringető ventilátor</t>
        </is>
      </c>
    </row>
    <row r="1600">
      <c r="A1600" s="14" t="inlineStr">
        <is>
          <t>GRO4236</t>
        </is>
      </c>
      <c r="B1600" s="14" t="inlineStr">
        <is>
          <t>Cornwall Electronics 16 inch ventilátor fém d: 40 cm 80W</t>
        </is>
      </c>
      <c r="C1600" s="14" t="inlineStr">
        <is>
          <t>Keringető ventilátor</t>
        </is>
      </c>
      <c r="D1600" s="14" t="inlineStr"/>
      <c r="E1600" s="14" t="inlineStr">
        <is>
          <t>Nem aktív</t>
        </is>
      </c>
      <c r="F1600" s="14" t="inlineStr">
        <is>
          <t>az elmúlt 6 hónapban</t>
        </is>
      </c>
      <c r="G1600" s="14" t="inlineStr">
        <is>
          <t>Nincs az élő kínálatban – Csíptetős / padló / fali keringető ventilátor</t>
        </is>
      </c>
    </row>
    <row r="1601">
      <c r="A1601" s="14" t="inlineStr">
        <is>
          <t>GRO1352</t>
        </is>
      </c>
      <c r="B1601" s="14" t="inlineStr">
        <is>
          <t>GSE hőmérséklet- és negatív nyomásszabályzó</t>
        </is>
      </c>
      <c r="C1601" s="14" t="inlineStr">
        <is>
          <t>Klímavezérlő: ventilátor-szabályzó, termosztát, higrosztát</t>
        </is>
      </c>
      <c r="D1601" s="14" t="inlineStr"/>
      <c r="E1601" s="14" t="inlineStr">
        <is>
          <t>Nem aktív</t>
        </is>
      </c>
      <c r="F1601" s="14" t="inlineStr">
        <is>
          <t>2024-10 – 2025-09 (lehet, hogy már nem aktív)</t>
        </is>
      </c>
      <c r="G1601" s="14" t="inlineStr">
        <is>
          <t>Nincs az élő kínálatban – Ventilátor fordulatszám-, hőmérséklet-, nyomásszabályzó, környezeti vezérlő</t>
        </is>
      </c>
    </row>
    <row r="1602">
      <c r="A1602" s="14" t="inlineStr">
        <is>
          <t>GRO2447</t>
        </is>
      </c>
      <c r="B1602" s="14" t="inlineStr">
        <is>
          <t>Késleltetés és hőmérséklet szabályzó ventilátorhoz</t>
        </is>
      </c>
      <c r="C1602" s="14" t="inlineStr">
        <is>
          <t>Klímavezérlő: ventilátor-szabályzó, termosztát, higrosztát</t>
        </is>
      </c>
      <c r="D1602" s="14" t="inlineStr"/>
      <c r="E1602" s="14" t="inlineStr">
        <is>
          <t>Nem aktív</t>
        </is>
      </c>
      <c r="F1602" s="14" t="inlineStr">
        <is>
          <t>az elmúlt 6 hónapban</t>
        </is>
      </c>
      <c r="G1602" s="14" t="inlineStr">
        <is>
          <t>Nincs az élő kínálatban – Ventilátor fordulatszám-, hőmérséklet-, nyomásszabályzó, környezeti vezérlő</t>
        </is>
      </c>
    </row>
    <row r="1603">
      <c r="A1603" s="14" t="inlineStr">
        <is>
          <t>GRO3186</t>
        </is>
      </c>
      <c r="B1603" s="14" t="inlineStr">
        <is>
          <t>GSE páratartalom-szabályzó</t>
        </is>
      </c>
      <c r="C1603" s="14" t="inlineStr">
        <is>
          <t>Klímavezérlő: ventilátor-szabályzó, termosztát, higrosztát</t>
        </is>
      </c>
      <c r="D1603" s="14" t="inlineStr">
        <is>
          <t>Párásító, Páramentesítő</t>
        </is>
      </c>
      <c r="E1603" s="14" t="inlineStr">
        <is>
          <t>Nem aktív</t>
        </is>
      </c>
      <c r="F1603" s="14" t="inlineStr">
        <is>
          <t>2025-10 – 2026-04</t>
        </is>
      </c>
      <c r="G1603" s="14" t="inlineStr">
        <is>
          <t>Nincs az élő kínálatban – Páratartalom-szabályzó (higrosztát)</t>
        </is>
      </c>
    </row>
    <row r="1604">
      <c r="A1604" s="14" t="inlineStr">
        <is>
          <t>GRO0700</t>
        </is>
      </c>
      <c r="B1604" s="14" t="inlineStr">
        <is>
          <t>Fém Y idom 160 mm</t>
        </is>
      </c>
      <c r="C1604" s="14" t="inlineStr">
        <is>
          <t>Légtechnikai cső, idom, bilincs</t>
        </is>
      </c>
      <c r="D1604" s="14" t="inlineStr"/>
      <c r="E1604" s="14" t="inlineStr">
        <is>
          <t>Nem aktív</t>
        </is>
      </c>
      <c r="F1604" s="14" t="inlineStr">
        <is>
          <t>2025-10 – 2026-04</t>
        </is>
      </c>
      <c r="G1604" s="14" t="inlineStr">
        <is>
          <t>Nincs az élő kínálatban – Idom, bővítő / szűkítő, csőtoldó, visszacsapó szelep, csőkapcsoló</t>
        </is>
      </c>
    </row>
    <row r="1605">
      <c r="A1605" s="14" t="inlineStr">
        <is>
          <t>GRO1670</t>
        </is>
      </c>
      <c r="B1605" s="14" t="inlineStr">
        <is>
          <t>Vents C Zn légtechnikai csőbilincs 150-170 mm</t>
        </is>
      </c>
      <c r="C1605" s="14" t="inlineStr">
        <is>
          <t>Légtechnikai cső, idom, bilincs</t>
        </is>
      </c>
      <c r="D1605" s="14" t="inlineStr"/>
      <c r="E1605" s="14" t="inlineStr">
        <is>
          <t>Nem aktív</t>
        </is>
      </c>
      <c r="F1605" s="14" t="inlineStr">
        <is>
          <t>2024-10 – 2025-09 (lehet, hogy már nem aktív)</t>
        </is>
      </c>
      <c r="G1605" s="14" t="inlineStr">
        <is>
          <t>Nincs az élő kínálatban – Légtechnikai bilincs</t>
        </is>
      </c>
    </row>
    <row r="1606">
      <c r="A1606" s="14" t="inlineStr">
        <is>
          <t>GRO1771</t>
        </is>
      </c>
      <c r="B1606" s="14" t="inlineStr">
        <is>
          <t>Sonoflex flexibilis cső 10m 315 mm</t>
        </is>
      </c>
      <c r="C1606" s="14" t="inlineStr">
        <is>
          <t>Légtechnikai cső, idom, bilincs</t>
        </is>
      </c>
      <c r="D1606" s="14" t="inlineStr"/>
      <c r="E1606" s="14" t="inlineStr">
        <is>
          <t>Nem aktív</t>
        </is>
      </c>
      <c r="F1606" s="14" t="inlineStr">
        <is>
          <t>2025-10 – 2026-04</t>
        </is>
      </c>
      <c r="G1606" s="14" t="inlineStr">
        <is>
          <t>Nincs az élő kínálatban – Flexibilis légcsatorna cső (Aluflex, Sonoflex, Combiflex)</t>
        </is>
      </c>
    </row>
    <row r="1607">
      <c r="A1607" s="14" t="inlineStr">
        <is>
          <t>GRO1936</t>
        </is>
      </c>
      <c r="B1607" s="14" t="inlineStr">
        <is>
          <t>Bővítő cső 125-315</t>
        </is>
      </c>
      <c r="C1607" s="14" t="inlineStr">
        <is>
          <t>Légtechnikai cső, idom, bilincs</t>
        </is>
      </c>
      <c r="D1607" s="14" t="inlineStr"/>
      <c r="E1607" s="14" t="inlineStr">
        <is>
          <t>Nem aktív</t>
        </is>
      </c>
      <c r="F1607" s="14" t="inlineStr">
        <is>
          <t>az elmúlt 6 hónapban</t>
        </is>
      </c>
      <c r="G1607" s="14" t="inlineStr">
        <is>
          <t>Nincs az élő kínálatban – Idom, bővítő / szűkítő, csőtoldó, visszacsapó szelep, csőkapcsoló</t>
        </is>
      </c>
    </row>
    <row r="1608">
      <c r="A1608" s="14" t="inlineStr">
        <is>
          <t>GRO1963</t>
        </is>
      </c>
      <c r="B1608" s="14" t="inlineStr">
        <is>
          <t>Vents Műanyag T-idom 100 mm</t>
        </is>
      </c>
      <c r="C1608" s="14" t="inlineStr">
        <is>
          <t>Légtechnikai cső, idom, bilincs</t>
        </is>
      </c>
      <c r="D1608" s="14" t="inlineStr"/>
      <c r="E1608" s="14" t="inlineStr">
        <is>
          <t>Nem aktív</t>
        </is>
      </c>
      <c r="F1608" s="14" t="inlineStr">
        <is>
          <t>2024-10 – 2025-09 (lehet, hogy már nem aktív)</t>
        </is>
      </c>
      <c r="G1608" s="14" t="inlineStr">
        <is>
          <t>Nincs az élő kínálatban – Idom, bővítő / szűkítő, csőtoldó, visszacsapó szelep, csőkapcsoló</t>
        </is>
      </c>
    </row>
    <row r="1609">
      <c r="A1609" s="14" t="inlineStr">
        <is>
          <t>GRO1964</t>
        </is>
      </c>
      <c r="B1609" s="14" t="inlineStr">
        <is>
          <t>Vents Műanyag T-idom 125 mm</t>
        </is>
      </c>
      <c r="C1609" s="14" t="inlineStr">
        <is>
          <t>Légtechnikai cső, idom, bilincs</t>
        </is>
      </c>
      <c r="D1609" s="14" t="inlineStr"/>
      <c r="E1609" s="14" t="inlineStr">
        <is>
          <t>Nem aktív</t>
        </is>
      </c>
      <c r="F1609" s="14" t="inlineStr">
        <is>
          <t>2024-10 – 2025-09 (lehet, hogy már nem aktív)</t>
        </is>
      </c>
      <c r="G1609" s="14" t="inlineStr">
        <is>
          <t>Nincs az élő kínálatban – Idom, bővítő / szűkítő, csőtoldó, visszacsapó szelep, csőkapcsoló</t>
        </is>
      </c>
    </row>
    <row r="1610">
      <c r="A1610" s="14" t="inlineStr">
        <is>
          <t>GRO1966</t>
        </is>
      </c>
      <c r="B1610" s="14" t="inlineStr">
        <is>
          <t>VENTS fém T idom 200 mm</t>
        </is>
      </c>
      <c r="C1610" s="14" t="inlineStr">
        <is>
          <t>Légtechnikai cső, idom, bilincs</t>
        </is>
      </c>
      <c r="D1610" s="14" t="inlineStr"/>
      <c r="E1610" s="14" t="inlineStr">
        <is>
          <t>Nem aktív</t>
        </is>
      </c>
      <c r="F1610" s="14" t="inlineStr">
        <is>
          <t>2024-10 – 2025-09 (lehet, hogy már nem aktív)</t>
        </is>
      </c>
      <c r="G1610" s="14" t="inlineStr">
        <is>
          <t>Nincs az élő kínálatban – Idom, bővítő / szűkítő, csőtoldó, visszacsapó szelep, csőkapcsoló</t>
        </is>
      </c>
    </row>
    <row r="1611">
      <c r="A1611" s="14" t="inlineStr">
        <is>
          <t>GRO1976</t>
        </is>
      </c>
      <c r="B1611" s="14" t="inlineStr">
        <is>
          <t>Fém visszacsapó szelep 150 mm</t>
        </is>
      </c>
      <c r="C1611" s="14" t="inlineStr">
        <is>
          <t>Légtechnikai cső, idom, bilincs</t>
        </is>
      </c>
      <c r="D1611" s="14" t="inlineStr"/>
      <c r="E1611" s="14" t="inlineStr">
        <is>
          <t>Nem aktív</t>
        </is>
      </c>
      <c r="F1611" s="14" t="inlineStr">
        <is>
          <t>2024-10 – 2025-09 (lehet, hogy már nem aktív)</t>
        </is>
      </c>
      <c r="G1611" s="14" t="inlineStr">
        <is>
          <t>Nincs az élő kínálatban – Idom, bővítő / szűkítő, csőtoldó, visszacsapó szelep, csőkapcsoló</t>
        </is>
      </c>
    </row>
    <row r="1612">
      <c r="A1612" s="14" t="inlineStr">
        <is>
          <t>GRO2143</t>
        </is>
      </c>
      <c r="B1612" s="14" t="inlineStr">
        <is>
          <t>Vents KM Zn fém keresztidom 125 mm</t>
        </is>
      </c>
      <c r="C1612" s="14" t="inlineStr">
        <is>
          <t>Légtechnikai cső, idom, bilincs</t>
        </is>
      </c>
      <c r="D1612" s="14" t="inlineStr"/>
      <c r="E1612" s="14" t="inlineStr">
        <is>
          <t>Nem aktív</t>
        </is>
      </c>
      <c r="F1612" s="14" t="inlineStr">
        <is>
          <t>2024-10 – 2025-09 (lehet, hogy már nem aktív)</t>
        </is>
      </c>
      <c r="G1612" s="14" t="inlineStr">
        <is>
          <t>Nincs az élő kínálatban – Idom, bővítő / szűkítő, csőtoldó, visszacsapó szelep, csőkapcsoló</t>
        </is>
      </c>
    </row>
    <row r="1613">
      <c r="A1613" s="14" t="inlineStr">
        <is>
          <t>GRO2316</t>
        </is>
      </c>
      <c r="B1613" s="14" t="inlineStr">
        <is>
          <t>Fém Y idom 315 mm</t>
        </is>
      </c>
      <c r="C1613" s="14" t="inlineStr">
        <is>
          <t>Légtechnikai cső, idom, bilincs</t>
        </is>
      </c>
      <c r="D1613" s="14" t="inlineStr"/>
      <c r="E1613" s="14" t="inlineStr">
        <is>
          <t>Nem aktív</t>
        </is>
      </c>
      <c r="F1613" s="14" t="inlineStr">
        <is>
          <t>2025-10 – 2026-04</t>
        </is>
      </c>
      <c r="G1613" s="14" t="inlineStr">
        <is>
          <t>Nincs az élő kínálatban – Idom, bővítő / szűkítő, csőtoldó, visszacsapó szelep, csőkapcsoló</t>
        </is>
      </c>
    </row>
    <row r="1614">
      <c r="A1614" s="14" t="inlineStr">
        <is>
          <t>GRO2317</t>
        </is>
      </c>
      <c r="B1614" s="14" t="inlineStr">
        <is>
          <t>Nadrág idom 100 mm</t>
        </is>
      </c>
      <c r="C1614" s="14" t="inlineStr">
        <is>
          <t>Légtechnikai cső, idom, bilincs</t>
        </is>
      </c>
      <c r="D1614" s="14" t="inlineStr"/>
      <c r="E1614" s="14" t="inlineStr">
        <is>
          <t>Nem aktív</t>
        </is>
      </c>
      <c r="F1614" s="14" t="inlineStr">
        <is>
          <t>2024-10 – 2025-09 (lehet, hogy már nem aktív)</t>
        </is>
      </c>
      <c r="G1614" s="14" t="inlineStr">
        <is>
          <t>Nincs az élő kínálatban – Idom, bővítő / szűkítő, csőtoldó, visszacsapó szelep, csőkapcsoló</t>
        </is>
      </c>
    </row>
    <row r="1615">
      <c r="A1615" s="14" t="inlineStr">
        <is>
          <t>GRO2604</t>
        </is>
      </c>
      <c r="B1615" s="14" t="inlineStr">
        <is>
          <t>VENTS fém T idom 315 mm</t>
        </is>
      </c>
      <c r="C1615" s="14" t="inlineStr">
        <is>
          <t>Légtechnikai cső, idom, bilincs</t>
        </is>
      </c>
      <c r="D1615" s="14" t="inlineStr"/>
      <c r="E1615" s="14" t="inlineStr">
        <is>
          <t>Nem aktív</t>
        </is>
      </c>
      <c r="F1615" s="14" t="inlineStr">
        <is>
          <t>2024-10 – 2025-09 (lehet, hogy már nem aktív)</t>
        </is>
      </c>
      <c r="G1615" s="14" t="inlineStr">
        <is>
          <t>Nincs az élő kínálatban – Idom, bővítő / szűkítő, csőtoldó, visszacsapó szelep, csőkapcsoló</t>
        </is>
      </c>
    </row>
    <row r="1616">
      <c r="A1616" s="14" t="inlineStr">
        <is>
          <t>GRO3023</t>
        </is>
      </c>
      <c r="B1616" s="14" t="inlineStr">
        <is>
          <t>Aluflex cső 5m 102 mm</t>
        </is>
      </c>
      <c r="C1616" s="14" t="inlineStr">
        <is>
          <t>Légtechnikai cső, idom, bilincs</t>
        </is>
      </c>
      <c r="D1616" s="14" t="inlineStr"/>
      <c r="E1616" s="14" t="inlineStr">
        <is>
          <t>Nem aktív</t>
        </is>
      </c>
      <c r="F1616" s="14" t="inlineStr">
        <is>
          <t>2024-10 – 2025-09 (lehet, hogy már nem aktív)</t>
        </is>
      </c>
      <c r="G1616" s="14" t="inlineStr">
        <is>
          <t>Nincs az élő kínálatban – Flexibilis légcsatorna cső (Aluflex, Sonoflex, Combiflex)</t>
        </is>
      </c>
    </row>
    <row r="1617">
      <c r="A1617" s="14" t="inlineStr">
        <is>
          <t>GRO3025</t>
        </is>
      </c>
      <c r="B1617" s="14" t="inlineStr">
        <is>
          <t>Aluflex cső 5m 152 mm</t>
        </is>
      </c>
      <c r="C1617" s="14" t="inlineStr">
        <is>
          <t>Légtechnikai cső, idom, bilincs</t>
        </is>
      </c>
      <c r="D1617" s="14" t="inlineStr"/>
      <c r="E1617" s="14" t="inlineStr">
        <is>
          <t>Nem aktív</t>
        </is>
      </c>
      <c r="F1617" s="14" t="inlineStr">
        <is>
          <t>2024-10 – 2025-09 (lehet, hogy már nem aktív)</t>
        </is>
      </c>
      <c r="G1617" s="14" t="inlineStr">
        <is>
          <t>Nincs az élő kínálatban – Flexibilis légcsatorna cső (Aluflex, Sonoflex, Combiflex)</t>
        </is>
      </c>
    </row>
    <row r="1618">
      <c r="A1618" s="14" t="inlineStr">
        <is>
          <t>GRO3542</t>
        </is>
      </c>
      <c r="B1618" s="14" t="inlineStr">
        <is>
          <t>Can Filter Silencer (Ventilátor hangtompító) CFS11</t>
        </is>
      </c>
      <c r="C1618" s="14" t="inlineStr">
        <is>
          <t>Légtechnikai cső, idom, bilincs</t>
        </is>
      </c>
      <c r="D1618" s="14" t="inlineStr">
        <is>
          <t>Csőventilátor, elszívó ventilátor</t>
        </is>
      </c>
      <c r="E1618" s="14" t="inlineStr">
        <is>
          <t>Nem aktív</t>
        </is>
      </c>
      <c r="F1618" s="14" t="inlineStr">
        <is>
          <t>az elmúlt 6 hónapban</t>
        </is>
      </c>
      <c r="G1618" s="14" t="inlineStr">
        <is>
          <t>Nincs az élő kínálatban – Ventilátor hangtompító (Can Filters Silencer)</t>
        </is>
      </c>
    </row>
    <row r="1619">
      <c r="A1619" s="14" t="inlineStr">
        <is>
          <t>GRO3544</t>
        </is>
      </c>
      <c r="B1619" s="14" t="inlineStr">
        <is>
          <t>Can Filter Silencer (Ventilátor hangtompító) CFS05</t>
        </is>
      </c>
      <c r="C1619" s="14" t="inlineStr">
        <is>
          <t>Légtechnikai cső, idom, bilincs</t>
        </is>
      </c>
      <c r="D1619" s="14" t="inlineStr">
        <is>
          <t>Csőventilátor, elszívó ventilátor</t>
        </is>
      </c>
      <c r="E1619" s="14" t="inlineStr">
        <is>
          <t>Nem aktív</t>
        </is>
      </c>
      <c r="F1619" s="14" t="inlineStr">
        <is>
          <t>az elmúlt 6 hónapban</t>
        </is>
      </c>
      <c r="G1619" s="14" t="inlineStr">
        <is>
          <t>Nincs az élő kínálatban – Ventilátor hangtompító (Can Filters Silencer)</t>
        </is>
      </c>
    </row>
    <row r="1620">
      <c r="A1620" s="14" t="inlineStr">
        <is>
          <t>GRO3576</t>
        </is>
      </c>
      <c r="B1620" s="14" t="inlineStr">
        <is>
          <t>Légtechnikai csőkapcsoló Ø100 mm</t>
        </is>
      </c>
      <c r="C1620" s="14" t="inlineStr">
        <is>
          <t>Légtechnikai cső, idom, bilincs</t>
        </is>
      </c>
      <c r="D1620" s="14" t="inlineStr"/>
      <c r="E1620" s="14" t="inlineStr">
        <is>
          <t>Nem aktív</t>
        </is>
      </c>
      <c r="F1620" s="14" t="inlineStr">
        <is>
          <t>az elmúlt 6 hónapban</t>
        </is>
      </c>
      <c r="G1620" s="14" t="inlineStr">
        <is>
          <t>Nincs az élő kínálatban – Idom, bővítő / szűkítő, csőtoldó, visszacsapó szelep, csőkapcsoló</t>
        </is>
      </c>
    </row>
    <row r="1621">
      <c r="A1621" s="14" t="inlineStr">
        <is>
          <t>GRO3577</t>
        </is>
      </c>
      <c r="B1621" s="14" t="inlineStr">
        <is>
          <t>Légtechnikai csőkapcsoló (több átmérővel) Ø125 mm</t>
        </is>
      </c>
      <c r="C1621" s="14" t="inlineStr">
        <is>
          <t>Légtechnikai cső, idom, bilincs</t>
        </is>
      </c>
      <c r="D1621" s="14" t="inlineStr"/>
      <c r="E1621" s="14" t="inlineStr">
        <is>
          <t>Nem aktív</t>
        </is>
      </c>
      <c r="F1621" s="14" t="inlineStr">
        <is>
          <t>2024-10 – 2025-09 (lehet, hogy már nem aktív)</t>
        </is>
      </c>
      <c r="G1621" s="14" t="inlineStr">
        <is>
          <t>Nincs az élő kínálatban – Idom, bővítő / szűkítő, csőtoldó, visszacsapó szelep, csőkapcsoló</t>
        </is>
      </c>
    </row>
    <row r="1622">
      <c r="A1622" s="14" t="inlineStr">
        <is>
          <t>GRO3578</t>
        </is>
      </c>
      <c r="B1622" s="14" t="inlineStr">
        <is>
          <t>Légtechnikai csőkapcsoló Ø150 mm</t>
        </is>
      </c>
      <c r="C1622" s="14" t="inlineStr">
        <is>
          <t>Légtechnikai cső, idom, bilincs</t>
        </is>
      </c>
      <c r="D1622" s="14" t="inlineStr"/>
      <c r="E1622" s="14" t="inlineStr">
        <is>
          <t>Nem aktív</t>
        </is>
      </c>
      <c r="F1622" s="14" t="inlineStr">
        <is>
          <t>az elmúlt 6 hónapban</t>
        </is>
      </c>
      <c r="G1622" s="14" t="inlineStr">
        <is>
          <t>Nincs az élő kínálatban – Idom, bővítő / szűkítő, csőtoldó, visszacsapó szelep, csőkapcsoló</t>
        </is>
      </c>
    </row>
    <row r="1623">
      <c r="A1623" s="14" t="inlineStr">
        <is>
          <t>GRO3579</t>
        </is>
      </c>
      <c r="B1623" s="14" t="inlineStr">
        <is>
          <t>Légtechnikai csőkapcsoló Ø160 mm</t>
        </is>
      </c>
      <c r="C1623" s="14" t="inlineStr">
        <is>
          <t>Légtechnikai cső, idom, bilincs</t>
        </is>
      </c>
      <c r="D1623" s="14" t="inlineStr"/>
      <c r="E1623" s="14" t="inlineStr">
        <is>
          <t>Nem aktív</t>
        </is>
      </c>
      <c r="F1623" s="14" t="inlineStr">
        <is>
          <t>az elmúlt 6 hónapban</t>
        </is>
      </c>
      <c r="G1623" s="14" t="inlineStr">
        <is>
          <t>Nincs az élő kínálatban – Idom, bővítő / szűkítő, csőtoldó, visszacsapó szelep, csőkapcsoló</t>
        </is>
      </c>
    </row>
    <row r="1624">
      <c r="A1624" s="14" t="inlineStr">
        <is>
          <t>GRO3583</t>
        </is>
      </c>
      <c r="B1624" s="14" t="inlineStr">
        <is>
          <t>Légtechnikai csőkapcsoló Ø350 mm</t>
        </is>
      </c>
      <c r="C1624" s="14" t="inlineStr">
        <is>
          <t>Légtechnikai cső, idom, bilincs</t>
        </is>
      </c>
      <c r="D1624" s="14" t="inlineStr"/>
      <c r="E1624" s="14" t="inlineStr">
        <is>
          <t>Nem aktív</t>
        </is>
      </c>
      <c r="F1624" s="14" t="inlineStr">
        <is>
          <t>az elmúlt 6 hónapban</t>
        </is>
      </c>
      <c r="G1624" s="14" t="inlineStr">
        <is>
          <t>Nincs az élő kínálatban – Idom, bővítő / szűkítő, csőtoldó, visszacsapó szelep, csőkapcsoló</t>
        </is>
      </c>
    </row>
    <row r="1625">
      <c r="A1625" s="14" t="inlineStr">
        <is>
          <t>GRO3584</t>
        </is>
      </c>
      <c r="B1625" s="14" t="inlineStr">
        <is>
          <t>Légtechnikai idomkapcsoló Ø100 mm</t>
        </is>
      </c>
      <c r="C1625" s="14" t="inlineStr">
        <is>
          <t>Légtechnikai cső, idom, bilincs</t>
        </is>
      </c>
      <c r="D1625" s="14" t="inlineStr"/>
      <c r="E1625" s="14" t="inlineStr">
        <is>
          <t>Nem aktív</t>
        </is>
      </c>
      <c r="F1625" s="14" t="inlineStr">
        <is>
          <t>az elmúlt 6 hónapban</t>
        </is>
      </c>
      <c r="G1625" s="14" t="inlineStr">
        <is>
          <t>Nincs az élő kínálatban – Idom, bővítő / szűkítő, csőtoldó, visszacsapó szelep, csőkapcsoló</t>
        </is>
      </c>
    </row>
    <row r="1626">
      <c r="A1626" s="14" t="inlineStr">
        <is>
          <t>GRO3585</t>
        </is>
      </c>
      <c r="B1626" s="14" t="inlineStr">
        <is>
          <t>Légtechnikai idomkapcsoló Ø125 mm</t>
        </is>
      </c>
      <c r="C1626" s="14" t="inlineStr">
        <is>
          <t>Légtechnikai cső, idom, bilincs</t>
        </is>
      </c>
      <c r="D1626" s="14" t="inlineStr"/>
      <c r="E1626" s="14" t="inlineStr">
        <is>
          <t>Nem aktív</t>
        </is>
      </c>
      <c r="F1626" s="14" t="inlineStr">
        <is>
          <t>2024-10 – 2025-09 (lehet, hogy már nem aktív)</t>
        </is>
      </c>
      <c r="G1626" s="14" t="inlineStr">
        <is>
          <t>Nincs az élő kínálatban – Idom, bővítő / szűkítő, csőtoldó, visszacsapó szelep, csőkapcsoló</t>
        </is>
      </c>
    </row>
    <row r="1627">
      <c r="A1627" s="14" t="inlineStr">
        <is>
          <t>GRO3586</t>
        </is>
      </c>
      <c r="B1627" s="14" t="inlineStr">
        <is>
          <t>Légtechnikai idomkapcsoló Ø150 mm</t>
        </is>
      </c>
      <c r="C1627" s="14" t="inlineStr">
        <is>
          <t>Légtechnikai cső, idom, bilincs</t>
        </is>
      </c>
      <c r="D1627" s="14" t="inlineStr"/>
      <c r="E1627" s="14" t="inlineStr">
        <is>
          <t>Nem aktív</t>
        </is>
      </c>
      <c r="F1627" s="14" t="inlineStr">
        <is>
          <t>az elmúlt 6 hónapban</t>
        </is>
      </c>
      <c r="G1627" s="14" t="inlineStr">
        <is>
          <t>Nincs az élő kínálatban – Idom, bővítő / szűkítő, csőtoldó, visszacsapó szelep, csőkapcsoló</t>
        </is>
      </c>
    </row>
    <row r="1628">
      <c r="A1628" s="14" t="inlineStr">
        <is>
          <t>GRO3587</t>
        </is>
      </c>
      <c r="B1628" s="14" t="inlineStr">
        <is>
          <t>Légtechnikai idomkapcsoló Ø160 mm</t>
        </is>
      </c>
      <c r="C1628" s="14" t="inlineStr">
        <is>
          <t>Légtechnikai cső, idom, bilincs</t>
        </is>
      </c>
      <c r="D1628" s="14" t="inlineStr"/>
      <c r="E1628" s="14" t="inlineStr">
        <is>
          <t>Nem aktív</t>
        </is>
      </c>
      <c r="F1628" s="14" t="inlineStr">
        <is>
          <t>2025-10 – 2026-04</t>
        </is>
      </c>
      <c r="G1628" s="14" t="inlineStr">
        <is>
          <t>Nincs az élő kínálatban – Idom, bővítő / szűkítő, csőtoldó, visszacsapó szelep, csőkapcsoló</t>
        </is>
      </c>
    </row>
    <row r="1629">
      <c r="A1629" s="14" t="inlineStr">
        <is>
          <t>GRO3589</t>
        </is>
      </c>
      <c r="B1629" s="14" t="inlineStr">
        <is>
          <t>Légtechnikai idomkapcsoló Ø250 mm</t>
        </is>
      </c>
      <c r="C1629" s="14" t="inlineStr">
        <is>
          <t>Légtechnikai cső, idom, bilincs</t>
        </is>
      </c>
      <c r="D1629" s="14" t="inlineStr"/>
      <c r="E1629" s="14" t="inlineStr">
        <is>
          <t>Nem aktív</t>
        </is>
      </c>
      <c r="F1629" s="14" t="inlineStr">
        <is>
          <t>2025-10 – 2026-04</t>
        </is>
      </c>
      <c r="G1629" s="14" t="inlineStr">
        <is>
          <t>Nincs az élő kínálatban – Idom, bővítő / szűkítő, csőtoldó, visszacsapó szelep, csőkapcsoló</t>
        </is>
      </c>
    </row>
    <row r="1630">
      <c r="A1630" s="14" t="inlineStr">
        <is>
          <t>GRO3747</t>
        </is>
      </c>
      <c r="B1630" s="14" t="inlineStr">
        <is>
          <t>Combiflex alumínium cső 10m 160 mm</t>
        </is>
      </c>
      <c r="C1630" s="14" t="inlineStr">
        <is>
          <t>Légtechnikai cső, idom, bilincs</t>
        </is>
      </c>
      <c r="D1630" s="14" t="inlineStr"/>
      <c r="E1630" s="14" t="inlineStr">
        <is>
          <t>Nem aktív</t>
        </is>
      </c>
      <c r="F1630" s="14" t="inlineStr">
        <is>
          <t>az elmúlt 6 hónapban</t>
        </is>
      </c>
      <c r="G1630" s="14" t="inlineStr">
        <is>
          <t>Nincs az élő kínálatban – Flexibilis légcsatorna cső (Aluflex, Sonoflex, Combiflex)</t>
        </is>
      </c>
    </row>
    <row r="1631">
      <c r="A1631" s="14" t="inlineStr">
        <is>
          <t>GYUJTO0485</t>
        </is>
      </c>
      <c r="B1631" s="14" t="inlineStr">
        <is>
          <t>VENTS fém T idom</t>
        </is>
      </c>
      <c r="C1631" s="14" t="inlineStr">
        <is>
          <t>Légtechnikai cső, idom, bilincs</t>
        </is>
      </c>
      <c r="D1631" s="14" t="inlineStr"/>
      <c r="E1631" s="14" t="inlineStr">
        <is>
          <t>Nem aktív</t>
        </is>
      </c>
      <c r="F1631" s="14" t="inlineStr">
        <is>
          <t>2024-10 – 2025-09 (lehet, hogy már nem aktív)</t>
        </is>
      </c>
      <c r="G1631" s="14" t="inlineStr">
        <is>
          <t>Nincs az élő kínálatban – Idom, bővítő / szűkítő, csőtoldó, visszacsapó szelep, csőkapcsoló</t>
        </is>
      </c>
    </row>
    <row r="1632">
      <c r="A1632" s="14" t="inlineStr">
        <is>
          <t>GRO3531</t>
        </is>
      </c>
      <c r="B1632" s="14" t="inlineStr">
        <is>
          <t>Bluelab Combo mérő (pH, tápanyag, hőmérséklet)</t>
        </is>
      </c>
      <c r="C1632" s="14" t="inlineStr">
        <is>
          <t>Mérőműszer ág – pH / EC mérő</t>
        </is>
      </c>
      <c r="D1632" s="14" t="inlineStr"/>
      <c r="E1632" s="14" t="inlineStr">
        <is>
          <t>Nem aktív</t>
        </is>
      </c>
      <c r="F1632" s="14" t="inlineStr">
        <is>
          <t>az elmúlt 6 hónapban</t>
        </is>
      </c>
      <c r="G1632" s="14" t="inlineStr">
        <is>
          <t>Nincs az élő kínálatban – Talaj- / tápoldat-mérő</t>
        </is>
      </c>
    </row>
    <row r="1633">
      <c r="A1633" s="14" t="inlineStr">
        <is>
          <t>GRO2089</t>
        </is>
      </c>
      <c r="B1633" s="14" t="inlineStr">
        <is>
          <t>Páramentesítő 12 l/nap</t>
        </is>
      </c>
      <c r="C1633" s="14" t="inlineStr">
        <is>
          <t>Páramentesítő</t>
        </is>
      </c>
      <c r="D1633" s="14" t="inlineStr"/>
      <c r="E1633" s="14" t="inlineStr">
        <is>
          <t>Nem aktív</t>
        </is>
      </c>
      <c r="F1633" s="14" t="inlineStr">
        <is>
          <t>2025-10 – 2026-04</t>
        </is>
      </c>
      <c r="G1633" s="14" t="inlineStr">
        <is>
          <t>Nincs az élő kínálatban – Páramentesítő</t>
        </is>
      </c>
    </row>
    <row r="1634">
      <c r="A1634" s="14" t="inlineStr">
        <is>
          <t>GRO3323</t>
        </is>
      </c>
      <c r="B1634" s="14" t="inlineStr">
        <is>
          <t>Cezio párásító (6,5 l / h)</t>
        </is>
      </c>
      <c r="C1634" s="14" t="inlineStr">
        <is>
          <t>Párásító</t>
        </is>
      </c>
      <c r="D1634" s="14" t="inlineStr"/>
      <c r="E1634" s="14" t="inlineStr">
        <is>
          <t>Nem aktív</t>
        </is>
      </c>
      <c r="F1634" s="14" t="inlineStr">
        <is>
          <t>2025-10 – 2026-04</t>
        </is>
      </c>
      <c r="G1634" s="14" t="inlineStr">
        <is>
          <t>Nincs az élő kínálatban – Párásító (ultrahangos, Cloudforge, Dark Fogger)</t>
        </is>
      </c>
    </row>
    <row r="1635">
      <c r="A1635" s="14" t="inlineStr">
        <is>
          <t>GRO2482</t>
        </is>
      </c>
      <c r="B1635" s="14" t="inlineStr">
        <is>
          <t>ONA Gel szagsemlegesítő zselé (Fresh Linen) 1 liter</t>
        </is>
      </c>
      <c r="C1635" s="14" t="inlineStr">
        <is>
          <t>Szagsemlegesítő, ózongenerátor</t>
        </is>
      </c>
      <c r="D1635" s="14" t="inlineStr"/>
      <c r="E1635" s="14" t="inlineStr">
        <is>
          <t>Nem aktív</t>
        </is>
      </c>
      <c r="F1635" s="14" t="inlineStr">
        <is>
          <t>az elmúlt 6 hónapban</t>
        </is>
      </c>
      <c r="G1635" s="14" t="inlineStr">
        <is>
          <t>Nincs az élő kínálatban – ONA gél, tömb, spray, folyadék</t>
        </is>
      </c>
    </row>
    <row r="1636">
      <c r="A1636" s="14" t="inlineStr">
        <is>
          <t>GRO2782</t>
        </is>
      </c>
      <c r="B1636" s="14" t="inlineStr">
        <is>
          <t>ONA Spray Pumpás Szagsemlegesítő ONA Spray Fresh Linen</t>
        </is>
      </c>
      <c r="C1636" s="14" t="inlineStr">
        <is>
          <t>Szagsemlegesítő, ózongenerátor</t>
        </is>
      </c>
      <c r="D1636" s="14" t="inlineStr"/>
      <c r="E1636" s="14" t="inlineStr">
        <is>
          <t>Nem aktív</t>
        </is>
      </c>
      <c r="F1636" s="14" t="inlineStr">
        <is>
          <t>az elmúlt 6 hónapban</t>
        </is>
      </c>
      <c r="G1636" s="14" t="inlineStr">
        <is>
          <t>Nincs az élő kínálatban – ONA gél, tömb, spray, folyadék</t>
        </is>
      </c>
    </row>
    <row r="1637">
      <c r="A1637" s="14" t="inlineStr">
        <is>
          <t>GRO2803</t>
        </is>
      </c>
      <c r="B1637" s="14" t="inlineStr">
        <is>
          <t>ONA Gel szagsemlegesítő zselé (Polar Crystal) 20 liter</t>
        </is>
      </c>
      <c r="C1637" s="14" t="inlineStr">
        <is>
          <t>Szagsemlegesítő, ózongenerátor</t>
        </is>
      </c>
      <c r="D1637" s="14" t="inlineStr"/>
      <c r="E1637" s="14" t="inlineStr">
        <is>
          <t>Nem aktív</t>
        </is>
      </c>
      <c r="F1637" s="14" t="inlineStr">
        <is>
          <t>2025-10 – 2026-04</t>
        </is>
      </c>
      <c r="G1637" s="14" t="inlineStr">
        <is>
          <t>Nincs az élő kínálatban – ONA gél, tömb, spray, folyadék</t>
        </is>
      </c>
    </row>
    <row r="1638">
      <c r="A1638" s="14" t="inlineStr">
        <is>
          <t>GRO3695</t>
        </is>
      </c>
      <c r="B1638" s="14" t="inlineStr">
        <is>
          <t>ONA Block adagoló</t>
        </is>
      </c>
      <c r="C1638" s="14" t="inlineStr">
        <is>
          <t>Szagsemlegesítő, ózongenerátor</t>
        </is>
      </c>
      <c r="D1638" s="14" t="inlineStr"/>
      <c r="E1638" s="14" t="inlineStr">
        <is>
          <t>Nem aktív</t>
        </is>
      </c>
      <c r="F1638" s="14" t="inlineStr">
        <is>
          <t>az elmúlt 6 hónapban</t>
        </is>
      </c>
      <c r="G1638" s="14" t="inlineStr">
        <is>
          <t>Nincs az élő kínálatban – ONA gél, tömb, spray, folyadék</t>
        </is>
      </c>
    </row>
    <row r="1639">
      <c r="A1639" s="14" t="inlineStr">
        <is>
          <t>GRO3936</t>
        </is>
      </c>
      <c r="B1639" s="14" t="inlineStr">
        <is>
          <t>ONA Block szagsemlegesítő tömb Lemongrass</t>
        </is>
      </c>
      <c r="C1639" s="14" t="inlineStr">
        <is>
          <t>Szagsemlegesítő, ózongenerátor</t>
        </is>
      </c>
      <c r="D1639" s="14" t="inlineStr"/>
      <c r="E1639" s="14" t="inlineStr">
        <is>
          <t>Nem aktív</t>
        </is>
      </c>
      <c r="F1639" s="14" t="inlineStr">
        <is>
          <t>az elmúlt 6 hónapban</t>
        </is>
      </c>
      <c r="G1639" s="14" t="inlineStr">
        <is>
          <t>Nincs az élő kínálatban – ONA gél, tömb, spray, folyadék</t>
        </is>
      </c>
    </row>
  </sheetData>
  <autoFilter ref="A6:G16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Más szándékú vagy nem kínált témák, bővítési lehetőségek.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Háztartási ventilátor (álló, asztali, torony)</t>
        </is>
      </c>
      <c r="B5" s="2" t="inlineStr">
        <is>
          <t>Nagy volumen, de nem growshop-termék – csak kínálatbővítés esetén</t>
        </is>
      </c>
      <c r="C5" s="18">
        <f>SUMIFS(C14:C30,A14:A30,A5,E14:E30,"&lt;&gt;Nem")</f>
        <v/>
      </c>
    </row>
    <row r="6">
      <c r="A6" s="2" t="inlineStr">
        <is>
          <t>Fürdőszobai / konyhai elszívó</t>
        </is>
      </c>
      <c r="B6" s="2" t="inlineStr">
        <is>
          <t>Nem a mi termékünk</t>
        </is>
      </c>
      <c r="C6" s="18">
        <f>SUMIFS(C14:C30,A14:A30,A6,E14:E30,"&lt;&gt;Nem")</f>
        <v/>
      </c>
    </row>
    <row r="7">
      <c r="A7" s="2" t="inlineStr">
        <is>
          <t>Konyhai páraelszívó szénszűrője</t>
        </is>
      </c>
      <c r="B7" s="2" t="inlineStr">
        <is>
          <t>Nem a mi termékünk</t>
        </is>
      </c>
      <c r="C7" s="18">
        <f>SUMIFS(C14:C30,A14:A30,A7,E14:E30,"&lt;&gt;Nem")</f>
        <v/>
      </c>
    </row>
    <row r="8">
      <c r="A8" s="2" t="inlineStr">
        <is>
          <t>Ózongenerátor-kínálat bővítése</t>
        </is>
      </c>
      <c r="B8" s="2" t="inlineStr">
        <is>
          <t>Erős kereslet (6600) – kínálatbővítés esetén saját 3. szintű kategória</t>
        </is>
      </c>
      <c r="C8" s="18">
        <f>SUMIFS(C14:C30,A14:A30,A8,E14:E30,"&lt;&gt;Nem")</f>
        <v/>
      </c>
    </row>
    <row r="9">
      <c r="A9" s="2" t="inlineStr">
        <is>
          <t>Lakás-szellőztetés, légtisztító</t>
        </is>
      </c>
      <c r="B9" s="2" t="inlineStr">
        <is>
          <t>Háztartási / épületgépészeti szándék – nem a mi termékünk</t>
        </is>
      </c>
      <c r="C9" s="18">
        <f>SUMIFS(C14:C30,A14:A30,A9,E14:E30,"&lt;&gt;Nem")</f>
        <v/>
      </c>
    </row>
    <row r="10">
      <c r="A10" s="2" t="inlineStr">
        <is>
          <t>Szobatermosztát</t>
        </is>
      </c>
      <c r="B10" s="2" t="inlineStr">
        <is>
          <t>Fűtéstechnika – nem a mi termékünk</t>
        </is>
      </c>
      <c r="C10" s="18">
        <f>SUMIFS(C14:C30,A14:A30,A10,E14:E30,"&lt;&gt;Nem")</f>
        <v/>
      </c>
    </row>
    <row r="13">
      <c r="A13" s="3" t="inlineStr">
        <is>
          <t>Terület</t>
        </is>
      </c>
      <c r="B13" s="3" t="inlineStr">
        <is>
          <t>Kulcsszó</t>
        </is>
      </c>
      <c r="C13" s="3" t="inlineStr">
        <is>
          <t>Havi keresés</t>
        </is>
      </c>
      <c r="D13" s="3" t="inlineStr">
        <is>
          <t>Kötődés a webshophoz</t>
        </is>
      </c>
      <c r="E13" s="3" t="inlineStr">
        <is>
          <t>Érdemes rá oldal?</t>
        </is>
      </c>
      <c r="F13" s="3" t="inlineStr">
        <is>
          <t>Javasolt felhasználás</t>
        </is>
      </c>
    </row>
    <row r="14">
      <c r="A14" s="8" t="inlineStr">
        <is>
          <t>Háztartási ventilátor (álló, asztali, torony)</t>
        </is>
      </c>
      <c r="B14" s="8" t="inlineStr">
        <is>
          <t>ventilátor</t>
        </is>
      </c>
      <c r="C14" s="19" t="n">
        <v>18100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 volumen, de nem growshop-termék – csak kínálatbővítés esetén</t>
        </is>
      </c>
    </row>
    <row r="15">
      <c r="A15" s="8" t="inlineStr">
        <is>
          <t>Háztartási ventilátor (álló, asztali, torony)</t>
        </is>
      </c>
      <c r="B15" s="8" t="inlineStr">
        <is>
          <t>álló ventilátor</t>
        </is>
      </c>
      <c r="C15" s="19" t="n">
        <v>4400</v>
      </c>
      <c r="D15" s="8" t="inlineStr">
        <is>
          <t>Laza</t>
        </is>
      </c>
      <c r="E15" s="8" t="inlineStr">
        <is>
          <t>Igen</t>
        </is>
      </c>
      <c r="F15" s="8" t="inlineStr">
        <is>
          <t>Nagy volumen, de nem growshop-termék – csak kínálatbővítés esetén</t>
        </is>
      </c>
    </row>
    <row r="16">
      <c r="A16" s="8" t="inlineStr">
        <is>
          <t>Háztartási ventilátor (álló, asztali, torony)</t>
        </is>
      </c>
      <c r="B16" s="8" t="inlineStr">
        <is>
          <t>asztali ventilátor</t>
        </is>
      </c>
      <c r="C16" s="19" t="n">
        <v>2400</v>
      </c>
      <c r="D16" s="8" t="inlineStr">
        <is>
          <t>Laza</t>
        </is>
      </c>
      <c r="E16" s="8" t="inlineStr">
        <is>
          <t>Igen</t>
        </is>
      </c>
      <c r="F16" s="8" t="inlineStr">
        <is>
          <t>Nagy volumen, de nem growshop-termék – csak kínálatbővítés esetén</t>
        </is>
      </c>
    </row>
    <row r="17">
      <c r="A17" s="9" t="inlineStr">
        <is>
          <t>Fürdőszobai / konyhai elszívó</t>
        </is>
      </c>
      <c r="B17" s="9" t="inlineStr">
        <is>
          <t>fürdőszobai elszívó</t>
        </is>
      </c>
      <c r="C17" s="20" t="n">
        <v>390</v>
      </c>
      <c r="D17" s="9" t="inlineStr">
        <is>
          <t>Laza</t>
        </is>
      </c>
      <c r="E17" s="9" t="inlineStr">
        <is>
          <t>Nem</t>
        </is>
      </c>
      <c r="F17" s="9" t="inlineStr">
        <is>
          <t>Nem a mi termékünk</t>
        </is>
      </c>
    </row>
    <row r="18">
      <c r="A18" s="9" t="inlineStr">
        <is>
          <t>Fürdőszobai / konyhai elszívó</t>
        </is>
      </c>
      <c r="B18" s="9" t="inlineStr">
        <is>
          <t>wc elszívó ventilátor</t>
        </is>
      </c>
      <c r="C18" s="20" t="n">
        <v>260</v>
      </c>
      <c r="D18" s="9" t="inlineStr">
        <is>
          <t>Laza</t>
        </is>
      </c>
      <c r="E18" s="9" t="inlineStr">
        <is>
          <t>Nem</t>
        </is>
      </c>
      <c r="F18" s="9" t="inlineStr">
        <is>
          <t>Nem a mi termékünk</t>
        </is>
      </c>
    </row>
    <row r="19">
      <c r="A19" s="9" t="inlineStr">
        <is>
          <t>Fürdőszobai / konyhai elszívó</t>
        </is>
      </c>
      <c r="B19" s="9" t="inlineStr">
        <is>
          <t>konyhai elszívó ventilátor</t>
        </is>
      </c>
      <c r="C19" s="20" t="n">
        <v>210</v>
      </c>
      <c r="D19" s="9" t="inlineStr">
        <is>
          <t>Laza</t>
        </is>
      </c>
      <c r="E19" s="9" t="inlineStr">
        <is>
          <t>Nem</t>
        </is>
      </c>
      <c r="F19" s="9" t="inlineStr">
        <is>
          <t>Nem a mi termékünk</t>
        </is>
      </c>
    </row>
    <row r="20">
      <c r="A20" s="9" t="inlineStr">
        <is>
          <t>Konyhai páraelszívó szénszűrője</t>
        </is>
      </c>
      <c r="B20" s="9" t="inlineStr">
        <is>
          <t>szénszűrős páraelszívó</t>
        </is>
      </c>
      <c r="C20" s="20" t="n">
        <v>390</v>
      </c>
      <c r="D20" s="9" t="inlineStr">
        <is>
          <t>Laza</t>
        </is>
      </c>
      <c r="E20" s="9" t="inlineStr">
        <is>
          <t>Nem</t>
        </is>
      </c>
      <c r="F20" s="9" t="inlineStr">
        <is>
          <t>Nem a mi termékünk</t>
        </is>
      </c>
    </row>
    <row r="21">
      <c r="A21" s="9" t="inlineStr">
        <is>
          <t>Konyhai páraelszívó szénszűrője</t>
        </is>
      </c>
      <c r="B21" s="9" t="inlineStr">
        <is>
          <t>páraelszívó szénszűrő</t>
        </is>
      </c>
      <c r="C21" s="20" t="n">
        <v>170</v>
      </c>
      <c r="D21" s="9" t="inlineStr">
        <is>
          <t>Laza</t>
        </is>
      </c>
      <c r="E21" s="9" t="inlineStr">
        <is>
          <t>Nem</t>
        </is>
      </c>
      <c r="F21" s="9" t="inlineStr">
        <is>
          <t>Nem a mi termékünk</t>
        </is>
      </c>
    </row>
    <row r="22">
      <c r="A22" s="4" t="inlineStr">
        <is>
          <t>Ózongenerátor-kínálat bővítése</t>
        </is>
      </c>
      <c r="B22" s="4" t="inlineStr">
        <is>
          <t>ózongenerátor</t>
        </is>
      </c>
      <c r="C22" s="5" t="n">
        <v>6600</v>
      </c>
      <c r="D22" s="4" t="inlineStr">
        <is>
          <t>Szoros</t>
        </is>
      </c>
      <c r="E22" s="4" t="inlineStr">
        <is>
          <t>Igen</t>
        </is>
      </c>
      <c r="F22" s="4" t="inlineStr">
        <is>
          <t>Erős kereslet (6600) – kínálatbővítés esetén saját 3. szintű kategória</t>
        </is>
      </c>
    </row>
    <row r="23">
      <c r="A23" s="4" t="inlineStr">
        <is>
          <t>Ózongenerátor-kínálat bővítése</t>
        </is>
      </c>
      <c r="B23" s="4" t="inlineStr">
        <is>
          <t>ozon generátor</t>
        </is>
      </c>
      <c r="C23" s="5" t="n">
        <v>1000</v>
      </c>
      <c r="D23" s="4" t="inlineStr">
        <is>
          <t>Szoros</t>
        </is>
      </c>
      <c r="E23" s="4" t="inlineStr">
        <is>
          <t>Igen</t>
        </is>
      </c>
      <c r="F23" s="4" t="inlineStr">
        <is>
          <t>Erős kereslet (6600) – kínálatbővítés esetén saját 3. szintű kategória</t>
        </is>
      </c>
    </row>
    <row r="24">
      <c r="A24" s="8" t="inlineStr">
        <is>
          <t>Ózongenerátor-kínálat bővítése</t>
        </is>
      </c>
      <c r="B24" s="8" t="inlineStr">
        <is>
          <t>ózongenerátor fertőtlenítés</t>
        </is>
      </c>
      <c r="C24" s="19" t="n">
        <v>590</v>
      </c>
      <c r="D24" s="8" t="inlineStr">
        <is>
          <t>Laza</t>
        </is>
      </c>
      <c r="E24" s="8" t="inlineStr">
        <is>
          <t>Igen</t>
        </is>
      </c>
      <c r="F24" s="8" t="inlineStr">
        <is>
          <t>Erős kereslet (6600) – kínálatbővítés esetén saját 3. szintű kategória</t>
        </is>
      </c>
    </row>
    <row r="25">
      <c r="A25" s="9" t="inlineStr">
        <is>
          <t>Lakás-szellőztetés, légtisztító</t>
        </is>
      </c>
      <c r="B25" s="9" t="inlineStr">
        <is>
          <t>légtisztító</t>
        </is>
      </c>
      <c r="C25" s="20" t="n">
        <v>5400</v>
      </c>
      <c r="D25" s="9" t="inlineStr">
        <is>
          <t>Laza</t>
        </is>
      </c>
      <c r="E25" s="9" t="inlineStr">
        <is>
          <t>Nem</t>
        </is>
      </c>
      <c r="F25" s="9" t="inlineStr">
        <is>
          <t>Háztartási / épületgépészeti szándék – nem a mi termékünk</t>
        </is>
      </c>
    </row>
    <row r="26">
      <c r="A26" s="9" t="inlineStr">
        <is>
          <t>Lakás-szellőztetés, légtisztító</t>
        </is>
      </c>
      <c r="B26" s="9" t="inlineStr">
        <is>
          <t>szellőzés</t>
        </is>
      </c>
      <c r="C26" s="20" t="n">
        <v>2900</v>
      </c>
      <c r="D26" s="9" t="inlineStr">
        <is>
          <t>Laza</t>
        </is>
      </c>
      <c r="E26" s="9" t="inlineStr">
        <is>
          <t>Nem</t>
        </is>
      </c>
      <c r="F26" s="9" t="inlineStr">
        <is>
          <t>Háztartási / épületgépészeti szándék – nem a mi termékünk</t>
        </is>
      </c>
    </row>
    <row r="27">
      <c r="A27" s="9" t="inlineStr">
        <is>
          <t>Lakás-szellőztetés, légtisztító</t>
        </is>
      </c>
      <c r="B27" s="9" t="inlineStr">
        <is>
          <t>szellőztető rendszer</t>
        </is>
      </c>
      <c r="C27" s="20" t="n">
        <v>1000</v>
      </c>
      <c r="D27" s="9" t="inlineStr">
        <is>
          <t>Laza</t>
        </is>
      </c>
      <c r="E27" s="9" t="inlineStr">
        <is>
          <t>Nem</t>
        </is>
      </c>
      <c r="F27" s="9" t="inlineStr">
        <is>
          <t>Háztartási / épületgépészeti szándék – nem a mi termékünk</t>
        </is>
      </c>
    </row>
    <row r="28">
      <c r="A28" s="9" t="inlineStr">
        <is>
          <t>Lakás-szellőztetés, légtisztító</t>
        </is>
      </c>
      <c r="B28" s="9" t="inlineStr">
        <is>
          <t>hővisszanyerős szellőztető rendszer</t>
        </is>
      </c>
      <c r="C28" s="20" t="n">
        <v>480</v>
      </c>
      <c r="D28" s="9" t="inlineStr">
        <is>
          <t>Laza</t>
        </is>
      </c>
      <c r="E28" s="9" t="inlineStr">
        <is>
          <t>Nem</t>
        </is>
      </c>
      <c r="F28" s="9" t="inlineStr">
        <is>
          <t>Háztartási / épületgépészeti szándék – nem a mi termékünk</t>
        </is>
      </c>
    </row>
    <row r="29">
      <c r="A29" s="8" t="inlineStr">
        <is>
          <t>Szobatermosztát</t>
        </is>
      </c>
      <c r="B29" s="8" t="inlineStr">
        <is>
          <t>digitális termosztát</t>
        </is>
      </c>
      <c r="C29" s="19" t="n">
        <v>390</v>
      </c>
      <c r="D29" s="8" t="inlineStr">
        <is>
          <t>Laza</t>
        </is>
      </c>
      <c r="E29" s="8" t="inlineStr">
        <is>
          <t>Igen</t>
        </is>
      </c>
      <c r="F29" s="8" t="inlineStr">
        <is>
          <t>Fűtéstechnika – nem a mi termékünk</t>
        </is>
      </c>
    </row>
    <row r="30">
      <c r="A30" s="8" t="inlineStr">
        <is>
          <t>Szobatermosztát</t>
        </is>
      </c>
      <c r="B30" s="8" t="inlineStr">
        <is>
          <t>konnektoros termosztát</t>
        </is>
      </c>
      <c r="C30" s="19" t="n">
        <v>110</v>
      </c>
      <c r="D30" s="8" t="inlineStr">
        <is>
          <t>Laza</t>
        </is>
      </c>
      <c r="E30" s="8" t="inlineStr">
        <is>
          <t>Igen</t>
        </is>
      </c>
      <c r="F30" s="8" t="inlineStr">
        <is>
          <t>Fűtéstechnika – nem a mi termékünk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jelenlegi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A „légtechnika” (1300) a legerősebb általános szó; az „aktív szénszűrő” (210) a névadó termék. Javasolt menünév marad: „Aktív szénszűrő, légtechnika”; H1: „Légtechnika – aktív szénszűrő, csőventilátor, légtechnikai cső”.</t>
        </is>
      </c>
      <c r="C5" s="18">
        <f>SUMIFS(C16:C35,A16:A35,A5,E16:E35,"Igen")</f>
        <v/>
      </c>
    </row>
    <row r="6">
      <c r="A6" s="2" t="inlineStr">
        <is>
          <t>Elszívás</t>
        </is>
      </c>
      <c r="B6" s="14" t="inlineStr">
        <is>
          <t>→ Csőventilátor, elszívó ventilátor</t>
        </is>
      </c>
      <c r="C6" s="18">
        <f>SUMIFS(C16:C35,A16:A35,A6,E16:E35,"Igen")</f>
        <v/>
      </c>
    </row>
    <row r="7">
      <c r="A7" s="2" t="inlineStr">
        <is>
          <t>Szagszűrés, szagkezelés</t>
        </is>
      </c>
      <c r="B7" s="14" t="inlineStr">
        <is>
          <t>→ Aktív szénszűrő; Szagsemlegesítő</t>
        </is>
      </c>
      <c r="C7" s="18">
        <f>SUMIFS(C16:C35,A16:A35,A7,E16:E35,"Igen")</f>
        <v/>
      </c>
    </row>
    <row r="8">
      <c r="A8" s="2" t="inlineStr">
        <is>
          <t>Csövezés</t>
        </is>
      </c>
      <c r="B8" s="14" t="inlineStr">
        <is>
          <t>→ Légtechnikai cső, idom, bilincs</t>
        </is>
      </c>
      <c r="C8" s="18">
        <f>SUMIFS(C16:C35,A16:A35,A8,E16:E35,"Igen")</f>
        <v/>
      </c>
    </row>
    <row r="9">
      <c r="A9" s="2" t="inlineStr">
        <is>
          <t>Légkeringetés</t>
        </is>
      </c>
      <c r="B9" s="14" t="inlineStr">
        <is>
          <t>→ Keringető ventilátor</t>
        </is>
      </c>
      <c r="C9" s="18">
        <f>SUMIFS(C16:C35,A16:A35,A9,E16:E35,"Igen")</f>
        <v/>
      </c>
    </row>
    <row r="10">
      <c r="A10" s="2" t="inlineStr">
        <is>
          <t>Páratartalom</t>
        </is>
      </c>
      <c r="B10" s="14" t="inlineStr">
        <is>
          <t>→ Páramentesítő; Párásító; Hő- és páratartalom-mérő</t>
        </is>
      </c>
      <c r="C10" s="18">
        <f>SUMIFS(C16:C35,A16:A35,A10,E16:E35,"Igen")</f>
        <v/>
      </c>
    </row>
    <row r="11">
      <c r="A11" s="2" t="inlineStr">
        <is>
          <t>Vezérlés</t>
        </is>
      </c>
      <c r="B11" s="14" t="inlineStr">
        <is>
          <t>→ Klímavezérlő</t>
        </is>
      </c>
      <c r="C11" s="18">
        <f>SUMIFS(C16:C35,A16:A35,A11,E16:E35,"Igen")</f>
        <v/>
      </c>
    </row>
    <row r="12">
      <c r="A12" s="2" t="inlineStr">
        <is>
          <t>CO2</t>
        </is>
      </c>
      <c r="B12" s="14" t="inlineStr">
        <is>
          <t>→ CO2-pótlás, CO2-mérő</t>
        </is>
      </c>
      <c r="C12" s="18">
        <f>SUMIFS(C16:C35,A16:A35,A12,E16:E35,"Igen")</f>
        <v/>
      </c>
    </row>
    <row r="15">
      <c r="A15" s="3" t="inlineStr">
        <is>
          <t>Régi kategória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Kötődés a webshophoz</t>
        </is>
      </c>
      <c r="E15" s="3" t="inlineStr">
        <is>
          <t>Érdemes rá oldal?</t>
        </is>
      </c>
      <c r="F15" s="3" t="inlineStr">
        <is>
          <t>Javasolt felhasználás</t>
        </is>
      </c>
    </row>
    <row r="16">
      <c r="A16" s="4" t="inlineStr">
        <is>
          <t>Főkategória-név</t>
        </is>
      </c>
      <c r="B16" s="4" t="inlineStr">
        <is>
          <t>légtechnika</t>
        </is>
      </c>
      <c r="C16" s="5" t="n">
        <v>1300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Főkategória-név</t>
        </is>
      </c>
      <c r="B17" s="4" t="inlineStr">
        <is>
          <t>légtechnikai bolt</t>
        </is>
      </c>
      <c r="C17" s="5" t="n">
        <v>720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Főkategória-név</t>
        </is>
      </c>
      <c r="B18" s="4" t="inlineStr">
        <is>
          <t>aktív szénszűrő</t>
        </is>
      </c>
      <c r="C18" s="5" t="n">
        <v>210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Főkategória-név</t>
        </is>
      </c>
      <c r="B19" s="4" t="inlineStr">
        <is>
          <t>légtechnika bolt</t>
        </is>
      </c>
      <c r="C19" s="5" t="n">
        <v>170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Főkategória-név</t>
        </is>
      </c>
      <c r="B20" s="4" t="inlineStr">
        <is>
          <t>légtechnika webáruház</t>
        </is>
      </c>
      <c r="C20" s="5" t="n">
        <v>110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Elszívás</t>
        </is>
      </c>
      <c r="B21" s="4" t="inlineStr">
        <is>
          <t>elszívó ventilátor</t>
        </is>
      </c>
      <c r="C21" s="5" t="n">
        <v>1900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Elszívás</t>
        </is>
      </c>
      <c r="B22" s="4" t="inlineStr">
        <is>
          <t>csőventilátor</t>
        </is>
      </c>
      <c r="C22" s="5" t="n">
        <v>1000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4" t="inlineStr">
        <is>
          <t>Szagszűrés, szagkezelés</t>
        </is>
      </c>
      <c r="B23" s="4" t="inlineStr">
        <is>
          <t>ózongenerátor</t>
        </is>
      </c>
      <c r="C23" s="5" t="n">
        <v>6600</v>
      </c>
      <c r="D23" s="4" t="inlineStr">
        <is>
          <t>Szoros</t>
        </is>
      </c>
      <c r="E23" s="4" t="inlineStr">
        <is>
          <t>Igen</t>
        </is>
      </c>
      <c r="F23" s="4" t="inlineStr">
        <is>
          <t>Az új kategória leírásában / átirányítás (301) a régi URL-ről</t>
        </is>
      </c>
    </row>
    <row r="24">
      <c r="A24" s="4" t="inlineStr">
        <is>
          <t>Szagszűrés, szagkezelés</t>
        </is>
      </c>
      <c r="B24" s="4" t="inlineStr">
        <is>
          <t>szagsemlegesítő</t>
        </is>
      </c>
      <c r="C24" s="5" t="n">
        <v>260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Szagszűrés, szagkezelés</t>
        </is>
      </c>
      <c r="B25" s="4" t="inlineStr">
        <is>
          <t>aktív szénszűrő</t>
        </is>
      </c>
      <c r="C25" s="5" t="n">
        <v>210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4" t="inlineStr">
        <is>
          <t>Csövezés</t>
        </is>
      </c>
      <c r="B26" s="4" t="inlineStr">
        <is>
          <t>légtechnika cső</t>
        </is>
      </c>
      <c r="C26" s="5" t="n">
        <v>880</v>
      </c>
      <c r="D26" s="4" t="inlineStr">
        <is>
          <t>Szoros</t>
        </is>
      </c>
      <c r="E26" s="4" t="inlineStr">
        <is>
          <t>Igen</t>
        </is>
      </c>
      <c r="F26" s="4" t="inlineStr">
        <is>
          <t>Az új kategória leírásában / átirányítás (301) a régi URL-ről</t>
        </is>
      </c>
    </row>
    <row r="27">
      <c r="A27" s="4" t="inlineStr">
        <is>
          <t>Csövezés</t>
        </is>
      </c>
      <c r="B27" s="4" t="inlineStr">
        <is>
          <t>légcsatorna</t>
        </is>
      </c>
      <c r="C27" s="5" t="n">
        <v>320</v>
      </c>
      <c r="D27" s="4" t="inlineStr">
        <is>
          <t>Szoros</t>
        </is>
      </c>
      <c r="E27" s="4" t="inlineStr">
        <is>
          <t>Igen</t>
        </is>
      </c>
      <c r="F27" s="4" t="inlineStr">
        <is>
          <t>Az új kategória leírásában / átirányítás (301) a régi URL-ről</t>
        </is>
      </c>
    </row>
    <row r="28">
      <c r="A28" s="4" t="inlineStr">
        <is>
          <t>Csövezés</t>
        </is>
      </c>
      <c r="B28" s="4" t="inlineStr">
        <is>
          <t>légtechnikai idom</t>
        </is>
      </c>
      <c r="C28" s="5" t="n">
        <v>210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4" t="inlineStr">
        <is>
          <t>Légkeringetés</t>
        </is>
      </c>
      <c r="B29" s="4" t="inlineStr">
        <is>
          <t>padlóventilátor</t>
        </is>
      </c>
      <c r="C29" s="5" t="n">
        <v>1300</v>
      </c>
      <c r="D29" s="4" t="inlineStr">
        <is>
          <t>Szoros</t>
        </is>
      </c>
      <c r="E29" s="4" t="inlineStr">
        <is>
          <t>Igen</t>
        </is>
      </c>
      <c r="F29" s="4" t="inlineStr">
        <is>
          <t>Az új kategória leírásában / átirányítás (301) a régi URL-ről</t>
        </is>
      </c>
    </row>
    <row r="30">
      <c r="A30" s="4" t="inlineStr">
        <is>
          <t>Páratartalom</t>
        </is>
      </c>
      <c r="B30" s="4" t="inlineStr">
        <is>
          <t>páramentesítő</t>
        </is>
      </c>
      <c r="C30" s="5" t="n">
        <v>9900</v>
      </c>
      <c r="D30" s="4" t="inlineStr">
        <is>
          <t>Szoros</t>
        </is>
      </c>
      <c r="E30" s="4" t="inlineStr">
        <is>
          <t>Igen</t>
        </is>
      </c>
      <c r="F30" s="4" t="inlineStr">
        <is>
          <t>Az új kategória leírásában / átirányítás (301) a régi URL-ről</t>
        </is>
      </c>
    </row>
    <row r="31">
      <c r="A31" s="4" t="inlineStr">
        <is>
          <t>Páratartalom</t>
        </is>
      </c>
      <c r="B31" s="4" t="inlineStr">
        <is>
          <t>párásító</t>
        </is>
      </c>
      <c r="C31" s="5" t="n">
        <v>5400</v>
      </c>
      <c r="D31" s="4" t="inlineStr">
        <is>
          <t>Szoros</t>
        </is>
      </c>
      <c r="E31" s="4" t="inlineStr">
        <is>
          <t>Igen</t>
        </is>
      </c>
      <c r="F31" s="4" t="inlineStr">
        <is>
          <t>Az új kategória leírásában / átirányítás (301) a régi URL-ről</t>
        </is>
      </c>
    </row>
    <row r="32">
      <c r="A32" s="4" t="inlineStr">
        <is>
          <t>Páratartalom</t>
        </is>
      </c>
      <c r="B32" s="4" t="inlineStr">
        <is>
          <t>páratartalom mérő</t>
        </is>
      </c>
      <c r="C32" s="5" t="n">
        <v>1600</v>
      </c>
      <c r="D32" s="4" t="inlineStr">
        <is>
          <t>Szoros</t>
        </is>
      </c>
      <c r="E32" s="4" t="inlineStr">
        <is>
          <t>Igen</t>
        </is>
      </c>
      <c r="F32" s="4" t="inlineStr">
        <is>
          <t>Az új kategória leírásában / átirányítás (301) a régi URL-ről</t>
        </is>
      </c>
    </row>
    <row r="33">
      <c r="A33" s="4" t="inlineStr">
        <is>
          <t>Vezérlés</t>
        </is>
      </c>
      <c r="B33" s="4" t="inlineStr">
        <is>
          <t>ventilátor fordulatszám szabályzó</t>
        </is>
      </c>
      <c r="C33" s="5" t="n">
        <v>110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Az új kategória leírásában / átirányítás (301) a régi URL-ről</t>
        </is>
      </c>
    </row>
    <row r="34">
      <c r="A34" s="4" t="inlineStr">
        <is>
          <t>Vezérlés</t>
        </is>
      </c>
      <c r="B34" s="4" t="inlineStr">
        <is>
          <t>higrosztát</t>
        </is>
      </c>
      <c r="C34" s="5" t="n">
        <v>70</v>
      </c>
      <c r="D34" s="4" t="inlineStr">
        <is>
          <t>Szoros</t>
        </is>
      </c>
      <c r="E34" s="4" t="inlineStr">
        <is>
          <t>Igen</t>
        </is>
      </c>
      <c r="F34" s="4" t="inlineStr">
        <is>
          <t>Az új kategória leírásában / átirányítás (301) a régi URL-ről</t>
        </is>
      </c>
    </row>
    <row r="35">
      <c r="A35" s="4" t="inlineStr">
        <is>
          <t>CO2</t>
        </is>
      </c>
      <c r="B35" s="4" t="inlineStr">
        <is>
          <t>co2 mérő</t>
        </is>
      </c>
      <c r="C35" s="5" t="n">
        <v>210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Keringető ventilátor</t>
        </is>
      </c>
      <c r="B2" s="9" t="n">
        <v>2</v>
      </c>
      <c r="C2" s="9" t="inlineStr">
        <is>
          <t>ventilátor</t>
        </is>
      </c>
      <c r="D2" s="9" t="n"/>
      <c r="E2" s="20" t="n">
        <v>18100</v>
      </c>
      <c r="F2" s="9" t="inlineStr">
        <is>
          <t>Laza</t>
        </is>
      </c>
      <c r="G2" s="9" t="inlineStr">
        <is>
          <t>Nem</t>
        </is>
      </c>
      <c r="H2" s="9" t="inlineStr">
        <is>
          <t>Légmozgatás a növények között – csíptetős (Monkey Fan, Cloudray), padló-, álló- és fali ventilátor</t>
        </is>
      </c>
      <c r="I2" s="9" t="inlineStr">
        <is>
          <t>Nem célozni külön oldallal (max. említés)</t>
        </is>
      </c>
    </row>
    <row r="3">
      <c r="A3" s="4" t="inlineStr">
        <is>
          <t>Páramentesítő</t>
        </is>
      </c>
      <c r="B3" s="4" t="n">
        <v>1</v>
      </c>
      <c r="C3" s="4" t="inlineStr">
        <is>
          <t>páramentesítő</t>
        </is>
      </c>
      <c r="D3" s="4" t="n"/>
      <c r="E3" s="5" t="n">
        <v>9900</v>
      </c>
      <c r="F3" s="4" t="inlineStr">
        <is>
          <t>Szoros</t>
        </is>
      </c>
      <c r="G3" s="4" t="inlineStr">
        <is>
          <t>Igen</t>
        </is>
      </c>
      <c r="H3" s="4" t="inlineStr">
        <is>
          <t>Páratartalom csökkentése a termesztőtérben, szárításnál – kompresszoros / Peltier páramentesítő</t>
        </is>
      </c>
      <c r="I3" s="4" t="inlineStr">
        <is>
          <t>Kategórianév + H1 + SEO title (fő kulcsszó)</t>
        </is>
      </c>
    </row>
    <row r="4">
      <c r="A4" s="4" t="inlineStr">
        <is>
          <t>Szagsemlegesítő, ózongenerátor</t>
        </is>
      </c>
      <c r="B4" s="4" t="n">
        <v>2</v>
      </c>
      <c r="C4" s="4" t="inlineStr">
        <is>
          <t>ózongenerátor</t>
        </is>
      </c>
      <c r="D4" s="4" t="n"/>
      <c r="E4" s="5" t="n">
        <v>6600</v>
      </c>
      <c r="F4" s="4" t="inlineStr">
        <is>
          <t>Szoros</t>
        </is>
      </c>
      <c r="G4" s="4" t="inlineStr">
        <is>
          <t>Igen</t>
        </is>
      </c>
      <c r="H4" s="4" t="inlineStr">
        <is>
          <t>Szagkezelés szénszűrő mellett / helyett – ONA gél, tömb, spray, légcsatornába építhető ONA szűrő, ózongenerátor</t>
        </is>
      </c>
      <c r="I4" s="4" t="inlineStr">
        <is>
          <t>SEO title / H1 / bevezető (másodlagos)</t>
        </is>
      </c>
    </row>
    <row r="5">
      <c r="A5" s="4" t="inlineStr">
        <is>
          <t>Párásító</t>
        </is>
      </c>
      <c r="B5" s="4" t="n">
        <v>1</v>
      </c>
      <c r="C5" s="4" t="inlineStr">
        <is>
          <t>párásító</t>
        </is>
      </c>
      <c r="D5" s="4" t="n"/>
      <c r="E5" s="5" t="n">
        <v>5400</v>
      </c>
      <c r="F5" s="4" t="inlineStr">
        <is>
          <t>Szoros</t>
        </is>
      </c>
      <c r="G5" s="4" t="inlineStr">
        <is>
          <t>Igen</t>
        </is>
      </c>
      <c r="H5" s="4" t="inlineStr">
        <is>
          <t>Páratartalom növelése a termesztőtérben – ultrahangos / hideg párásító, ködgenerátor, vezérlő</t>
        </is>
      </c>
      <c r="I5" s="4" t="inlineStr">
        <is>
          <t>Kategórianév + H1 + SEO title (fő kulcsszó)</t>
        </is>
      </c>
    </row>
    <row r="6">
      <c r="A6" s="9" t="inlineStr">
        <is>
          <t>Keringető ventilátor</t>
        </is>
      </c>
      <c r="B6" s="9" t="n">
        <v>3</v>
      </c>
      <c r="C6" s="9" t="inlineStr">
        <is>
          <t>álló ventilátor</t>
        </is>
      </c>
      <c r="D6" s="9" t="n"/>
      <c r="E6" s="20" t="n">
        <v>4400</v>
      </c>
      <c r="F6" s="9" t="inlineStr">
        <is>
          <t>Laza</t>
        </is>
      </c>
      <c r="G6" s="9" t="inlineStr">
        <is>
          <t>Nem</t>
        </is>
      </c>
      <c r="H6" s="9" t="inlineStr">
        <is>
          <t>Légmozgatás a növények között – csíptetős (Monkey Fan, Cloudray), padló-, álló- és fali ventilátor</t>
        </is>
      </c>
      <c r="I6" s="9" t="inlineStr">
        <is>
          <t>Nem célozni külön oldallal (max. említés)</t>
        </is>
      </c>
    </row>
    <row r="7">
      <c r="A7" s="4" t="inlineStr">
        <is>
          <t>Párásító</t>
        </is>
      </c>
      <c r="B7" s="4" t="n">
        <v>2</v>
      </c>
      <c r="C7" s="4" t="inlineStr">
        <is>
          <t>párásító készülék</t>
        </is>
      </c>
      <c r="D7" s="4" t="n"/>
      <c r="E7" s="5" t="n">
        <v>4400</v>
      </c>
      <c r="F7" s="4" t="inlineStr">
        <is>
          <t>Szoros</t>
        </is>
      </c>
      <c r="G7" s="4" t="inlineStr">
        <is>
          <t>Igen</t>
        </is>
      </c>
      <c r="H7" s="4" t="inlineStr">
        <is>
          <t>Páratartalom növelése a termesztőtérben – ultrahangos / hideg párásító, ködgenerátor, vezérlő</t>
        </is>
      </c>
      <c r="I7" s="4" t="inlineStr">
        <is>
          <t>SEO title / H1 / bevezető (másodlagos)</t>
        </is>
      </c>
    </row>
    <row r="8">
      <c r="A8" s="4" t="inlineStr">
        <is>
          <t>Páramentesítő</t>
        </is>
      </c>
      <c r="B8" s="4" t="n">
        <v>2</v>
      </c>
      <c r="C8" s="4" t="inlineStr">
        <is>
          <t>párátlanító</t>
        </is>
      </c>
      <c r="D8" s="4" t="n"/>
      <c r="E8" s="5" t="n">
        <v>3600</v>
      </c>
      <c r="F8" s="4" t="inlineStr">
        <is>
          <t>Szoros</t>
        </is>
      </c>
      <c r="G8" s="4" t="inlineStr">
        <is>
          <t>Igen</t>
        </is>
      </c>
      <c r="H8" s="4" t="inlineStr">
        <is>
          <t>Páratartalom csökkentése a termesztőtérben, szárításnál – kompresszoros / Peltier páramentesítő</t>
        </is>
      </c>
      <c r="I8" s="4" t="inlineStr">
        <is>
          <t>SEO title / H1 / bevezető (másodlagos)</t>
        </is>
      </c>
    </row>
    <row r="9">
      <c r="A9" s="9" t="inlineStr">
        <is>
          <t>Légtechnikai cső, idom, bilincs</t>
        </is>
      </c>
      <c r="B9" s="9" t="n">
        <v>2</v>
      </c>
      <c r="C9" s="9" t="inlineStr">
        <is>
          <t>flexibilis cső</t>
        </is>
      </c>
      <c r="D9" s="9" t="n"/>
      <c r="E9" s="20" t="n">
        <v>2400</v>
      </c>
      <c r="F9" s="9" t="inlineStr">
        <is>
          <t>Laza</t>
        </is>
      </c>
      <c r="G9" s="9" t="inlineStr">
        <is>
          <t>Nem</t>
        </is>
      </c>
      <c r="H9" s="9" t="inlineStr">
        <is>
          <t>Flexibilis légcsatorna (Aluflex, Sonoflex, Combiflex), idom, bővítő / szűkítő, csőtoldó, visszacsapó szelep, bilincs, ragasztószalag, ventilátor-hangtompító</t>
        </is>
      </c>
      <c r="I9" s="9" t="inlineStr">
        <is>
          <t>Nem célozni külön oldallal (max. említés)</t>
        </is>
      </c>
    </row>
    <row r="10">
      <c r="A10" s="9" t="inlineStr">
        <is>
          <t>Légtechnikai cső, idom, bilincs</t>
        </is>
      </c>
      <c r="B10" s="9" t="n">
        <v>3</v>
      </c>
      <c r="C10" s="9" t="inlineStr">
        <is>
          <t>visszacsapó szelep</t>
        </is>
      </c>
      <c r="D10" s="9" t="n"/>
      <c r="E10" s="20" t="n">
        <v>2400</v>
      </c>
      <c r="F10" s="9" t="inlineStr">
        <is>
          <t>Laza</t>
        </is>
      </c>
      <c r="G10" s="9" t="inlineStr">
        <is>
          <t>Nem</t>
        </is>
      </c>
      <c r="H10" s="9" t="inlineStr">
        <is>
          <t>Flexibilis légcsatorna (Aluflex, Sonoflex, Combiflex), idom, bővítő / szűkítő, csőtoldó, visszacsapó szelep, bilincs, ragasztószalag, ventilátor-hangtompító</t>
        </is>
      </c>
      <c r="I10" s="9" t="inlineStr">
        <is>
          <t>Nem célozni külön oldallal (max. említés)</t>
        </is>
      </c>
    </row>
    <row r="11">
      <c r="A11" s="9" t="inlineStr">
        <is>
          <t>Keringető ventilátor</t>
        </is>
      </c>
      <c r="B11" s="9" t="n">
        <v>4</v>
      </c>
      <c r="C11" s="9" t="inlineStr">
        <is>
          <t>asztali ventilátor</t>
        </is>
      </c>
      <c r="D11" s="9" t="n"/>
      <c r="E11" s="20" t="n">
        <v>2400</v>
      </c>
      <c r="F11" s="9" t="inlineStr">
        <is>
          <t>Laza</t>
        </is>
      </c>
      <c r="G11" s="9" t="inlineStr">
        <is>
          <t>Nem</t>
        </is>
      </c>
      <c r="H11" s="9" t="inlineStr">
        <is>
          <t>Légmozgatás a növények között – csíptetős (Monkey Fan, Cloudray), padló-, álló- és fali ventilátor</t>
        </is>
      </c>
      <c r="I11" s="9" t="inlineStr">
        <is>
          <t>Nem célozni külön oldallal (max. említés)</t>
        </is>
      </c>
    </row>
    <row r="12">
      <c r="A12" s="4" t="inlineStr">
        <is>
          <t>Páramentesítő</t>
        </is>
      </c>
      <c r="B12" s="4" t="n">
        <v>3</v>
      </c>
      <c r="C12" s="4" t="inlineStr">
        <is>
          <t>páramentesítő gép</t>
        </is>
      </c>
      <c r="D12" s="4" t="n"/>
      <c r="E12" s="5" t="n">
        <v>2400</v>
      </c>
      <c r="F12" s="4" t="inlineStr">
        <is>
          <t>Szoros</t>
        </is>
      </c>
      <c r="G12" s="4" t="inlineStr">
        <is>
          <t>Igen</t>
        </is>
      </c>
      <c r="H12" s="4" t="inlineStr">
        <is>
          <t>Páratartalom csökkentése a termesztőtérben, szárításnál – kompresszoros / Peltier páramentesítő</t>
        </is>
      </c>
      <c r="I12" s="4" t="inlineStr">
        <is>
          <t>SEO title / H1 / bevezető (másodlagos)</t>
        </is>
      </c>
    </row>
    <row r="13">
      <c r="A13" s="4" t="inlineStr">
        <is>
          <t>Páramentesítő</t>
        </is>
      </c>
      <c r="B13" s="4" t="n">
        <v>4</v>
      </c>
      <c r="C13" s="4" t="inlineStr">
        <is>
          <t>páramentesítő készülék</t>
        </is>
      </c>
      <c r="D13" s="4" t="n"/>
      <c r="E13" s="5" t="n">
        <v>2400</v>
      </c>
      <c r="F13" s="4" t="inlineStr">
        <is>
          <t>Szoros</t>
        </is>
      </c>
      <c r="G13" s="4" t="inlineStr">
        <is>
          <t>Igen</t>
        </is>
      </c>
      <c r="H13" s="4" t="inlineStr">
        <is>
          <t>Páratartalom csökkentése a termesztőtérben, szárításnál – kompresszoros / Peltier páramentesítő</t>
        </is>
      </c>
      <c r="I13" s="4" t="inlineStr">
        <is>
          <t>SEO title / H1 / bevezető (másodlagos)</t>
        </is>
      </c>
    </row>
    <row r="14">
      <c r="A14" s="4" t="inlineStr">
        <is>
          <t>Páramentesítő</t>
        </is>
      </c>
      <c r="B14" s="4" t="n">
        <v>5</v>
      </c>
      <c r="C14" s="4" t="inlineStr">
        <is>
          <t>párátlanító készülék</t>
        </is>
      </c>
      <c r="D14" s="4" t="n"/>
      <c r="E14" s="5" t="n">
        <v>2400</v>
      </c>
      <c r="F14" s="4" t="inlineStr">
        <is>
          <t>Szoros</t>
        </is>
      </c>
      <c r="G14" s="4" t="inlineStr">
        <is>
          <t>Igen</t>
        </is>
      </c>
      <c r="H14" s="4" t="inlineStr">
        <is>
          <t>Páratartalom csökkentése a termesztőtérben, szárításnál – kompresszoros / Peltier páramentesítő</t>
        </is>
      </c>
      <c r="I14" s="4" t="inlineStr">
        <is>
          <t>SEO title / H1 / bevezető (másodlagos)</t>
        </is>
      </c>
    </row>
    <row r="15">
      <c r="A15" s="4" t="inlineStr">
        <is>
          <t>Csőventilátor, elszívó ventilátor</t>
        </is>
      </c>
      <c r="B15" s="4" t="n">
        <v>2</v>
      </c>
      <c r="C15" s="4" t="inlineStr">
        <is>
          <t>elszívó ventilátor</t>
        </is>
      </c>
      <c r="D15" s="4" t="n"/>
      <c r="E15" s="5" t="n">
        <v>1900</v>
      </c>
      <c r="F15" s="4" t="inlineStr">
        <is>
          <t>Szoros</t>
        </is>
      </c>
      <c r="G15" s="4" t="inlineStr">
        <is>
          <t>Igen</t>
        </is>
      </c>
      <c r="H15" s="4" t="inlineStr">
        <is>
          <t>Elszívás / befúvás a termesztőtérben – centrifugális, kevert áramlású és EC csőventilátor</t>
        </is>
      </c>
      <c r="I15" s="4" t="inlineStr">
        <is>
          <t>SEO title / H1 / bevezető (másodlagos)</t>
        </is>
      </c>
    </row>
    <row r="16">
      <c r="A16" s="4" t="inlineStr">
        <is>
          <t>Csőventilátor, elszívó ventilátor</t>
        </is>
      </c>
      <c r="B16" s="4" t="n">
        <v>3</v>
      </c>
      <c r="C16" s="4" t="inlineStr">
        <is>
          <t>elszívóventilátor</t>
        </is>
      </c>
      <c r="D16" s="4" t="n"/>
      <c r="E16" s="5" t="n">
        <v>1900</v>
      </c>
      <c r="F16" s="4" t="inlineStr">
        <is>
          <t>Szoros</t>
        </is>
      </c>
      <c r="G16" s="4" t="inlineStr">
        <is>
          <t>Igen</t>
        </is>
      </c>
      <c r="H16" s="4" t="inlineStr">
        <is>
          <t>Elszívás / befúvás a termesztőtérben – centrifugális, kevert áramlású és EC csőventilátor</t>
        </is>
      </c>
      <c r="I16" s="4" t="inlineStr">
        <is>
          <t>Kategórialeírás (természetes említés)</t>
        </is>
      </c>
    </row>
    <row r="17">
      <c r="A17" s="9" t="inlineStr">
        <is>
          <t>Légtechnikai cső, idom, bilincs</t>
        </is>
      </c>
      <c r="B17" s="9" t="n">
        <v>4</v>
      </c>
      <c r="C17" s="9" t="inlineStr">
        <is>
          <t>csőbilincs</t>
        </is>
      </c>
      <c r="D17" s="9" t="n"/>
      <c r="E17" s="20" t="n">
        <v>1900</v>
      </c>
      <c r="F17" s="9" t="inlineStr">
        <is>
          <t>Laza</t>
        </is>
      </c>
      <c r="G17" s="9" t="inlineStr">
        <is>
          <t>Nem</t>
        </is>
      </c>
      <c r="H17" s="9" t="inlineStr">
        <is>
          <t>Flexibilis légcsatorna (Aluflex, Sonoflex, Combiflex), idom, bővítő / szűkítő, csőtoldó, visszacsapó szelep, bilincs, ragasztószalag, ventilátor-hangtompító</t>
        </is>
      </c>
      <c r="I17" s="9" t="inlineStr">
        <is>
          <t>Nem célozni külön oldallal (max. említés)</t>
        </is>
      </c>
    </row>
    <row r="18">
      <c r="A18" s="9" t="inlineStr">
        <is>
          <t>CO2-pótlás, CO2-mérő</t>
        </is>
      </c>
      <c r="B18" s="9" t="n">
        <v>2</v>
      </c>
      <c r="C18" s="9" t="inlineStr">
        <is>
          <t>co2</t>
        </is>
      </c>
      <c r="D18" s="9" t="n"/>
      <c r="E18" s="20" t="n">
        <v>1900</v>
      </c>
      <c r="F18" s="9" t="inlineStr">
        <is>
          <t>Laza</t>
        </is>
      </c>
      <c r="G18" s="9" t="inlineStr">
        <is>
          <t>Nem</t>
        </is>
      </c>
      <c r="H18" s="9" t="inlineStr">
        <is>
          <t>CO2-szint emelése és mérése – CO2 zsák, tabletta, palack + reduktor, propános CO2 generátor, CO2 érzékelő / szabályzó</t>
        </is>
      </c>
      <c r="I18" s="9" t="inlineStr">
        <is>
          <t>Nem célozni külön oldallal (max. említés)</t>
        </is>
      </c>
    </row>
    <row r="19">
      <c r="A19" s="8" t="inlineStr">
        <is>
          <t>Légtechnikai cső, idom, bilincs</t>
        </is>
      </c>
      <c r="B19" s="8" t="n">
        <v>5</v>
      </c>
      <c r="C19" s="8" t="inlineStr">
        <is>
          <t>duct tape</t>
        </is>
      </c>
      <c r="D19" s="8" t="n"/>
      <c r="E19" s="19" t="n">
        <v>1600</v>
      </c>
      <c r="F19" s="8" t="inlineStr">
        <is>
          <t>Laza</t>
        </is>
      </c>
      <c r="G19" s="8" t="inlineStr">
        <is>
          <t>Igen</t>
        </is>
      </c>
      <c r="H19" s="8" t="inlineStr">
        <is>
          <t>Flexibilis légcsatorna (Aluflex, Sonoflex, Combiflex), idom, bővítő / szűkítő, csőtoldó, visszacsapó szelep, bilincs, ragasztószalag, ventilátor-hangtompító</t>
        </is>
      </c>
      <c r="I19" s="8" t="inlineStr">
        <is>
          <t>Kategórialeírás (természetes említés)</t>
        </is>
      </c>
    </row>
    <row r="20">
      <c r="A20" s="4" t="inlineStr">
        <is>
          <t>Hő- és páratartalom-mérő</t>
        </is>
      </c>
      <c r="B20" s="4" t="n">
        <v>1</v>
      </c>
      <c r="C20" s="4" t="inlineStr">
        <is>
          <t>páratartalom mérő</t>
        </is>
      </c>
      <c r="D20" s="4" t="n"/>
      <c r="E20" s="5" t="n">
        <v>1600</v>
      </c>
      <c r="F20" s="4" t="inlineStr">
        <is>
          <t>Szoros</t>
        </is>
      </c>
      <c r="G20" s="4" t="inlineStr">
        <is>
          <t>Igen</t>
        </is>
      </c>
      <c r="H20" s="4" t="inlineStr">
        <is>
          <t>Hőmérséklet és relatív páratartalom mérése – digitális thermo-higrométer</t>
        </is>
      </c>
      <c r="I20" s="4" t="inlineStr">
        <is>
          <t>Kategórianév + H1 + SEO title (fő kulcsszó)</t>
        </is>
      </c>
    </row>
    <row r="21">
      <c r="A21" s="4" t="inlineStr">
        <is>
          <t>Hő- és páratartalom-mérő</t>
        </is>
      </c>
      <c r="B21" s="4" t="n">
        <v>2</v>
      </c>
      <c r="C21" s="4" t="inlineStr">
        <is>
          <t>páratartalommérő</t>
        </is>
      </c>
      <c r="D21" s="4" t="n"/>
      <c r="E21" s="5" t="n">
        <v>1600</v>
      </c>
      <c r="F21" s="4" t="inlineStr">
        <is>
          <t>Szoros</t>
        </is>
      </c>
      <c r="G21" s="4" t="inlineStr">
        <is>
          <t>Igen</t>
        </is>
      </c>
      <c r="H21" s="4" t="inlineStr">
        <is>
          <t>Hőmérséklet és relatív páratartalom mérése – digitális thermo-higrométer</t>
        </is>
      </c>
      <c r="I21" s="4" t="inlineStr">
        <is>
          <t>SEO title / H1 / bevezető (másodlagos)</t>
        </is>
      </c>
    </row>
    <row r="22">
      <c r="A22" s="4" t="inlineStr">
        <is>
          <t>Keringető ventilátor</t>
        </is>
      </c>
      <c r="B22" s="4" t="n">
        <v>1</v>
      </c>
      <c r="C22" s="4" t="inlineStr">
        <is>
          <t>padlóventilátor</t>
        </is>
      </c>
      <c r="D22" s="4" t="n"/>
      <c r="E22" s="5" t="n">
        <v>1300</v>
      </c>
      <c r="F22" s="4" t="inlineStr">
        <is>
          <t>Szoros</t>
        </is>
      </c>
      <c r="G22" s="4" t="inlineStr">
        <is>
          <t>Igen</t>
        </is>
      </c>
      <c r="H22" s="4" t="inlineStr">
        <is>
          <t>Légmozgatás a növények között – csíptetős (Monkey Fan, Cloudray), padló-, álló- és fali ventilátor</t>
        </is>
      </c>
      <c r="I22" s="4" t="inlineStr">
        <is>
          <t>Kategórianév + H1 + SEO title (fő kulcsszó)</t>
        </is>
      </c>
    </row>
    <row r="23">
      <c r="A23" s="4" t="inlineStr">
        <is>
          <t>Keringető ventilátor</t>
        </is>
      </c>
      <c r="B23" s="4" t="n">
        <v>5</v>
      </c>
      <c r="C23" s="4" t="inlineStr">
        <is>
          <t>padló ventilátor</t>
        </is>
      </c>
      <c r="D23" s="4" t="n"/>
      <c r="E23" s="5" t="n">
        <v>1300</v>
      </c>
      <c r="F23" s="4" t="inlineStr">
        <is>
          <t>Szoros</t>
        </is>
      </c>
      <c r="G23" s="4" t="inlineStr">
        <is>
          <t>Igen</t>
        </is>
      </c>
      <c r="H23" s="4" t="inlineStr">
        <is>
          <t>Légmozgatás a növények között – csíptetős (Monkey Fan, Cloudray), padló-, álló- és fali ventilátor</t>
        </is>
      </c>
      <c r="I23" s="4" t="inlineStr">
        <is>
          <t>SEO title / H1 / bevezető (másodlagos)</t>
        </is>
      </c>
    </row>
    <row r="24">
      <c r="A24" s="8" t="inlineStr">
        <is>
          <t>Keringető ventilátor</t>
        </is>
      </c>
      <c r="B24" s="8" t="n">
        <v>6</v>
      </c>
      <c r="C24" s="8" t="inlineStr">
        <is>
          <t>szellőztető ventilátor</t>
        </is>
      </c>
      <c r="D24" s="8" t="n"/>
      <c r="E24" s="19" t="n">
        <v>1300</v>
      </c>
      <c r="F24" s="8" t="inlineStr">
        <is>
          <t>Laza</t>
        </is>
      </c>
      <c r="G24" s="8" t="inlineStr">
        <is>
          <t>Igen</t>
        </is>
      </c>
      <c r="H24" s="8" t="inlineStr">
        <is>
          <t>Légmozgatás a növények között – csíptetős (Monkey Fan, Cloudray), padló-, álló- és fali ventilátor</t>
        </is>
      </c>
      <c r="I24" s="8" t="inlineStr">
        <is>
          <t>Kategórialeírás (természetes említés)</t>
        </is>
      </c>
    </row>
    <row r="25">
      <c r="A25" s="9" t="inlineStr">
        <is>
          <t>Párásító</t>
        </is>
      </c>
      <c r="B25" s="9" t="n">
        <v>3</v>
      </c>
      <c r="C25" s="9" t="inlineStr">
        <is>
          <t>párásító ventilátor</t>
        </is>
      </c>
      <c r="D25" s="9" t="n"/>
      <c r="E25" s="20" t="n">
        <v>1300</v>
      </c>
      <c r="F25" s="9" t="inlineStr">
        <is>
          <t>Laza</t>
        </is>
      </c>
      <c r="G25" s="9" t="inlineStr">
        <is>
          <t>Nem</t>
        </is>
      </c>
      <c r="H25" s="9" t="inlineStr">
        <is>
          <t>Páratartalom növelése a termesztőtérben – ultrahangos / hideg párásító, ködgenerátor, vezérlő</t>
        </is>
      </c>
      <c r="I25" s="9" t="inlineStr">
        <is>
          <t>Nem célozni külön oldallal (max. említés)</t>
        </is>
      </c>
    </row>
    <row r="26">
      <c r="A26" s="4" t="inlineStr">
        <is>
          <t>Csőventilátor, elszívó ventilátor</t>
        </is>
      </c>
      <c r="B26" s="4" t="n">
        <v>1</v>
      </c>
      <c r="C26" s="4" t="inlineStr">
        <is>
          <t>csőventilátor</t>
        </is>
      </c>
      <c r="D26" s="4" t="n"/>
      <c r="E26" s="5" t="n">
        <v>1000</v>
      </c>
      <c r="F26" s="4" t="inlineStr">
        <is>
          <t>Szoros</t>
        </is>
      </c>
      <c r="G26" s="4" t="inlineStr">
        <is>
          <t>Igen</t>
        </is>
      </c>
      <c r="H26" s="4" t="inlineStr">
        <is>
          <t>Elszívás / befúvás a termesztőtérben – centrifugális, kevert áramlású és EC csőventilátor</t>
        </is>
      </c>
      <c r="I26" s="4" t="inlineStr">
        <is>
          <t>Kategórianév + H1 + SEO title (fő kulcsszó)</t>
        </is>
      </c>
    </row>
    <row r="27">
      <c r="A27" s="4" t="inlineStr">
        <is>
          <t>Szagsemlegesítő, ózongenerátor</t>
        </is>
      </c>
      <c r="B27" s="4" t="n">
        <v>3</v>
      </c>
      <c r="C27" s="4" t="inlineStr">
        <is>
          <t>ozon generátor</t>
        </is>
      </c>
      <c r="D27" s="4" t="n"/>
      <c r="E27" s="5" t="n">
        <v>1000</v>
      </c>
      <c r="F27" s="4" t="inlineStr">
        <is>
          <t>Szoros</t>
        </is>
      </c>
      <c r="G27" s="4" t="inlineStr">
        <is>
          <t>Igen</t>
        </is>
      </c>
      <c r="H27" s="4" t="inlineStr">
        <is>
          <t>Szagkezelés szénszűrő mellett / helyett – ONA gél, tömb, spray, légcsatornába építhető ONA szűrő, ózongenerátor</t>
        </is>
      </c>
      <c r="I27" s="4" t="inlineStr">
        <is>
          <t>Kategórialeírás (természetes említés)</t>
        </is>
      </c>
    </row>
    <row r="28">
      <c r="A28" s="4" t="inlineStr">
        <is>
          <t>Szagsemlegesítő, ózongenerátor</t>
        </is>
      </c>
      <c r="B28" s="4" t="n">
        <v>4</v>
      </c>
      <c r="C28" s="4" t="inlineStr">
        <is>
          <t>ózon generator</t>
        </is>
      </c>
      <c r="D28" s="4" t="n"/>
      <c r="E28" s="5" t="n">
        <v>1000</v>
      </c>
      <c r="F28" s="4" t="inlineStr">
        <is>
          <t>Szoros</t>
        </is>
      </c>
      <c r="G28" s="4" t="inlineStr">
        <is>
          <t>Igen</t>
        </is>
      </c>
      <c r="H28" s="4" t="inlineStr">
        <is>
          <t>Szagkezelés szénszűrő mellett / helyett – ONA gél, tömb, spray, légcsatornába építhető ONA szűrő, ózongenerátor</t>
        </is>
      </c>
      <c r="I28" s="4" t="inlineStr">
        <is>
          <t>Kategórialeírás (természetes említés)</t>
        </is>
      </c>
    </row>
    <row r="29">
      <c r="A29" s="8" t="inlineStr">
        <is>
          <t>Keringető ventilátor</t>
        </is>
      </c>
      <c r="B29" s="8" t="n">
        <v>7</v>
      </c>
      <c r="C29" s="8" t="inlineStr">
        <is>
          <t>ipari ventilátor</t>
        </is>
      </c>
      <c r="D29" s="8" t="n"/>
      <c r="E29" s="19" t="n">
        <v>1000</v>
      </c>
      <c r="F29" s="8" t="inlineStr">
        <is>
          <t>Laza</t>
        </is>
      </c>
      <c r="G29" s="8" t="inlineStr">
        <is>
          <t>Igen</t>
        </is>
      </c>
      <c r="H29" s="8" t="inlineStr">
        <is>
          <t>Légmozgatás a növények között – csíptetős (Monkey Fan, Cloudray), padló-, álló- és fali ventilátor</t>
        </is>
      </c>
      <c r="I29" s="8" t="inlineStr">
        <is>
          <t>SEO title / H1 / bevezető (másodlagos)</t>
        </is>
      </c>
    </row>
    <row r="30">
      <c r="A30" s="4" t="inlineStr">
        <is>
          <t>Párásító</t>
        </is>
      </c>
      <c r="B30" s="4" t="n">
        <v>4</v>
      </c>
      <c r="C30" s="4" t="inlineStr">
        <is>
          <t>ultrahangos párásító</t>
        </is>
      </c>
      <c r="D30" s="4" t="n"/>
      <c r="E30" s="5" t="n">
        <v>1000</v>
      </c>
      <c r="F30" s="4" t="inlineStr">
        <is>
          <t>Szoros</t>
        </is>
      </c>
      <c r="G30" s="4" t="inlineStr">
        <is>
          <t>Igen</t>
        </is>
      </c>
      <c r="H30" s="4" t="inlineStr">
        <is>
          <t>Páratartalom növelése a termesztőtérben – ultrahangos / hideg párásító, ködgenerátor, vezérlő</t>
        </is>
      </c>
      <c r="I30" s="4" t="inlineStr">
        <is>
          <t>SEO title / H1 / bevezető (másodlagos)</t>
        </is>
      </c>
    </row>
    <row r="31">
      <c r="A31" s="8" t="inlineStr">
        <is>
          <t>CO2-pótlás, CO2-mérő</t>
        </is>
      </c>
      <c r="B31" s="8" t="n">
        <v>3</v>
      </c>
      <c r="C31" s="8" t="inlineStr">
        <is>
          <t>co2 palack</t>
        </is>
      </c>
      <c r="D31" s="8" t="n"/>
      <c r="E31" s="19" t="n">
        <v>1000</v>
      </c>
      <c r="F31" s="8" t="inlineStr">
        <is>
          <t>Laza</t>
        </is>
      </c>
      <c r="G31" s="8" t="inlineStr">
        <is>
          <t>Igen</t>
        </is>
      </c>
      <c r="H31" s="8" t="inlineStr">
        <is>
          <t>CO2-szint emelése és mérése – CO2 zsák, tabletta, palack + reduktor, propános CO2 generátor, CO2 érzékelő / szabályzó</t>
        </is>
      </c>
      <c r="I31" s="8" t="inlineStr">
        <is>
          <t>Kategórialeírás (természetes említés)</t>
        </is>
      </c>
    </row>
    <row r="32">
      <c r="A32" s="4" t="inlineStr">
        <is>
          <t>Légtechnikai cső, idom, bilincs</t>
        </is>
      </c>
      <c r="B32" s="4" t="n">
        <v>1</v>
      </c>
      <c r="C32" s="4" t="inlineStr">
        <is>
          <t>légtechnika cső</t>
        </is>
      </c>
      <c r="D32" s="4" t="n"/>
      <c r="E32" s="5" t="n">
        <v>880</v>
      </c>
      <c r="F32" s="4" t="inlineStr">
        <is>
          <t>Szoros</t>
        </is>
      </c>
      <c r="G32" s="4" t="inlineStr">
        <is>
          <t>Igen</t>
        </is>
      </c>
      <c r="H32" s="4" t="inlineStr">
        <is>
          <t>Flexibilis légcsatorna (Aluflex, Sonoflex, Combiflex), idom, bővítő / szűkítő, csőtoldó, visszacsapó szelep, bilincs, ragasztószalag, ventilátor-hangtompító</t>
        </is>
      </c>
      <c r="I32" s="4" t="inlineStr">
        <is>
          <t>Kategórianév + H1 + SEO title (fő kulcsszó)</t>
        </is>
      </c>
    </row>
    <row r="33">
      <c r="A33" s="9" t="inlineStr">
        <is>
          <t>Légtechnikai cső, idom, bilincs</t>
        </is>
      </c>
      <c r="B33" s="9" t="n">
        <v>6</v>
      </c>
      <c r="C33" s="9" t="inlineStr">
        <is>
          <t>hangtompító</t>
        </is>
      </c>
      <c r="D33" s="9" t="n"/>
      <c r="E33" s="20" t="n">
        <v>880</v>
      </c>
      <c r="F33" s="9" t="inlineStr">
        <is>
          <t>Laza</t>
        </is>
      </c>
      <c r="G33" s="9" t="inlineStr">
        <is>
          <t>Nem</t>
        </is>
      </c>
      <c r="H33" s="9" t="inlineStr">
        <is>
          <t>Flexibilis légcsatorna (Aluflex, Sonoflex, Combiflex), idom, bővítő / szűkítő, csőtoldó, visszacsapó szelep, bilincs, ragasztószalag, ventilátor-hangtompító</t>
        </is>
      </c>
      <c r="I33" s="9" t="inlineStr">
        <is>
          <t>Nem célozni külön oldallal (max. említés)</t>
        </is>
      </c>
    </row>
    <row r="34">
      <c r="A34" s="8" t="inlineStr">
        <is>
          <t>Keringető ventilátor</t>
        </is>
      </c>
      <c r="B34" s="8" t="n">
        <v>8</v>
      </c>
      <c r="C34" s="8" t="inlineStr">
        <is>
          <t>fali ventilátor</t>
        </is>
      </c>
      <c r="D34" s="8" t="n"/>
      <c r="E34" s="19" t="n">
        <v>880</v>
      </c>
      <c r="F34" s="8" t="inlineStr">
        <is>
          <t>Laza</t>
        </is>
      </c>
      <c r="G34" s="8" t="inlineStr">
        <is>
          <t>Igen</t>
        </is>
      </c>
      <c r="H34" s="8" t="inlineStr">
        <is>
          <t>Légmozgatás a növények között – csíptetős (Monkey Fan, Cloudray), padló-, álló- és fali ventilátor</t>
        </is>
      </c>
      <c r="I34" s="8" t="inlineStr">
        <is>
          <t>SEO title / H1 / bevezető (másodlagos)</t>
        </is>
      </c>
    </row>
    <row r="35">
      <c r="A35" s="4" t="inlineStr">
        <is>
          <t>Légtechnikai cső, idom, bilincs</t>
        </is>
      </c>
      <c r="B35" s="4" t="n">
        <v>7</v>
      </c>
      <c r="C35" s="4" t="inlineStr">
        <is>
          <t>alumínium ragasztószalag</t>
        </is>
      </c>
      <c r="D35" s="4" t="n"/>
      <c r="E35" s="5" t="n">
        <v>720</v>
      </c>
      <c r="F35" s="4" t="inlineStr">
        <is>
          <t>Szoros</t>
        </is>
      </c>
      <c r="G35" s="4" t="inlineStr">
        <is>
          <t>Igen</t>
        </is>
      </c>
      <c r="H35" s="4" t="inlineStr">
        <is>
          <t>Flexibilis légcsatorna (Aluflex, Sonoflex, Combiflex), idom, bővítő / szűkítő, csőtoldó, visszacsapó szelep, bilincs, ragasztószalag, ventilátor-hangtompító</t>
        </is>
      </c>
      <c r="I35" s="4" t="inlineStr">
        <is>
          <t>SEO title / H1 / bevezető (másodlagos)</t>
        </is>
      </c>
    </row>
    <row r="36">
      <c r="A36" s="4" t="inlineStr">
        <is>
          <t>Légtechnikai cső, idom, bilincs</t>
        </is>
      </c>
      <c r="B36" s="4" t="n">
        <v>8</v>
      </c>
      <c r="C36" s="4" t="inlineStr">
        <is>
          <t>alu ragasztószalag</t>
        </is>
      </c>
      <c r="D36" s="4" t="n"/>
      <c r="E36" s="5" t="n">
        <v>720</v>
      </c>
      <c r="F36" s="4" t="inlineStr">
        <is>
          <t>Szoros</t>
        </is>
      </c>
      <c r="G36" s="4" t="inlineStr">
        <is>
          <t>Igen</t>
        </is>
      </c>
      <c r="H36" s="4" t="inlineStr">
        <is>
          <t>Flexibilis légcsatorna (Aluflex, Sonoflex, Combiflex), idom, bővítő / szűkítő, csőtoldó, visszacsapó szelep, bilincs, ragasztószalag, ventilátor-hangtompító</t>
        </is>
      </c>
      <c r="I36" s="4" t="inlineStr">
        <is>
          <t>Kategórialeírás (természetes említés)</t>
        </is>
      </c>
    </row>
    <row r="37">
      <c r="A37" s="4" t="inlineStr">
        <is>
          <t>Szagsemlegesítő, ózongenerátor</t>
        </is>
      </c>
      <c r="B37" s="4" t="n">
        <v>5</v>
      </c>
      <c r="C37" s="4" t="inlineStr">
        <is>
          <t>ózóngenerátor</t>
        </is>
      </c>
      <c r="D37" s="4" t="n"/>
      <c r="E37" s="5" t="n">
        <v>720</v>
      </c>
      <c r="F37" s="4" t="inlineStr">
        <is>
          <t>Szoros</t>
        </is>
      </c>
      <c r="G37" s="4" t="inlineStr">
        <is>
          <t>Igen</t>
        </is>
      </c>
      <c r="H37" s="4" t="inlineStr">
        <is>
          <t>Szagkezelés szénszűrő mellett / helyett – ONA gél, tömb, spray, légcsatornába építhető ONA szűrő, ózongenerátor</t>
        </is>
      </c>
      <c r="I37" s="4" t="inlineStr">
        <is>
          <t>Kategórialeírás (természetes említés)</t>
        </is>
      </c>
    </row>
    <row r="38">
      <c r="A38" s="4" t="inlineStr">
        <is>
          <t>Szagsemlegesítő, ózongenerátor</t>
        </is>
      </c>
      <c r="B38" s="4" t="n">
        <v>6</v>
      </c>
      <c r="C38" s="4" t="inlineStr">
        <is>
          <t>ózongenerátor használata</t>
        </is>
      </c>
      <c r="D38" s="4" t="n"/>
      <c r="E38" s="5" t="n">
        <v>720</v>
      </c>
      <c r="F38" s="4" t="inlineStr">
        <is>
          <t>Szoros</t>
        </is>
      </c>
      <c r="G38" s="4" t="inlineStr">
        <is>
          <t>Igen</t>
        </is>
      </c>
      <c r="H38" s="4" t="inlineStr">
        <is>
          <t>Szagkezelés szénszűrő mellett / helyett – ONA gél, tömb, spray, légcsatornába építhető ONA szűrő, ózongenerátor</t>
        </is>
      </c>
      <c r="I38" s="4" t="inlineStr">
        <is>
          <t>Leírás alsó része, GYIK vagy blog</t>
        </is>
      </c>
    </row>
    <row r="39">
      <c r="A39" s="4" t="inlineStr">
        <is>
          <t>Páramentesítő</t>
        </is>
      </c>
      <c r="B39" s="4" t="n">
        <v>6</v>
      </c>
      <c r="C39" s="4" t="inlineStr">
        <is>
          <t>párátlanító gép</t>
        </is>
      </c>
      <c r="D39" s="4" t="n"/>
      <c r="E39" s="5" t="n">
        <v>720</v>
      </c>
      <c r="F39" s="4" t="inlineStr">
        <is>
          <t>Szoros</t>
        </is>
      </c>
      <c r="G39" s="4" t="inlineStr">
        <is>
          <t>Igen</t>
        </is>
      </c>
      <c r="H39" s="4" t="inlineStr">
        <is>
          <t>Páratartalom csökkentése a termesztőtérben, szárításnál – kompresszoros / Peltier páramentesítő</t>
        </is>
      </c>
      <c r="I39" s="4" t="inlineStr">
        <is>
          <t>SEO title / H1 / bevezető (másodlagos)</t>
        </is>
      </c>
    </row>
    <row r="40">
      <c r="A40" s="4" t="inlineStr">
        <is>
          <t>Párásító</t>
        </is>
      </c>
      <c r="B40" s="4" t="n">
        <v>5</v>
      </c>
      <c r="C40" s="4" t="inlineStr">
        <is>
          <t>hidegpárásító</t>
        </is>
      </c>
      <c r="D40" s="4" t="n"/>
      <c r="E40" s="5" t="n">
        <v>720</v>
      </c>
      <c r="F40" s="4" t="inlineStr">
        <is>
          <t>Szoros</t>
        </is>
      </c>
      <c r="G40" s="4" t="inlineStr">
        <is>
          <t>Igen</t>
        </is>
      </c>
      <c r="H40" s="4" t="inlineStr">
        <is>
          <t>Páratartalom növelése a termesztőtérben – ultrahangos / hideg párásító, ködgenerátor, vezérlő</t>
        </is>
      </c>
      <c r="I40" s="4" t="inlineStr">
        <is>
          <t>SEO title / H1 / bevezető (másodlagos)</t>
        </is>
      </c>
    </row>
    <row r="41">
      <c r="A41" s="8" t="inlineStr">
        <is>
          <t>Szagsemlegesítő, ózongenerátor</t>
        </is>
      </c>
      <c r="B41" s="8" t="n">
        <v>7</v>
      </c>
      <c r="C41" s="8" t="inlineStr">
        <is>
          <t>ózongenerátor fertőtlenítés</t>
        </is>
      </c>
      <c r="D41" s="8" t="n"/>
      <c r="E41" s="19" t="n">
        <v>590</v>
      </c>
      <c r="F41" s="8" t="inlineStr">
        <is>
          <t>Laza</t>
        </is>
      </c>
      <c r="G41" s="8" t="inlineStr">
        <is>
          <t>Igen</t>
        </is>
      </c>
      <c r="H41" s="8" t="inlineStr">
        <is>
          <t>Szagkezelés szénszűrő mellett / helyett – ONA gél, tömb, spray, légcsatornába építhető ONA szűrő, ózongenerátor</t>
        </is>
      </c>
      <c r="I41" s="8" t="inlineStr">
        <is>
          <t>Kategórialeírás (természetes említés)</t>
        </is>
      </c>
    </row>
    <row r="42">
      <c r="A42" s="4" t="inlineStr">
        <is>
          <t>Páramentesítő</t>
        </is>
      </c>
      <c r="B42" s="4" t="n">
        <v>7</v>
      </c>
      <c r="C42" s="4" t="inlineStr">
        <is>
          <t>legjobb páramentesítő</t>
        </is>
      </c>
      <c r="D42" s="4" t="n"/>
      <c r="E42" s="5" t="n">
        <v>590</v>
      </c>
      <c r="F42" s="4" t="inlineStr">
        <is>
          <t>Szoros</t>
        </is>
      </c>
      <c r="G42" s="4" t="inlineStr">
        <is>
          <t>Igen</t>
        </is>
      </c>
      <c r="H42" s="4" t="inlineStr">
        <is>
          <t>Páratartalom csökkentése a termesztőtérben, szárításnál – kompresszoros / Peltier páramentesítő</t>
        </is>
      </c>
      <c r="I42" s="4" t="inlineStr">
        <is>
          <t>Kategórialeírás (természetes említés)</t>
        </is>
      </c>
    </row>
    <row r="43">
      <c r="A43" s="4" t="inlineStr">
        <is>
          <t>Párásító</t>
        </is>
      </c>
      <c r="B43" s="4" t="n">
        <v>6</v>
      </c>
      <c r="C43" s="4" t="inlineStr">
        <is>
          <t>levegő párásító</t>
        </is>
      </c>
      <c r="D43" s="4" t="n"/>
      <c r="E43" s="5" t="n">
        <v>590</v>
      </c>
      <c r="F43" s="4" t="inlineStr">
        <is>
          <t>Szoros</t>
        </is>
      </c>
      <c r="G43" s="4" t="inlineStr">
        <is>
          <t>Igen</t>
        </is>
      </c>
      <c r="H43" s="4" t="inlineStr">
        <is>
          <t>Páratartalom növelése a termesztőtérben – ultrahangos / hideg párásító, ködgenerátor, vezérlő</t>
        </is>
      </c>
      <c r="I43" s="4" t="inlineStr">
        <is>
          <t>Kategórialeírás (természetes említés)</t>
        </is>
      </c>
    </row>
    <row r="44">
      <c r="A44" s="9" t="inlineStr">
        <is>
          <t>Csőventilátor, elszívó ventilátor</t>
        </is>
      </c>
      <c r="B44" s="9" t="n">
        <v>4</v>
      </c>
      <c r="C44" s="9" t="inlineStr">
        <is>
          <t>páraérzékelős csőventilátor</t>
        </is>
      </c>
      <c r="D44" s="9" t="n"/>
      <c r="E44" s="20" t="n">
        <v>480</v>
      </c>
      <c r="F44" s="9" t="inlineStr">
        <is>
          <t>Laza</t>
        </is>
      </c>
      <c r="G44" s="9" t="inlineStr">
        <is>
          <t>Nem</t>
        </is>
      </c>
      <c r="H44" s="9" t="inlineStr">
        <is>
          <t>Elszívás / befúvás a termesztőtérben – centrifugális, kevert áramlású és EC csőventilátor</t>
        </is>
      </c>
      <c r="I44" s="9" t="inlineStr">
        <is>
          <t>Nem célozni külön oldallal (max. említés)</t>
        </is>
      </c>
    </row>
    <row r="45">
      <c r="A45" s="9" t="inlineStr">
        <is>
          <t>Aktív szénszűrő, előszűrő</t>
        </is>
      </c>
      <c r="B45" s="9" t="n">
        <v>2</v>
      </c>
      <c r="C45" s="9" t="inlineStr">
        <is>
          <t>szénszűrős páraelszívó kivezetés nélkül</t>
        </is>
      </c>
      <c r="D45" s="9" t="n"/>
      <c r="E45" s="20" t="n">
        <v>480</v>
      </c>
      <c r="F45" s="9" t="inlineStr">
        <is>
          <t>Laza</t>
        </is>
      </c>
      <c r="G45" s="9" t="inlineStr">
        <is>
          <t>Nem</t>
        </is>
      </c>
      <c r="H45" s="9" t="inlineStr">
        <is>
          <t>Szagszűrés a termesztőtérből elszívott levegőből – aktív szénszűrő, előszűrő, utántöltő szén</t>
        </is>
      </c>
      <c r="I45" s="9" t="inlineStr">
        <is>
          <t>Nem célozni külön oldallal (max. említés)</t>
        </is>
      </c>
    </row>
    <row r="46">
      <c r="A46" s="4" t="inlineStr">
        <is>
          <t>Szagsemlegesítő, ózongenerátor</t>
        </is>
      </c>
      <c r="B46" s="4" t="n">
        <v>8</v>
      </c>
      <c r="C46" s="4" t="inlineStr">
        <is>
          <t>ózongenerátor ár</t>
        </is>
      </c>
      <c r="D46" s="4" t="n"/>
      <c r="E46" s="5" t="n">
        <v>480</v>
      </c>
      <c r="F46" s="4" t="inlineStr">
        <is>
          <t>Szoros</t>
        </is>
      </c>
      <c r="G46" s="4" t="inlineStr">
        <is>
          <t>Igen</t>
        </is>
      </c>
      <c r="H46" s="4" t="inlineStr">
        <is>
          <t>Szagkezelés szénszűrő mellett / helyett – ONA gél, tömb, spray, légcsatornába építhető ONA szűrő, ózongenerátor</t>
        </is>
      </c>
      <c r="I46" s="4" t="inlineStr">
        <is>
          <t>Kategórialeírás (természetes említés)</t>
        </is>
      </c>
    </row>
    <row r="47">
      <c r="A47" s="4" t="inlineStr">
        <is>
          <t>Hő- és páratartalom-mérő</t>
        </is>
      </c>
      <c r="B47" s="4" t="n">
        <v>3</v>
      </c>
      <c r="C47" s="4" t="inlineStr">
        <is>
          <t>higrométer</t>
        </is>
      </c>
      <c r="D47" s="4" t="n"/>
      <c r="E47" s="5" t="n">
        <v>480</v>
      </c>
      <c r="F47" s="4" t="inlineStr">
        <is>
          <t>Szoros</t>
        </is>
      </c>
      <c r="G47" s="4" t="inlineStr">
        <is>
          <t>Igen</t>
        </is>
      </c>
      <c r="H47" s="4" t="inlineStr">
        <is>
          <t>Hőmérséklet és relatív páratartalom mérése – digitális thermo-higrométer</t>
        </is>
      </c>
      <c r="I47" s="4" t="inlineStr">
        <is>
          <t>SEO title / H1 / bevezető (másodlagos)</t>
        </is>
      </c>
    </row>
    <row r="48">
      <c r="A48" s="9" t="inlineStr">
        <is>
          <t>Csőventilátor, elszívó ventilátor</t>
        </is>
      </c>
      <c r="B48" s="9" t="n">
        <v>5</v>
      </c>
      <c r="C48" s="9" t="inlineStr">
        <is>
          <t>fürdőszobai elszívó</t>
        </is>
      </c>
      <c r="D48" s="9" t="n"/>
      <c r="E48" s="20" t="n">
        <v>390</v>
      </c>
      <c r="F48" s="9" t="inlineStr">
        <is>
          <t>Laza</t>
        </is>
      </c>
      <c r="G48" s="9" t="inlineStr">
        <is>
          <t>Nem</t>
        </is>
      </c>
      <c r="H48" s="9" t="inlineStr">
        <is>
          <t>Elszívás / befúvás a termesztőtérben – centrifugális, kevert áramlású és EC csőventilátor</t>
        </is>
      </c>
      <c r="I48" s="9" t="inlineStr">
        <is>
          <t>Nem célozni külön oldallal (max. említés)</t>
        </is>
      </c>
    </row>
    <row r="49">
      <c r="A49" s="9" t="inlineStr">
        <is>
          <t>Aktív szénszűrő, előszűrő</t>
        </is>
      </c>
      <c r="B49" s="9" t="n">
        <v>3</v>
      </c>
      <c r="C49" s="9" t="inlineStr">
        <is>
          <t>szénszűrős páraelszívó</t>
        </is>
      </c>
      <c r="D49" s="9" t="n"/>
      <c r="E49" s="20" t="n">
        <v>390</v>
      </c>
      <c r="F49" s="9" t="inlineStr">
        <is>
          <t>Laza</t>
        </is>
      </c>
      <c r="G49" s="9" t="inlineStr">
        <is>
          <t>Nem</t>
        </is>
      </c>
      <c r="H49" s="9" t="inlineStr">
        <is>
          <t>Szagszűrés a termesztőtérből elszívott levegőből – aktív szénszűrő, előszűrő, utántöltő szén</t>
        </is>
      </c>
      <c r="I49" s="9" t="inlineStr">
        <is>
          <t>Nem célozni külön oldallal (max. említés)</t>
        </is>
      </c>
    </row>
    <row r="50">
      <c r="A50" s="4" t="inlineStr">
        <is>
          <t>Légtechnikai cső, idom, bilincs</t>
        </is>
      </c>
      <c r="B50" s="4" t="n">
        <v>9</v>
      </c>
      <c r="C50" s="4" t="inlineStr">
        <is>
          <t>szellőző cső</t>
        </is>
      </c>
      <c r="D50" s="4" t="n"/>
      <c r="E50" s="5" t="n">
        <v>390</v>
      </c>
      <c r="F50" s="4" t="inlineStr">
        <is>
          <t>Szoros</t>
        </is>
      </c>
      <c r="G50" s="4" t="inlineStr">
        <is>
          <t>Igen</t>
        </is>
      </c>
      <c r="H50" s="4" t="inlineStr">
        <is>
          <t>Flexibilis légcsatorna (Aluflex, Sonoflex, Combiflex), idom, bővítő / szűkítő, csőtoldó, visszacsapó szelep, bilincs, ragasztószalag, ventilátor-hangtompító</t>
        </is>
      </c>
      <c r="I50" s="4" t="inlineStr">
        <is>
          <t>SEO title / H1 / bevezető (másodlagos)</t>
        </is>
      </c>
    </row>
    <row r="51">
      <c r="A51" s="4" t="inlineStr">
        <is>
          <t>Szagsemlegesítő, ózongenerátor</t>
        </is>
      </c>
      <c r="B51" s="4" t="n">
        <v>9</v>
      </c>
      <c r="C51" s="4" t="inlineStr">
        <is>
          <t>szagtalanító spray</t>
        </is>
      </c>
      <c r="D51" s="4" t="n"/>
      <c r="E51" s="5" t="n">
        <v>390</v>
      </c>
      <c r="F51" s="4" t="inlineStr">
        <is>
          <t>Szoros</t>
        </is>
      </c>
      <c r="G51" s="4" t="inlineStr">
        <is>
          <t>Igen</t>
        </is>
      </c>
      <c r="H51" s="4" t="inlineStr">
        <is>
          <t>Szagkezelés szénszűrő mellett / helyett – ONA gél, tömb, spray, légcsatornába építhető ONA szűrő, ózongenerátor</t>
        </is>
      </c>
      <c r="I51" s="4" t="inlineStr">
        <is>
          <t>SEO title / H1 / bevezető (másodlagos)</t>
        </is>
      </c>
    </row>
    <row r="52">
      <c r="A52" s="4" t="inlineStr">
        <is>
          <t>Szagsemlegesítő, ózongenerátor</t>
        </is>
      </c>
      <c r="B52" s="4" t="n">
        <v>10</v>
      </c>
      <c r="C52" s="4" t="inlineStr">
        <is>
          <t>ózón generátor</t>
        </is>
      </c>
      <c r="D52" s="4" t="n"/>
      <c r="E52" s="5" t="n">
        <v>390</v>
      </c>
      <c r="F52" s="4" t="inlineStr">
        <is>
          <t>Szoros</t>
        </is>
      </c>
      <c r="G52" s="4" t="inlineStr">
        <is>
          <t>Igen</t>
        </is>
      </c>
      <c r="H52" s="4" t="inlineStr">
        <is>
          <t>Szagkezelés szénszűrő mellett / helyett – ONA gél, tömb, spray, légcsatornába építhető ONA szűrő, ózongenerátor</t>
        </is>
      </c>
      <c r="I52" s="4" t="inlineStr">
        <is>
          <t>Kategórialeírás (természetes említés)</t>
        </is>
      </c>
    </row>
    <row r="53">
      <c r="A53" s="4" t="inlineStr">
        <is>
          <t>Szagsemlegesítő, ózongenerátor</t>
        </is>
      </c>
      <c r="B53" s="4" t="n">
        <v>11</v>
      </c>
      <c r="C53" s="4" t="inlineStr">
        <is>
          <t>ózongenerátor mire jó</t>
        </is>
      </c>
      <c r="D53" s="4" t="n"/>
      <c r="E53" s="5" t="n">
        <v>390</v>
      </c>
      <c r="F53" s="4" t="inlineStr">
        <is>
          <t>Szoros</t>
        </is>
      </c>
      <c r="G53" s="4" t="inlineStr">
        <is>
          <t>Igen</t>
        </is>
      </c>
      <c r="H53" s="4" t="inlineStr">
        <is>
          <t>Szagkezelés szénszűrő mellett / helyett – ONA gél, tömb, spray, légcsatornába építhető ONA szűrő, ózongenerátor</t>
        </is>
      </c>
      <c r="I53" s="4" t="inlineStr">
        <is>
          <t>Leírás alsó része, GYIK vagy blog</t>
        </is>
      </c>
    </row>
    <row r="54">
      <c r="A54" s="8" t="inlineStr">
        <is>
          <t>Keringető ventilátor</t>
        </is>
      </c>
      <c r="B54" s="8" t="n">
        <v>9</v>
      </c>
      <c r="C54" s="8" t="inlineStr">
        <is>
          <t>nagy teljesítményű ventilátor</t>
        </is>
      </c>
      <c r="D54" s="8" t="n"/>
      <c r="E54" s="19" t="n">
        <v>390</v>
      </c>
      <c r="F54" s="8" t="inlineStr">
        <is>
          <t>Laza</t>
        </is>
      </c>
      <c r="G54" s="8" t="inlineStr">
        <is>
          <t>Igen</t>
        </is>
      </c>
      <c r="H54" s="8" t="inlineStr">
        <is>
          <t>Légmozgatás a növények között – csíptetős (Monkey Fan, Cloudray), padló-, álló- és fali ventilátor</t>
        </is>
      </c>
      <c r="I54" s="8" t="inlineStr">
        <is>
          <t>Kategórialeírás (természetes említés)</t>
        </is>
      </c>
    </row>
    <row r="55">
      <c r="A55" s="8" t="inlineStr">
        <is>
          <t>Klímavezérlő: ventilátor-szabályzó, termosztát, higrosztát</t>
        </is>
      </c>
      <c r="B55" s="8" t="n">
        <v>2</v>
      </c>
      <c r="C55" s="8" t="inlineStr">
        <is>
          <t>digitális termosztát</t>
        </is>
      </c>
      <c r="D55" s="8" t="n"/>
      <c r="E55" s="19" t="n">
        <v>390</v>
      </c>
      <c r="F55" s="8" t="inlineStr">
        <is>
          <t>Laza</t>
        </is>
      </c>
      <c r="G55" s="8" t="inlineStr">
        <is>
          <t>Igen</t>
        </is>
      </c>
      <c r="H55" s="8" t="inlineStr">
        <is>
          <t>Csőventilátor fordulatszám-, hőmérséklet-, páratartalom- és nyomásszabályzása; környezeti vezérlő (AC Infinity, GSE, OptiClimate)</t>
        </is>
      </c>
      <c r="I55" s="8" t="inlineStr">
        <is>
          <t>Kategórialeírás (természetes említés)</t>
        </is>
      </c>
    </row>
    <row r="56">
      <c r="A56" s="4" t="inlineStr">
        <is>
          <t>Csőventilátor, elszívó ventilátor</t>
        </is>
      </c>
      <c r="B56" s="4" t="n">
        <v>6</v>
      </c>
      <c r="C56" s="4" t="inlineStr">
        <is>
          <t>csőventilátor 100</t>
        </is>
      </c>
      <c r="D56" s="4" t="n"/>
      <c r="E56" s="5" t="n">
        <v>320</v>
      </c>
      <c r="F56" s="4" t="inlineStr">
        <is>
          <t>Szoros</t>
        </is>
      </c>
      <c r="G56" s="4" t="inlineStr">
        <is>
          <t>Igen</t>
        </is>
      </c>
      <c r="H56" s="4" t="inlineStr">
        <is>
          <t>Elszívás / befúvás a termesztőtérben – centrifugális, kevert áramlású és EC csőventilátor</t>
        </is>
      </c>
      <c r="I56" s="4" t="inlineStr">
        <is>
          <t>SEO title / H1 / bevezető (másodlagos)</t>
        </is>
      </c>
    </row>
    <row r="57">
      <c r="A57" s="4" t="inlineStr">
        <is>
          <t>Légtechnikai cső, idom, bilincs</t>
        </is>
      </c>
      <c r="B57" s="4" t="n">
        <v>10</v>
      </c>
      <c r="C57" s="4" t="inlineStr">
        <is>
          <t>légcsatorna</t>
        </is>
      </c>
      <c r="D57" s="4" t="n"/>
      <c r="E57" s="5" t="n">
        <v>320</v>
      </c>
      <c r="F57" s="4" t="inlineStr">
        <is>
          <t>Szoros</t>
        </is>
      </c>
      <c r="G57" s="4" t="inlineStr">
        <is>
          <t>Igen</t>
        </is>
      </c>
      <c r="H57" s="4" t="inlineStr">
        <is>
          <t>Flexibilis légcsatorna (Aluflex, Sonoflex, Combiflex), idom, bővítő / szűkítő, csőtoldó, visszacsapó szelep, bilincs, ragasztószalag, ventilátor-hangtompító</t>
        </is>
      </c>
      <c r="I57" s="4" t="inlineStr">
        <is>
          <t>SEO title / H1 / bevezető (másodlagos)</t>
        </is>
      </c>
    </row>
    <row r="58">
      <c r="A58" s="8" t="inlineStr">
        <is>
          <t>Szagsemlegesítő, ózongenerátor</t>
        </is>
      </c>
      <c r="B58" s="8" t="n">
        <v>12</v>
      </c>
      <c r="C58" s="8" t="inlineStr">
        <is>
          <t>ózongenerátor tisztítás</t>
        </is>
      </c>
      <c r="D58" s="8" t="n"/>
      <c r="E58" s="19" t="n">
        <v>320</v>
      </c>
      <c r="F58" s="8" t="inlineStr">
        <is>
          <t>Laza</t>
        </is>
      </c>
      <c r="G58" s="8" t="inlineStr">
        <is>
          <t>Igen</t>
        </is>
      </c>
      <c r="H58" s="8" t="inlineStr">
        <is>
          <t>Szagkezelés szénszűrő mellett / helyett – ONA gél, tömb, spray, légcsatornába építhető ONA szűrő, ózongenerátor</t>
        </is>
      </c>
      <c r="I58" s="8" t="inlineStr">
        <is>
          <t>Leírás alsó része, GYIK vagy blog</t>
        </is>
      </c>
    </row>
    <row r="59">
      <c r="A59" s="4" t="inlineStr">
        <is>
          <t>Páramentesítő</t>
        </is>
      </c>
      <c r="B59" s="4" t="n">
        <v>8</v>
      </c>
      <c r="C59" s="4" t="inlineStr">
        <is>
          <t>ipari páramentesítő</t>
        </is>
      </c>
      <c r="D59" s="4" t="n"/>
      <c r="E59" s="5" t="n">
        <v>320</v>
      </c>
      <c r="F59" s="4" t="inlineStr">
        <is>
          <t>Szoros</t>
        </is>
      </c>
      <c r="G59" s="4" t="inlineStr">
        <is>
          <t>Igen</t>
        </is>
      </c>
      <c r="H59" s="4" t="inlineStr">
        <is>
          <t>Páratartalom csökkentése a termesztőtérben, szárításnál – kompresszoros / Peltier páramentesítő</t>
        </is>
      </c>
      <c r="I59" s="4" t="inlineStr">
        <is>
          <t>SEO title / H1 / bevezető (másodlagos)</t>
        </is>
      </c>
    </row>
    <row r="60">
      <c r="A60" s="4" t="inlineStr">
        <is>
          <t>Páramentesítő</t>
        </is>
      </c>
      <c r="B60" s="4" t="n">
        <v>9</v>
      </c>
      <c r="C60" s="4" t="inlineStr">
        <is>
          <t>elektromos páramentesítő</t>
        </is>
      </c>
      <c r="D60" s="4" t="n"/>
      <c r="E60" s="5" t="n">
        <v>320</v>
      </c>
      <c r="F60" s="4" t="inlineStr">
        <is>
          <t>Szoros</t>
        </is>
      </c>
      <c r="G60" s="4" t="inlineStr">
        <is>
          <t>Igen</t>
        </is>
      </c>
      <c r="H60" s="4" t="inlineStr">
        <is>
          <t>Páratartalom csökkentése a termesztőtérben, szárításnál – kompresszoros / Peltier páramentesítő</t>
        </is>
      </c>
      <c r="I60" s="4" t="inlineStr">
        <is>
          <t>Kategórialeírás (természetes említés)</t>
        </is>
      </c>
    </row>
    <row r="61">
      <c r="A61" s="4" t="inlineStr">
        <is>
          <t>Párásító</t>
        </is>
      </c>
      <c r="B61" s="4" t="n">
        <v>7</v>
      </c>
      <c r="C61" s="4" t="inlineStr">
        <is>
          <t>párásító gép</t>
        </is>
      </c>
      <c r="D61" s="4" t="n"/>
      <c r="E61" s="5" t="n">
        <v>320</v>
      </c>
      <c r="F61" s="4" t="inlineStr">
        <is>
          <t>Szoros</t>
        </is>
      </c>
      <c r="G61" s="4" t="inlineStr">
        <is>
          <t>Igen</t>
        </is>
      </c>
      <c r="H61" s="4" t="inlineStr">
        <is>
          <t>Páratartalom növelése a termesztőtérben – ultrahangos / hideg párásító, ködgenerátor, vezérlő</t>
        </is>
      </c>
      <c r="I61" s="4" t="inlineStr">
        <is>
          <t>Kategórialeírás (természetes említés)</t>
        </is>
      </c>
    </row>
    <row r="62">
      <c r="A62" s="4" t="inlineStr">
        <is>
          <t>Csőventilátor, elszívó ventilátor</t>
        </is>
      </c>
      <c r="B62" s="4" t="n">
        <v>7</v>
      </c>
      <c r="C62" s="4" t="inlineStr">
        <is>
          <t>vents ventilátor</t>
        </is>
      </c>
      <c r="D62" s="4" t="n"/>
      <c r="E62" s="5" t="n">
        <v>260</v>
      </c>
      <c r="F62" s="4" t="inlineStr">
        <is>
          <t>Szoros</t>
        </is>
      </c>
      <c r="G62" s="4" t="inlineStr">
        <is>
          <t>Igen</t>
        </is>
      </c>
      <c r="H62" s="4" t="inlineStr">
        <is>
          <t>Elszívás / befúvás a termesztőtérben – centrifugális, kevert áramlású és EC csőventilátor</t>
        </is>
      </c>
      <c r="I62" s="4" t="inlineStr">
        <is>
          <t>Gyártóoldal / szűrő / termékoldal</t>
        </is>
      </c>
    </row>
    <row r="63">
      <c r="A63" s="9" t="inlineStr">
        <is>
          <t>Csőventilátor, elszívó ventilátor</t>
        </is>
      </c>
      <c r="B63" s="9" t="n">
        <v>8</v>
      </c>
      <c r="C63" s="9" t="inlineStr">
        <is>
          <t>helios csőventilátor</t>
        </is>
      </c>
      <c r="D63" s="9" t="n"/>
      <c r="E63" s="20" t="n">
        <v>260</v>
      </c>
      <c r="F63" s="9" t="inlineStr">
        <is>
          <t>Laza</t>
        </is>
      </c>
      <c r="G63" s="9" t="inlineStr">
        <is>
          <t>Nem</t>
        </is>
      </c>
      <c r="H63" s="9" t="inlineStr">
        <is>
          <t>Elszívás / befúvás a termesztőtérben – centrifugális, kevert áramlású és EC csőventilátor</t>
        </is>
      </c>
      <c r="I63" s="9" t="inlineStr">
        <is>
          <t>Nem célozni külön oldallal (max. említés)</t>
        </is>
      </c>
    </row>
    <row r="64">
      <c r="A64" s="9" t="inlineStr">
        <is>
          <t>Csőventilátor, elszívó ventilátor</t>
        </is>
      </c>
      <c r="B64" s="9" t="n">
        <v>9</v>
      </c>
      <c r="C64" s="9" t="inlineStr">
        <is>
          <t>wc elszívó ventilátor</t>
        </is>
      </c>
      <c r="D64" s="9" t="n"/>
      <c r="E64" s="20" t="n">
        <v>260</v>
      </c>
      <c r="F64" s="9" t="inlineStr">
        <is>
          <t>Laza</t>
        </is>
      </c>
      <c r="G64" s="9" t="inlineStr">
        <is>
          <t>Nem</t>
        </is>
      </c>
      <c r="H64" s="9" t="inlineStr">
        <is>
          <t>Elszívás / befúvás a termesztőtérben – centrifugális, kevert áramlású és EC csőventilátor</t>
        </is>
      </c>
      <c r="I64" s="9" t="inlineStr">
        <is>
          <t>Nem célozni külön oldallal (max. említés)</t>
        </is>
      </c>
    </row>
    <row r="65">
      <c r="A65" s="10" t="inlineStr">
        <is>
          <t>Csőventilátor, elszívó ventilátor</t>
        </is>
      </c>
      <c r="B65" s="10" t="n">
        <v>10</v>
      </c>
      <c r="C65" s="10" t="inlineStr">
        <is>
          <t>csőventilátor praktiker</t>
        </is>
      </c>
      <c r="D65" s="10" t="n"/>
      <c r="E65" s="21" t="n">
        <v>260</v>
      </c>
      <c r="F65" s="10" t="inlineStr">
        <is>
          <t>Nincs (áruházi / nem vásárlási szándék)</t>
        </is>
      </c>
      <c r="G65" s="10" t="inlineStr">
        <is>
          <t>Nem – kizárandó</t>
        </is>
      </c>
      <c r="H65" s="10" t="inlineStr">
        <is>
          <t>Elszívás / befúvás a termesztőtérben – centrifugális, kevert áramlású és EC csőventilátor</t>
        </is>
      </c>
      <c r="I65" s="10" t="inlineStr">
        <is>
          <t>Nem használni (áruházi/nem vásárlási szándék)</t>
        </is>
      </c>
    </row>
    <row r="66">
      <c r="A66" s="4" t="inlineStr">
        <is>
          <t>Szagsemlegesítő, ózongenerátor</t>
        </is>
      </c>
      <c r="B66" s="4" t="n">
        <v>1</v>
      </c>
      <c r="C66" s="4" t="inlineStr">
        <is>
          <t>szagsemlegesítő</t>
        </is>
      </c>
      <c r="D66" s="4" t="n"/>
      <c r="E66" s="5" t="n">
        <v>260</v>
      </c>
      <c r="F66" s="4" t="inlineStr">
        <is>
          <t>Szoros</t>
        </is>
      </c>
      <c r="G66" s="4" t="inlineStr">
        <is>
          <t>Igen</t>
        </is>
      </c>
      <c r="H66" s="4" t="inlineStr">
        <is>
          <t>Szagkezelés szénszűrő mellett / helyett – ONA gél, tömb, spray, légcsatornába építhető ONA szűrő, ózongenerátor</t>
        </is>
      </c>
      <c r="I66" s="4" t="inlineStr">
        <is>
          <t>Kategórianév + H1 + SEO title (fő kulcsszó)</t>
        </is>
      </c>
    </row>
    <row r="67">
      <c r="A67" s="8" t="inlineStr">
        <is>
          <t>Keringető ventilátor</t>
        </is>
      </c>
      <c r="B67" s="8" t="n">
        <v>10</v>
      </c>
      <c r="C67" s="8" t="inlineStr">
        <is>
          <t>kis ventilátor</t>
        </is>
      </c>
      <c r="D67" s="8" t="n"/>
      <c r="E67" s="19" t="n">
        <v>260</v>
      </c>
      <c r="F67" s="8" t="inlineStr">
        <is>
          <t>Laza</t>
        </is>
      </c>
      <c r="G67" s="8" t="inlineStr">
        <is>
          <t>Igen</t>
        </is>
      </c>
      <c r="H67" s="8" t="inlineStr">
        <is>
          <t>Légmozgatás a növények között – csíptetős (Monkey Fan, Cloudray), padló-, álló- és fali ventilátor</t>
        </is>
      </c>
      <c r="I67" s="8" t="inlineStr">
        <is>
          <t>Kategórialeírás (természetes említés)</t>
        </is>
      </c>
    </row>
    <row r="68">
      <c r="A68" s="9" t="inlineStr">
        <is>
          <t>Páramentesítő</t>
        </is>
      </c>
      <c r="B68" s="9" t="n">
        <v>10</v>
      </c>
      <c r="C68" s="9" t="inlineStr">
        <is>
          <t>páramentesítő fürdőszobába</t>
        </is>
      </c>
      <c r="D68" s="9" t="n"/>
      <c r="E68" s="20" t="n">
        <v>260</v>
      </c>
      <c r="F68" s="9" t="inlineStr">
        <is>
          <t>Laza</t>
        </is>
      </c>
      <c r="G68" s="9" t="inlineStr">
        <is>
          <t>Nem</t>
        </is>
      </c>
      <c r="H68" s="9" t="inlineStr">
        <is>
          <t>Páratartalom csökkentése a termesztőtérben, szárításnál – kompresszoros / Peltier páramentesítő</t>
        </is>
      </c>
      <c r="I68" s="9" t="inlineStr">
        <is>
          <t>Nem célozni külön oldallal (max. említés)</t>
        </is>
      </c>
    </row>
    <row r="69">
      <c r="A69" s="4" t="inlineStr">
        <is>
          <t>Párásító</t>
        </is>
      </c>
      <c r="B69" s="4" t="n">
        <v>8</v>
      </c>
      <c r="C69" s="4" t="inlineStr">
        <is>
          <t>hideg párásító készülék</t>
        </is>
      </c>
      <c r="D69" s="4" t="n"/>
      <c r="E69" s="5" t="n">
        <v>260</v>
      </c>
      <c r="F69" s="4" t="inlineStr">
        <is>
          <t>Szoros</t>
        </is>
      </c>
      <c r="G69" s="4" t="inlineStr">
        <is>
          <t>Igen</t>
        </is>
      </c>
      <c r="H69" s="4" t="inlineStr">
        <is>
          <t>Páratartalom növelése a termesztőtérben – ultrahangos / hideg párásító, ködgenerátor, vezérlő</t>
        </is>
      </c>
      <c r="I69" s="4" t="inlineStr">
        <is>
          <t>Kategórialeírás (természetes említés)</t>
        </is>
      </c>
    </row>
    <row r="70">
      <c r="A70" s="4" t="inlineStr">
        <is>
          <t>CO2-pótlás, CO2-mérő</t>
        </is>
      </c>
      <c r="B70" s="4" t="n">
        <v>4</v>
      </c>
      <c r="C70" s="4" t="inlineStr">
        <is>
          <t>szén dioxid mérő</t>
        </is>
      </c>
      <c r="D70" s="4" t="n"/>
      <c r="E70" s="5" t="n">
        <v>260</v>
      </c>
      <c r="F70" s="4" t="inlineStr">
        <is>
          <t>Szoros</t>
        </is>
      </c>
      <c r="G70" s="4" t="inlineStr">
        <is>
          <t>Igen</t>
        </is>
      </c>
      <c r="H70" s="4" t="inlineStr">
        <is>
          <t>CO2-szint emelése és mérése – CO2 zsák, tabletta, palack + reduktor, propános CO2 generátor, CO2 érzékelő / szabályzó</t>
        </is>
      </c>
      <c r="I70" s="4" t="inlineStr">
        <is>
          <t>SEO title / H1 / bevezető (másodlagos)</t>
        </is>
      </c>
    </row>
    <row r="71">
      <c r="A71" s="8" t="inlineStr">
        <is>
          <t>CO2-pótlás, CO2-mérő</t>
        </is>
      </c>
      <c r="B71" s="8" t="n">
        <v>5</v>
      </c>
      <c r="C71" s="8" t="inlineStr">
        <is>
          <t>co2 reduktor</t>
        </is>
      </c>
      <c r="D71" s="8" t="n"/>
      <c r="E71" s="19" t="n">
        <v>260</v>
      </c>
      <c r="F71" s="8" t="inlineStr">
        <is>
          <t>Laza</t>
        </is>
      </c>
      <c r="G71" s="8" t="inlineStr">
        <is>
          <t>Igen</t>
        </is>
      </c>
      <c r="H71" s="8" t="inlineStr">
        <is>
          <t>CO2-szint emelése és mérése – CO2 zsák, tabletta, palack + reduktor, propános CO2 generátor, CO2 érzékelő / szabályzó</t>
        </is>
      </c>
      <c r="I71" s="8" t="inlineStr">
        <is>
          <t>Kategórialeírás (természetes említés)</t>
        </is>
      </c>
    </row>
    <row r="72">
      <c r="A72" s="9" t="inlineStr">
        <is>
          <t>CO2-pótlás, CO2-mérő</t>
        </is>
      </c>
      <c r="B72" s="9" t="n">
        <v>6</v>
      </c>
      <c r="C72" s="9" t="inlineStr">
        <is>
          <t>szénsav palack</t>
        </is>
      </c>
      <c r="D72" s="9" t="n"/>
      <c r="E72" s="20" t="n">
        <v>260</v>
      </c>
      <c r="F72" s="9" t="inlineStr">
        <is>
          <t>Laza</t>
        </is>
      </c>
      <c r="G72" s="9" t="inlineStr">
        <is>
          <t>Nem</t>
        </is>
      </c>
      <c r="H72" s="9" t="inlineStr">
        <is>
          <t>CO2-szint emelése és mérése – CO2 zsák, tabletta, palack + reduktor, propános CO2 generátor, CO2 érzékelő / szabályzó</t>
        </is>
      </c>
      <c r="I72" s="9" t="inlineStr">
        <is>
          <t>Nem célozni külön oldallal (max. említés)</t>
        </is>
      </c>
    </row>
    <row r="73">
      <c r="A73" s="4" t="inlineStr">
        <is>
          <t>Csőventilátor, elszívó ventilátor</t>
        </is>
      </c>
      <c r="B73" s="4" t="n">
        <v>11</v>
      </c>
      <c r="C73" s="4" t="inlineStr">
        <is>
          <t>csőventilátorok</t>
        </is>
      </c>
      <c r="D73" s="4" t="n"/>
      <c r="E73" s="5" t="n">
        <v>210</v>
      </c>
      <c r="F73" s="4" t="inlineStr">
        <is>
          <t>Szoros</t>
        </is>
      </c>
      <c r="G73" s="4" t="inlineStr">
        <is>
          <t>Igen</t>
        </is>
      </c>
      <c r="H73" s="4" t="inlineStr">
        <is>
          <t>Elszívás / befúvás a termesztőtérben – centrifugális, kevert áramlású és EC csőventilátor</t>
        </is>
      </c>
      <c r="I73" s="4" t="inlineStr">
        <is>
          <t>Kategórialeírás (természetes említés)</t>
        </is>
      </c>
    </row>
    <row r="74">
      <c r="A74" s="4" t="inlineStr">
        <is>
          <t>Csőventilátor, elszívó ventilátor</t>
        </is>
      </c>
      <c r="B74" s="4" t="n">
        <v>12</v>
      </c>
      <c r="C74" s="4" t="inlineStr">
        <is>
          <t>csoventillator</t>
        </is>
      </c>
      <c r="D74" s="4" t="n"/>
      <c r="E74" s="5" t="n">
        <v>210</v>
      </c>
      <c r="F74" s="4" t="inlineStr">
        <is>
          <t>Szoros</t>
        </is>
      </c>
      <c r="G74" s="4" t="inlineStr">
        <is>
          <t>Igen</t>
        </is>
      </c>
      <c r="H74" s="4" t="inlineStr">
        <is>
          <t>Elszívás / befúvás a termesztőtérben – centrifugális, kevert áramlású és EC csőventilátor</t>
        </is>
      </c>
      <c r="I74" s="4" t="inlineStr">
        <is>
          <t>Kategórialeírás (természetes említés)</t>
        </is>
      </c>
    </row>
    <row r="75">
      <c r="A75" s="8" t="inlineStr">
        <is>
          <t>Csőventilátor, elszívó ventilátor</t>
        </is>
      </c>
      <c r="B75" s="8" t="n">
        <v>13</v>
      </c>
      <c r="C75" s="8" t="inlineStr">
        <is>
          <t>ipari elszívó ventilátor</t>
        </is>
      </c>
      <c r="D75" s="8" t="n"/>
      <c r="E75" s="19" t="n">
        <v>210</v>
      </c>
      <c r="F75" s="8" t="inlineStr">
        <is>
          <t>Laza</t>
        </is>
      </c>
      <c r="G75" s="8" t="inlineStr">
        <is>
          <t>Igen</t>
        </is>
      </c>
      <c r="H75" s="8" t="inlineStr">
        <is>
          <t>Elszívás / befúvás a termesztőtérben – centrifugális, kevert áramlású és EC csőventilátor</t>
        </is>
      </c>
      <c r="I75" s="8" t="inlineStr">
        <is>
          <t>Kategórialeírás (természetes említés)</t>
        </is>
      </c>
    </row>
    <row r="76">
      <c r="A76" s="9" t="inlineStr">
        <is>
          <t>Csőventilátor, elszívó ventilátor</t>
        </is>
      </c>
      <c r="B76" s="9" t="n">
        <v>14</v>
      </c>
      <c r="C76" s="9" t="inlineStr">
        <is>
          <t>konyhai elszívó ventilátor</t>
        </is>
      </c>
      <c r="D76" s="9" t="n"/>
      <c r="E76" s="20" t="n">
        <v>210</v>
      </c>
      <c r="F76" s="9" t="inlineStr">
        <is>
          <t>Laza</t>
        </is>
      </c>
      <c r="G76" s="9" t="inlineStr">
        <is>
          <t>Nem</t>
        </is>
      </c>
      <c r="H76" s="9" t="inlineStr">
        <is>
          <t>Elszívás / befúvás a termesztőtérben – centrifugális, kevert áramlású és EC csőventilátor</t>
        </is>
      </c>
      <c r="I76" s="9" t="inlineStr">
        <is>
          <t>Nem célozni külön oldallal (max. említés)</t>
        </is>
      </c>
    </row>
    <row r="77">
      <c r="A77" s="4" t="inlineStr">
        <is>
          <t>Aktív szénszűrő, előszűrő</t>
        </is>
      </c>
      <c r="B77" s="4" t="n">
        <v>1</v>
      </c>
      <c r="C77" s="4" t="inlineStr">
        <is>
          <t>aktív szénszűrő</t>
        </is>
      </c>
      <c r="D77" s="4" t="n"/>
      <c r="E77" s="5" t="n">
        <v>210</v>
      </c>
      <c r="F77" s="4" t="inlineStr">
        <is>
          <t>Szoros</t>
        </is>
      </c>
      <c r="G77" s="4" t="inlineStr">
        <is>
          <t>Igen</t>
        </is>
      </c>
      <c r="H77" s="4" t="inlineStr">
        <is>
          <t>Szagszűrés a termesztőtérből elszívott levegőből – aktív szénszűrő, előszűrő, utántöltő szén</t>
        </is>
      </c>
      <c r="I77" s="4" t="inlineStr">
        <is>
          <t>Kategórianév + H1 + SEO title (fő kulcsszó)</t>
        </is>
      </c>
    </row>
    <row r="78">
      <c r="A78" s="4" t="inlineStr">
        <is>
          <t>Légtechnikai cső, idom, bilincs</t>
        </is>
      </c>
      <c r="B78" s="4" t="n">
        <v>11</v>
      </c>
      <c r="C78" s="4" t="inlineStr">
        <is>
          <t>légtechnikai idom</t>
        </is>
      </c>
      <c r="D78" s="4" t="n"/>
      <c r="E78" s="5" t="n">
        <v>210</v>
      </c>
      <c r="F78" s="4" t="inlineStr">
        <is>
          <t>Szoros</t>
        </is>
      </c>
      <c r="G78" s="4" t="inlineStr">
        <is>
          <t>Igen</t>
        </is>
      </c>
      <c r="H78" s="4" t="inlineStr">
        <is>
          <t>Flexibilis légcsatorna (Aluflex, Sonoflex, Combiflex), idom, bővítő / szűkítő, csőtoldó, visszacsapó szelep, bilincs, ragasztószalag, ventilátor-hangtompító</t>
        </is>
      </c>
      <c r="I78" s="4" t="inlineStr">
        <is>
          <t>SEO title / H1 / bevezető (másodlagos)</t>
        </is>
      </c>
    </row>
    <row r="79">
      <c r="A79" s="4" t="inlineStr">
        <is>
          <t>Légtechnikai cső, idom, bilincs</t>
        </is>
      </c>
      <c r="B79" s="4" t="n">
        <v>12</v>
      </c>
      <c r="C79" s="4" t="inlineStr">
        <is>
          <t>légtechnika idomok</t>
        </is>
      </c>
      <c r="D79" s="4" t="n"/>
      <c r="E79" s="5" t="n">
        <v>210</v>
      </c>
      <c r="F79" s="4" t="inlineStr">
        <is>
          <t>Szoros</t>
        </is>
      </c>
      <c r="G79" s="4" t="inlineStr">
        <is>
          <t>Igen</t>
        </is>
      </c>
      <c r="H79" s="4" t="inlineStr">
        <is>
          <t>Flexibilis légcsatorna (Aluflex, Sonoflex, Combiflex), idom, bővítő / szűkítő, csőtoldó, visszacsapó szelep, bilincs, ragasztószalag, ventilátor-hangtompító</t>
        </is>
      </c>
      <c r="I79" s="4" t="inlineStr">
        <is>
          <t>SEO title / H1 / bevezető (másodlagos)</t>
        </is>
      </c>
    </row>
    <row r="80">
      <c r="A80" s="4" t="inlineStr">
        <is>
          <t>Szagsemlegesítő, ózongenerátor</t>
        </is>
      </c>
      <c r="B80" s="4" t="n">
        <v>13</v>
      </c>
      <c r="C80" s="4" t="inlineStr">
        <is>
          <t>szagsemlegesítő spray</t>
        </is>
      </c>
      <c r="D80" s="4" t="n"/>
      <c r="E80" s="5" t="n">
        <v>210</v>
      </c>
      <c r="F80" s="4" t="inlineStr">
        <is>
          <t>Szoros</t>
        </is>
      </c>
      <c r="G80" s="4" t="inlineStr">
        <is>
          <t>Igen</t>
        </is>
      </c>
      <c r="H80" s="4" t="inlineStr">
        <is>
          <t>Szagkezelés szénszűrő mellett / helyett – ONA gél, tömb, spray, légcsatornába építhető ONA szűrő, ózongenerátor</t>
        </is>
      </c>
      <c r="I80" s="4" t="inlineStr">
        <is>
          <t>SEO title / H1 / bevezető (másodlagos)</t>
        </is>
      </c>
    </row>
    <row r="81">
      <c r="A81" s="8" t="inlineStr">
        <is>
          <t>Szagsemlegesítő, ózongenerátor</t>
        </is>
      </c>
      <c r="B81" s="8" t="n">
        <v>14</v>
      </c>
      <c r="C81" s="8" t="inlineStr">
        <is>
          <t>ionizátor</t>
        </is>
      </c>
      <c r="D81" s="8" t="n"/>
      <c r="E81" s="19" t="n">
        <v>210</v>
      </c>
      <c r="F81" s="8" t="inlineStr">
        <is>
          <t>Laza</t>
        </is>
      </c>
      <c r="G81" s="8" t="inlineStr">
        <is>
          <t>Igen</t>
        </is>
      </c>
      <c r="H81" s="8" t="inlineStr">
        <is>
          <t>Szagkezelés szénszűrő mellett / helyett – ONA gél, tömb, spray, légcsatornába építhető ONA szűrő, ózongenerátor</t>
        </is>
      </c>
      <c r="I81" s="8" t="inlineStr">
        <is>
          <t>Kategórialeírás (természetes említés)</t>
        </is>
      </c>
    </row>
    <row r="82">
      <c r="A82" s="9" t="inlineStr">
        <is>
          <t>Párásító</t>
        </is>
      </c>
      <c r="B82" s="9" t="n">
        <v>9</v>
      </c>
      <c r="C82" s="9" t="inlineStr">
        <is>
          <t>párásító diffúzor</t>
        </is>
      </c>
      <c r="D82" s="9" t="n"/>
      <c r="E82" s="20" t="n">
        <v>210</v>
      </c>
      <c r="F82" s="9" t="inlineStr">
        <is>
          <t>Laza</t>
        </is>
      </c>
      <c r="G82" s="9" t="inlineStr">
        <is>
          <t>Nem</t>
        </is>
      </c>
      <c r="H82" s="9" t="inlineStr">
        <is>
          <t>Páratartalom növelése a termesztőtérben – ultrahangos / hideg párásító, ködgenerátor, vezérlő</t>
        </is>
      </c>
      <c r="I82" s="9" t="inlineStr">
        <is>
          <t>Nem célozni külön oldallal (max. említés)</t>
        </is>
      </c>
    </row>
    <row r="83">
      <c r="A83" s="4" t="inlineStr">
        <is>
          <t>CO2-pótlás, CO2-mérő</t>
        </is>
      </c>
      <c r="B83" s="4" t="n">
        <v>1</v>
      </c>
      <c r="C83" s="4" t="inlineStr">
        <is>
          <t>co2 mérő</t>
        </is>
      </c>
      <c r="D83" s="4" t="n"/>
      <c r="E83" s="5" t="n">
        <v>210</v>
      </c>
      <c r="F83" s="4" t="inlineStr">
        <is>
          <t>Szoros</t>
        </is>
      </c>
      <c r="G83" s="4" t="inlineStr">
        <is>
          <t>Igen</t>
        </is>
      </c>
      <c r="H83" s="4" t="inlineStr">
        <is>
          <t>CO2-szint emelése és mérése – CO2 zsák, tabletta, palack + reduktor, propános CO2 generátor, CO2 érzékelő / szabályzó</t>
        </is>
      </c>
      <c r="I83" s="4" t="inlineStr">
        <is>
          <t>Kategórianév + H1 + SEO title (fő kulcsszó)</t>
        </is>
      </c>
    </row>
    <row r="84">
      <c r="A84" s="4" t="inlineStr">
        <is>
          <t>Aktív szénszűrő, előszűrő</t>
        </is>
      </c>
      <c r="B84" s="4" t="n">
        <v>4</v>
      </c>
      <c r="C84" s="4" t="inlineStr">
        <is>
          <t>szénszűrő</t>
        </is>
      </c>
      <c r="D84" s="4" t="n"/>
      <c r="E84" s="5" t="n">
        <v>170</v>
      </c>
      <c r="F84" s="4" t="inlineStr">
        <is>
          <t>Szoros</t>
        </is>
      </c>
      <c r="G84" s="4" t="inlineStr">
        <is>
          <t>Igen</t>
        </is>
      </c>
      <c r="H84" s="4" t="inlineStr">
        <is>
          <t>Szagszűrés a termesztőtérből elszívott levegőből – aktív szénszűrő, előszűrő, utántöltő szén</t>
        </is>
      </c>
      <c r="I84" s="4" t="inlineStr">
        <is>
          <t>SEO title / H1 / bevezető (másodlagos)</t>
        </is>
      </c>
    </row>
    <row r="85">
      <c r="A85" s="9" t="inlineStr">
        <is>
          <t>Aktív szénszűrő, előszűrő</t>
        </is>
      </c>
      <c r="B85" s="9" t="n">
        <v>5</v>
      </c>
      <c r="C85" s="9" t="inlineStr">
        <is>
          <t>páraelszívó szénszűrő</t>
        </is>
      </c>
      <c r="D85" s="9" t="n"/>
      <c r="E85" s="20" t="n">
        <v>170</v>
      </c>
      <c r="F85" s="9" t="inlineStr">
        <is>
          <t>Laza</t>
        </is>
      </c>
      <c r="G85" s="9" t="inlineStr">
        <is>
          <t>Nem</t>
        </is>
      </c>
      <c r="H85" s="9" t="inlineStr">
        <is>
          <t>Szagszűrés a termesztőtérből elszívott levegőből – aktív szénszűrő, előszűrő, utántöltő szén</t>
        </is>
      </c>
      <c r="I85" s="9" t="inlineStr">
        <is>
          <t>Nem célozni külön oldallal (max. említés)</t>
        </is>
      </c>
    </row>
    <row r="86">
      <c r="A86" s="4" t="inlineStr">
        <is>
          <t>Szagsemlegesítő, ózongenerátor</t>
        </is>
      </c>
      <c r="B86" s="4" t="n">
        <v>15</v>
      </c>
      <c r="C86" s="4" t="inlineStr">
        <is>
          <t>szagtalanító</t>
        </is>
      </c>
      <c r="D86" s="4" t="n"/>
      <c r="E86" s="5" t="n">
        <v>170</v>
      </c>
      <c r="F86" s="4" t="inlineStr">
        <is>
          <t>Szoros</t>
        </is>
      </c>
      <c r="G86" s="4" t="inlineStr">
        <is>
          <t>Igen</t>
        </is>
      </c>
      <c r="H86" s="4" t="inlineStr">
        <is>
          <t>Szagkezelés szénszűrő mellett / helyett – ONA gél, tömb, spray, légcsatornába építhető ONA szűrő, ózongenerátor</t>
        </is>
      </c>
      <c r="I86" s="4" t="inlineStr">
        <is>
          <t>SEO title / H1 / bevezető (másodlagos)</t>
        </is>
      </c>
    </row>
    <row r="87">
      <c r="A87" s="4" t="inlineStr">
        <is>
          <t>Szagsemlegesítő, ózongenerátor</t>
        </is>
      </c>
      <c r="B87" s="4" t="n">
        <v>16</v>
      </c>
      <c r="C87" s="4" t="inlineStr">
        <is>
          <t>legjobb ózongenerátor</t>
        </is>
      </c>
      <c r="D87" s="4" t="n"/>
      <c r="E87" s="5" t="n">
        <v>170</v>
      </c>
      <c r="F87" s="4" t="inlineStr">
        <is>
          <t>Szoros</t>
        </is>
      </c>
      <c r="G87" s="4" t="inlineStr">
        <is>
          <t>Igen</t>
        </is>
      </c>
      <c r="H87" s="4" t="inlineStr">
        <is>
          <t>Szagkezelés szénszűrő mellett / helyett – ONA gél, tömb, spray, légcsatornába építhető ONA szűrő, ózongenerátor</t>
        </is>
      </c>
      <c r="I87" s="4" t="inlineStr">
        <is>
          <t>Kategórialeírás (természetes említés)</t>
        </is>
      </c>
    </row>
    <row r="88">
      <c r="A88" s="8" t="inlineStr">
        <is>
          <t>Szagsemlegesítő, ózongenerátor</t>
        </is>
      </c>
      <c r="B88" s="8" t="n">
        <v>17</v>
      </c>
      <c r="C88" s="8" t="inlineStr">
        <is>
          <t>ózongenerátor autóba</t>
        </is>
      </c>
      <c r="D88" s="8" t="n"/>
      <c r="E88" s="19" t="n">
        <v>170</v>
      </c>
      <c r="F88" s="8" t="inlineStr">
        <is>
          <t>Laza</t>
        </is>
      </c>
      <c r="G88" s="8" t="inlineStr">
        <is>
          <t>Igen</t>
        </is>
      </c>
      <c r="H88" s="8" t="inlineStr">
        <is>
          <t>Szagkezelés szénszűrő mellett / helyett – ONA gél, tömb, spray, légcsatornába építhető ONA szűrő, ózongenerátor</t>
        </is>
      </c>
      <c r="I88" s="8" t="inlineStr">
        <is>
          <t>Kategórialeírás (természetes említés)</t>
        </is>
      </c>
    </row>
    <row r="89">
      <c r="A89" s="4" t="inlineStr">
        <is>
          <t>Szagsemlegesítő, ózongenerátor</t>
        </is>
      </c>
      <c r="B89" s="4" t="n">
        <v>18</v>
      </c>
      <c r="C89" s="4" t="inlineStr">
        <is>
          <t>mire jó az ózongenerátor</t>
        </is>
      </c>
      <c r="D89" s="4" t="n"/>
      <c r="E89" s="5" t="n">
        <v>170</v>
      </c>
      <c r="F89" s="4" t="inlineStr">
        <is>
          <t>Szoros</t>
        </is>
      </c>
      <c r="G89" s="4" t="inlineStr">
        <is>
          <t>Igen</t>
        </is>
      </c>
      <c r="H89" s="4" t="inlineStr">
        <is>
          <t>Szagkezelés szénszűrő mellett / helyett – ONA gél, tömb, spray, légcsatornába építhető ONA szűrő, ózongenerátor</t>
        </is>
      </c>
      <c r="I89" s="4" t="inlineStr">
        <is>
          <t>Leírás alsó része, GYIK vagy blog</t>
        </is>
      </c>
    </row>
    <row r="90">
      <c r="A90" s="8" t="inlineStr">
        <is>
          <t>Keringető ventilátor</t>
        </is>
      </c>
      <c r="B90" s="8" t="n">
        <v>11</v>
      </c>
      <c r="C90" s="8" t="inlineStr">
        <is>
          <t>padló ventilátor 50 cm</t>
        </is>
      </c>
      <c r="D90" s="8" t="n"/>
      <c r="E90" s="19" t="n">
        <v>170</v>
      </c>
      <c r="F90" s="8" t="inlineStr">
        <is>
          <t>Laza</t>
        </is>
      </c>
      <c r="G90" s="8" t="inlineStr">
        <is>
          <t>Igen</t>
        </is>
      </c>
      <c r="H90" s="8" t="inlineStr">
        <is>
          <t>Légmozgatás a növények között – csíptetős (Monkey Fan, Cloudray), padló-, álló- és fali ventilátor</t>
        </is>
      </c>
      <c r="I90" s="8" t="inlineStr">
        <is>
          <t>Kategórialeírás (természetes említés)</t>
        </is>
      </c>
    </row>
    <row r="91">
      <c r="A91" s="4" t="inlineStr">
        <is>
          <t>CO2-pótlás, CO2-mérő</t>
        </is>
      </c>
      <c r="B91" s="4" t="n">
        <v>7</v>
      </c>
      <c r="C91" s="4" t="inlineStr">
        <is>
          <t>co2 érzékelő</t>
        </is>
      </c>
      <c r="D91" s="4" t="n"/>
      <c r="E91" s="5" t="n">
        <v>170</v>
      </c>
      <c r="F91" s="4" t="inlineStr">
        <is>
          <t>Szoros</t>
        </is>
      </c>
      <c r="G91" s="4" t="inlineStr">
        <is>
          <t>Igen</t>
        </is>
      </c>
      <c r="H91" s="4" t="inlineStr">
        <is>
          <t>CO2-szint emelése és mérése – CO2 zsák, tabletta, palack + reduktor, propános CO2 generátor, CO2 érzékelő / szabályzó</t>
        </is>
      </c>
      <c r="I91" s="4" t="inlineStr">
        <is>
          <t>SEO title / H1 / bevezető (másodlagos)</t>
        </is>
      </c>
    </row>
    <row r="92">
      <c r="A92" s="4" t="inlineStr">
        <is>
          <t>CO2-pótlás, CO2-mérő</t>
        </is>
      </c>
      <c r="B92" s="4" t="n">
        <v>8</v>
      </c>
      <c r="C92" s="4" t="inlineStr">
        <is>
          <t>szén dioxid érzékelő</t>
        </is>
      </c>
      <c r="D92" s="4" t="n"/>
      <c r="E92" s="5" t="n">
        <v>170</v>
      </c>
      <c r="F92" s="4" t="inlineStr">
        <is>
          <t>Szoros</t>
        </is>
      </c>
      <c r="G92" s="4" t="inlineStr">
        <is>
          <t>Igen</t>
        </is>
      </c>
      <c r="H92" s="4" t="inlineStr">
        <is>
          <t>CO2-szint emelése és mérése – CO2 zsák, tabletta, palack + reduktor, propános CO2 generátor, CO2 érzékelő / szabályzó</t>
        </is>
      </c>
      <c r="I92" s="4" t="inlineStr">
        <is>
          <t>SEO title / H1 / bevezető (másodlagos)</t>
        </is>
      </c>
    </row>
    <row r="93">
      <c r="A93" s="4" t="inlineStr">
        <is>
          <t>Csőventilátor, elszívó ventilátor</t>
        </is>
      </c>
      <c r="B93" s="4" t="n">
        <v>15</v>
      </c>
      <c r="C93" s="4" t="inlineStr">
        <is>
          <t>csőventilátor 150</t>
        </is>
      </c>
      <c r="D93" s="4" t="n"/>
      <c r="E93" s="5" t="n">
        <v>140</v>
      </c>
      <c r="F93" s="4" t="inlineStr">
        <is>
          <t>Szoros</t>
        </is>
      </c>
      <c r="G93" s="4" t="inlineStr">
        <is>
          <t>Igen</t>
        </is>
      </c>
      <c r="H93" s="4" t="inlineStr">
        <is>
          <t>Elszívás / befúvás a termesztőtérben – centrifugális, kevert áramlású és EC csőventilátor</t>
        </is>
      </c>
      <c r="I93" s="4" t="inlineStr">
        <is>
          <t>SEO title / H1 / bevezető (másodlagos)</t>
        </is>
      </c>
    </row>
    <row r="94">
      <c r="A94" s="4" t="inlineStr">
        <is>
          <t>Csőventilátor, elszívó ventilátor</t>
        </is>
      </c>
      <c r="B94" s="4" t="n">
        <v>16</v>
      </c>
      <c r="C94" s="4" t="inlineStr">
        <is>
          <t>fém csőventilátor</t>
        </is>
      </c>
      <c r="D94" s="4" t="n"/>
      <c r="E94" s="5" t="n">
        <v>140</v>
      </c>
      <c r="F94" s="4" t="inlineStr">
        <is>
          <t>Szoros</t>
        </is>
      </c>
      <c r="G94" s="4" t="inlineStr">
        <is>
          <t>Igen</t>
        </is>
      </c>
      <c r="H94" s="4" t="inlineStr">
        <is>
          <t>Elszívás / befúvás a termesztőtérben – centrifugális, kevert áramlású és EC csőventilátor</t>
        </is>
      </c>
      <c r="I94" s="4" t="inlineStr">
        <is>
          <t>Kategórialeírás (természetes említés)</t>
        </is>
      </c>
    </row>
    <row r="95">
      <c r="A95" s="4" t="inlineStr">
        <is>
          <t>Aktív szénszűrő, előszűrő</t>
        </is>
      </c>
      <c r="B95" s="4" t="n">
        <v>6</v>
      </c>
      <c r="C95" s="4" t="inlineStr">
        <is>
          <t>aktívszén szűrő</t>
        </is>
      </c>
      <c r="D95" s="4" t="n"/>
      <c r="E95" s="5" t="n">
        <v>140</v>
      </c>
      <c r="F95" s="4" t="inlineStr">
        <is>
          <t>Szoros</t>
        </is>
      </c>
      <c r="G95" s="4" t="inlineStr">
        <is>
          <t>Igen</t>
        </is>
      </c>
      <c r="H95" s="4" t="inlineStr">
        <is>
          <t>Szagszűrés a termesztőtérből elszívott levegőből – aktív szénszűrő, előszűrő, utántöltő szén</t>
        </is>
      </c>
      <c r="I95" s="4" t="inlineStr">
        <is>
          <t>SEO title / H1 / bevezető (másodlagos)</t>
        </is>
      </c>
    </row>
    <row r="96">
      <c r="A96" s="8" t="inlineStr">
        <is>
          <t>Aktív szénszűrő, előszűrő</t>
        </is>
      </c>
      <c r="B96" s="8" t="n">
        <v>7</v>
      </c>
      <c r="C96" s="8" t="inlineStr">
        <is>
          <t>aktív szén szűrőbetét</t>
        </is>
      </c>
      <c r="D96" s="8" t="n"/>
      <c r="E96" s="19" t="n">
        <v>140</v>
      </c>
      <c r="F96" s="8" t="inlineStr">
        <is>
          <t>Laza</t>
        </is>
      </c>
      <c r="G96" s="8" t="inlineStr">
        <is>
          <t>Igen</t>
        </is>
      </c>
      <c r="H96" s="8" t="inlineStr">
        <is>
          <t>Szagszűrés a termesztőtérből elszívott levegőből – aktív szénszűrő, előszűrő, utántöltő szén</t>
        </is>
      </c>
      <c r="I96" s="8" t="inlineStr">
        <is>
          <t>Kategórialeírás (természetes említés)</t>
        </is>
      </c>
    </row>
    <row r="97">
      <c r="A97" s="8" t="inlineStr">
        <is>
          <t>Aktív szénszűrő, előszűrő</t>
        </is>
      </c>
      <c r="B97" s="8" t="n">
        <v>8</v>
      </c>
      <c r="C97" s="8" t="inlineStr">
        <is>
          <t>aktívszén szűrőbetét</t>
        </is>
      </c>
      <c r="D97" s="8" t="n"/>
      <c r="E97" s="19" t="n">
        <v>140</v>
      </c>
      <c r="F97" s="8" t="inlineStr">
        <is>
          <t>Laza</t>
        </is>
      </c>
      <c r="G97" s="8" t="inlineStr">
        <is>
          <t>Igen</t>
        </is>
      </c>
      <c r="H97" s="8" t="inlineStr">
        <is>
          <t>Szagszűrés a termesztőtérből elszívott levegőből – aktív szénszűrő, előszűrő, utántöltő szén</t>
        </is>
      </c>
      <c r="I97" s="8" t="inlineStr">
        <is>
          <t>Kategórialeírás (természetes említés)</t>
        </is>
      </c>
    </row>
    <row r="98">
      <c r="A98" s="9" t="inlineStr">
        <is>
          <t>Aktív szénszűrő, előszűrő</t>
        </is>
      </c>
      <c r="B98" s="9" t="n">
        <v>9</v>
      </c>
      <c r="C98" s="9" t="inlineStr">
        <is>
          <t>szagelszívó szűrő</t>
        </is>
      </c>
      <c r="D98" s="9" t="n"/>
      <c r="E98" s="20" t="n">
        <v>140</v>
      </c>
      <c r="F98" s="9" t="inlineStr">
        <is>
          <t>Laza</t>
        </is>
      </c>
      <c r="G98" s="9" t="inlineStr">
        <is>
          <t>Nem</t>
        </is>
      </c>
      <c r="H98" s="9" t="inlineStr">
        <is>
          <t>Szagszűrés a termesztőtérből elszívott levegőből – aktív szénszűrő, előszűrő, utántöltő szén</t>
        </is>
      </c>
      <c r="I98" s="9" t="inlineStr">
        <is>
          <t>Nem célozni külön oldallal (max. említés)</t>
        </is>
      </c>
    </row>
    <row r="99">
      <c r="A99" s="9" t="inlineStr">
        <is>
          <t>Aktív szénszűrő, előszűrő</t>
        </is>
      </c>
      <c r="B99" s="9" t="n">
        <v>10</v>
      </c>
      <c r="C99" s="9" t="inlineStr">
        <is>
          <t>szagelszívó szénszűrő</t>
        </is>
      </c>
      <c r="D99" s="9" t="n"/>
      <c r="E99" s="20" t="n">
        <v>140</v>
      </c>
      <c r="F99" s="9" t="inlineStr">
        <is>
          <t>Laza</t>
        </is>
      </c>
      <c r="G99" s="9" t="inlineStr">
        <is>
          <t>Nem</t>
        </is>
      </c>
      <c r="H99" s="9" t="inlineStr">
        <is>
          <t>Szagszűrés a termesztőtérből elszívott levegőből – aktív szénszűrő, előszűrő, utántöltő szén</t>
        </is>
      </c>
      <c r="I99" s="9" t="inlineStr">
        <is>
          <t>Nem célozni külön oldallal (max. említés)</t>
        </is>
      </c>
    </row>
    <row r="100">
      <c r="A100" s="10" t="inlineStr">
        <is>
          <t>Szagsemlegesítő, ózongenerátor</t>
        </is>
      </c>
      <c r="B100" s="10" t="n">
        <v>19</v>
      </c>
      <c r="C100" s="10" t="inlineStr">
        <is>
          <t>dm szagtalanító spray</t>
        </is>
      </c>
      <c r="D100" s="10" t="n"/>
      <c r="E100" s="21" t="n">
        <v>140</v>
      </c>
      <c r="F100" s="10" t="inlineStr">
        <is>
          <t>Nincs (áruházi / nem vásárlási szándék)</t>
        </is>
      </c>
      <c r="G100" s="10" t="inlineStr">
        <is>
          <t>Nem – kizárandó</t>
        </is>
      </c>
      <c r="H100" s="10" t="inlineStr">
        <is>
          <t>Szagkezelés szénszűrő mellett / helyett – ONA gél, tömb, spray, légcsatornába építhető ONA szűrő, ózongenerátor</t>
        </is>
      </c>
      <c r="I100" s="10" t="inlineStr">
        <is>
          <t>Nem használni (áruházi/nem vásárlási szándék)</t>
        </is>
      </c>
    </row>
    <row r="101">
      <c r="A101" s="10" t="inlineStr">
        <is>
          <t>Szagsemlegesítő, ózongenerátor</t>
        </is>
      </c>
      <c r="B101" s="10" t="n">
        <v>20</v>
      </c>
      <c r="C101" s="10" t="inlineStr">
        <is>
          <t>sanytol szagtalanító</t>
        </is>
      </c>
      <c r="D101" s="10" t="n"/>
      <c r="E101" s="21" t="n">
        <v>140</v>
      </c>
      <c r="F101" s="10" t="inlineStr">
        <is>
          <t>Nincs (áruházi / nem vásárlási szándék)</t>
        </is>
      </c>
      <c r="G101" s="10" t="inlineStr">
        <is>
          <t>Nem – kizárandó</t>
        </is>
      </c>
      <c r="H101" s="10" t="inlineStr">
        <is>
          <t>Szagkezelés szénszűrő mellett / helyett – ONA gél, tömb, spray, légcsatornába építhető ONA szűrő, ózongenerátor</t>
        </is>
      </c>
      <c r="I101" s="10" t="inlineStr">
        <is>
          <t>Nem használni (áruházi/nem vásárlási szándék)</t>
        </is>
      </c>
    </row>
    <row r="102">
      <c r="A102" s="4" t="inlineStr">
        <is>
          <t>Párásító</t>
        </is>
      </c>
      <c r="B102" s="4" t="n">
        <v>10</v>
      </c>
      <c r="C102" s="4" t="inlineStr">
        <is>
          <t>hidegpárásító készülék</t>
        </is>
      </c>
      <c r="D102" s="4" t="n"/>
      <c r="E102" s="5" t="n">
        <v>140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Páratartalom növelése a termesztőtérben – ultrahangos / hideg párásító, ködgenerátor, vezérlő</t>
        </is>
      </c>
      <c r="I102" s="4" t="inlineStr">
        <is>
          <t>Kategórialeírás (természetes említés)</t>
        </is>
      </c>
    </row>
    <row r="103">
      <c r="A103" s="4" t="inlineStr">
        <is>
          <t>Párásító</t>
        </is>
      </c>
      <c r="B103" s="4" t="n">
        <v>11</v>
      </c>
      <c r="C103" s="4" t="inlineStr">
        <is>
          <t>legjobb párásító</t>
        </is>
      </c>
      <c r="D103" s="4" t="n"/>
      <c r="E103" s="5" t="n">
        <v>140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Páratartalom növelése a termesztőtérben – ultrahangos / hideg párásító, ködgenerátor, vezérlő</t>
        </is>
      </c>
      <c r="I103" s="4" t="inlineStr">
        <is>
          <t>Kategórialeírás (természetes említés)</t>
        </is>
      </c>
    </row>
    <row r="104">
      <c r="A104" s="9" t="inlineStr">
        <is>
          <t>Párásító</t>
        </is>
      </c>
      <c r="B104" s="9" t="n">
        <v>12</v>
      </c>
      <c r="C104" s="9" t="inlineStr">
        <is>
          <t>párásító babáknak</t>
        </is>
      </c>
      <c r="D104" s="9" t="n"/>
      <c r="E104" s="20" t="n">
        <v>140</v>
      </c>
      <c r="F104" s="9" t="inlineStr">
        <is>
          <t>Laza</t>
        </is>
      </c>
      <c r="G104" s="9" t="inlineStr">
        <is>
          <t>Nem</t>
        </is>
      </c>
      <c r="H104" s="9" t="inlineStr">
        <is>
          <t>Páratartalom növelése a termesztőtérben – ultrahangos / hideg párásító, ködgenerátor, vezérlő</t>
        </is>
      </c>
      <c r="I104" s="9" t="inlineStr">
        <is>
          <t>Nem célozni külön oldallal (max. említés)</t>
        </is>
      </c>
    </row>
    <row r="105">
      <c r="A105" s="4" t="inlineStr">
        <is>
          <t>Hő- és páratartalom-mérő</t>
        </is>
      </c>
      <c r="B105" s="4" t="n">
        <v>4</v>
      </c>
      <c r="C105" s="4" t="inlineStr">
        <is>
          <t>hő és páratartalom mérő</t>
        </is>
      </c>
      <c r="D105" s="4" t="n"/>
      <c r="E105" s="5" t="n">
        <v>140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Hőmérséklet és relatív páratartalom mérése – digitális thermo-higrométer</t>
        </is>
      </c>
      <c r="I105" s="4" t="inlineStr">
        <is>
          <t>SEO title / H1 / bevezető (másodlagos)</t>
        </is>
      </c>
    </row>
    <row r="106">
      <c r="A106" s="8" t="inlineStr">
        <is>
          <t>Csőventilátor, elszívó ventilátor</t>
        </is>
      </c>
      <c r="B106" s="8" t="n">
        <v>17</v>
      </c>
      <c r="C106" s="8" t="inlineStr">
        <is>
          <t>szagelszívó ventilátor</t>
        </is>
      </c>
      <c r="D106" s="8" t="n"/>
      <c r="E106" s="19" t="n">
        <v>110</v>
      </c>
      <c r="F106" s="8" t="inlineStr">
        <is>
          <t>Laza</t>
        </is>
      </c>
      <c r="G106" s="8" t="inlineStr">
        <is>
          <t>Igen</t>
        </is>
      </c>
      <c r="H106" s="8" t="inlineStr">
        <is>
          <t>Elszívás / befúvás a termesztőtérben – centrifugális, kevert áramlású és EC csőventilátor</t>
        </is>
      </c>
      <c r="I106" s="8" t="inlineStr">
        <is>
          <t>Kategórialeírás (természetes említés)</t>
        </is>
      </c>
    </row>
    <row r="107">
      <c r="A107" s="4" t="inlineStr">
        <is>
          <t>Szagsemlegesítő, ózongenerátor</t>
        </is>
      </c>
      <c r="B107" s="4" t="n">
        <v>21</v>
      </c>
      <c r="C107" s="4" t="inlineStr">
        <is>
          <t>ózongenerátor lakásba</t>
        </is>
      </c>
      <c r="D107" s="4" t="n"/>
      <c r="E107" s="5" t="n">
        <v>110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Szagkezelés szénszűrő mellett / helyett – ONA gél, tömb, spray, légcsatornába építhető ONA szűrő, ózongenerátor</t>
        </is>
      </c>
      <c r="I107" s="4" t="inlineStr">
        <is>
          <t>Kategórialeírás (természetes említés)</t>
        </is>
      </c>
    </row>
    <row r="108">
      <c r="A108" s="8" t="inlineStr">
        <is>
          <t>Szagsemlegesítő, ózongenerátor</t>
        </is>
      </c>
      <c r="B108" s="8" t="n">
        <v>22</v>
      </c>
      <c r="C108" s="8" t="inlineStr">
        <is>
          <t>ózongenerátor penész ellen</t>
        </is>
      </c>
      <c r="D108" s="8" t="n"/>
      <c r="E108" s="19" t="n">
        <v>110</v>
      </c>
      <c r="F108" s="8" t="inlineStr">
        <is>
          <t>Laza</t>
        </is>
      </c>
      <c r="G108" s="8" t="inlineStr">
        <is>
          <t>Igen</t>
        </is>
      </c>
      <c r="H108" s="8" t="inlineStr">
        <is>
          <t>Szagkezelés szénszűrő mellett / helyett – ONA gél, tömb, spray, légcsatornába építhető ONA szűrő, ózongenerátor</t>
        </is>
      </c>
      <c r="I108" s="8" t="inlineStr">
        <is>
          <t>Kategórialeírás (természetes említés)</t>
        </is>
      </c>
    </row>
    <row r="109">
      <c r="A109" s="4" t="inlineStr">
        <is>
          <t>Párásító</t>
        </is>
      </c>
      <c r="B109" s="4" t="n">
        <v>13</v>
      </c>
      <c r="C109" s="4" t="inlineStr">
        <is>
          <t>levegő párásító készülék</t>
        </is>
      </c>
      <c r="D109" s="4" t="n"/>
      <c r="E109" s="5" t="n">
        <v>110</v>
      </c>
      <c r="F109" s="4" t="inlineStr">
        <is>
          <t>Szoros</t>
        </is>
      </c>
      <c r="G109" s="4" t="inlineStr">
        <is>
          <t>Igen</t>
        </is>
      </c>
      <c r="H109" s="4" t="inlineStr">
        <is>
          <t>Páratartalom növelése a termesztőtérben – ultrahangos / hideg párásító, ködgenerátor, vezérlő</t>
        </is>
      </c>
      <c r="I109" s="4" t="inlineStr">
        <is>
          <t>Kategórialeírás (természetes említés)</t>
        </is>
      </c>
    </row>
    <row r="110">
      <c r="A110" s="4" t="inlineStr">
        <is>
          <t>Klímavezérlő: ventilátor-szabályzó, termosztát, higrosztát</t>
        </is>
      </c>
      <c r="B110" s="4" t="n">
        <v>1</v>
      </c>
      <c r="C110" s="4" t="inlineStr">
        <is>
          <t>ventilátor fordulatszám szabályzó</t>
        </is>
      </c>
      <c r="D110" s="4" t="n"/>
      <c r="E110" s="5" t="n">
        <v>110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Csőventilátor fordulatszám-, hőmérséklet-, páratartalom- és nyomásszabályzása; környezeti vezérlő (AC Infinity, GSE, OptiClimate)</t>
        </is>
      </c>
      <c r="I110" s="4" t="inlineStr">
        <is>
          <t>Kategórianév + H1 + SEO title (fő kulcsszó)</t>
        </is>
      </c>
    </row>
    <row r="111">
      <c r="A111" s="8" t="inlineStr">
        <is>
          <t>Klímavezérlő: ventilátor-szabályzó, termosztát, higrosztát</t>
        </is>
      </c>
      <c r="B111" s="8" t="n">
        <v>3</v>
      </c>
      <c r="C111" s="8" t="inlineStr">
        <is>
          <t>konnektoros termosztát</t>
        </is>
      </c>
      <c r="D111" s="8" t="n"/>
      <c r="E111" s="19" t="n">
        <v>110</v>
      </c>
      <c r="F111" s="8" t="inlineStr">
        <is>
          <t>Laza</t>
        </is>
      </c>
      <c r="G111" s="8" t="inlineStr">
        <is>
          <t>Igen</t>
        </is>
      </c>
      <c r="H111" s="8" t="inlineStr">
        <is>
          <t>Csőventilátor fordulatszám-, hőmérséklet-, páratartalom- és nyomásszabályzása; környezeti vezérlő (AC Infinity, GSE, OptiClimate)</t>
        </is>
      </c>
      <c r="I111" s="8" t="inlineStr">
        <is>
          <t>Kategórialeírás (természetes említés)</t>
        </is>
      </c>
    </row>
    <row r="112">
      <c r="A112" s="4" t="inlineStr">
        <is>
          <t>Hő- és páratartalom-mérő</t>
        </is>
      </c>
      <c r="B112" s="4" t="n">
        <v>5</v>
      </c>
      <c r="C112" s="4" t="inlineStr">
        <is>
          <t>hőmérséklet és páratartalom mérő</t>
        </is>
      </c>
      <c r="D112" s="4" t="n"/>
      <c r="E112" s="5" t="n">
        <v>110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Hőmérséklet és relatív páratartalom mérése – digitális thermo-higrométer</t>
        </is>
      </c>
      <c r="I112" s="4" t="inlineStr">
        <is>
          <t>Kategórialeírás (természetes említés)</t>
        </is>
      </c>
    </row>
    <row r="113">
      <c r="A113" s="4" t="inlineStr">
        <is>
          <t>Csőventilátor, elszívó ventilátor</t>
        </is>
      </c>
      <c r="B113" s="4" t="n">
        <v>18</v>
      </c>
      <c r="C113" s="4" t="inlineStr">
        <is>
          <t>cső elszívó ventilátor</t>
        </is>
      </c>
      <c r="D113" s="4" t="n"/>
      <c r="E113" s="5" t="n">
        <v>90</v>
      </c>
      <c r="F113" s="4" t="inlineStr">
        <is>
          <t>Szoros</t>
        </is>
      </c>
      <c r="G113" s="4" t="inlineStr">
        <is>
          <t>Igen</t>
        </is>
      </c>
      <c r="H113" s="4" t="inlineStr">
        <is>
          <t>Elszívás / befúvás a termesztőtérben – centrifugális, kevert áramlású és EC csőventilátor</t>
        </is>
      </c>
      <c r="I113" s="4" t="inlineStr">
        <is>
          <t>Kategórialeírás (természetes említés)</t>
        </is>
      </c>
    </row>
    <row r="114">
      <c r="A114" s="4" t="inlineStr">
        <is>
          <t>Csőventilátor, elszívó ventilátor</t>
        </is>
      </c>
      <c r="B114" s="4" t="n">
        <v>19</v>
      </c>
      <c r="C114" s="4" t="inlineStr">
        <is>
          <t>csőventilátor 125</t>
        </is>
      </c>
      <c r="D114" s="4" t="n"/>
      <c r="E114" s="5" t="n">
        <v>90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Elszívás / befúvás a termesztőtérben – centrifugális, kevert áramlású és EC csőventilátor</t>
        </is>
      </c>
      <c r="I114" s="4" t="inlineStr">
        <is>
          <t>SEO title / H1 / bevezető (másodlagos)</t>
        </is>
      </c>
    </row>
    <row r="115">
      <c r="A115" s="4" t="inlineStr">
        <is>
          <t>Csőventilátor, elszívó ventilátor</t>
        </is>
      </c>
      <c r="B115" s="4" t="n">
        <v>20</v>
      </c>
      <c r="C115" s="4" t="inlineStr">
        <is>
          <t>centrifugális ventilátor</t>
        </is>
      </c>
      <c r="D115" s="4" t="n"/>
      <c r="E115" s="5" t="n">
        <v>90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Elszívás / befúvás a termesztőtérben – centrifugális, kevert áramlású és EC csőventilátor</t>
        </is>
      </c>
      <c r="I115" s="4" t="inlineStr">
        <is>
          <t>Kategórialeírás (természetes említés)</t>
        </is>
      </c>
    </row>
    <row r="116">
      <c r="A116" s="4" t="inlineStr">
        <is>
          <t>Csőventilátor, elszívó ventilátor</t>
        </is>
      </c>
      <c r="B116" s="4" t="n">
        <v>21</v>
      </c>
      <c r="C116" s="4" t="inlineStr">
        <is>
          <t>szabályozható csőventilátor</t>
        </is>
      </c>
      <c r="D116" s="4" t="n"/>
      <c r="E116" s="5" t="n">
        <v>90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Elszívás / befúvás a termesztőtérben – centrifugális, kevert áramlású és EC csőventilátor</t>
        </is>
      </c>
      <c r="I116" s="4" t="inlineStr">
        <is>
          <t>Kategórialeírás (természetes említés)</t>
        </is>
      </c>
    </row>
    <row r="117">
      <c r="A117" s="4" t="inlineStr">
        <is>
          <t>Légtechnikai cső, idom, bilincs</t>
        </is>
      </c>
      <c r="B117" s="4" t="n">
        <v>13</v>
      </c>
      <c r="C117" s="4" t="inlineStr">
        <is>
          <t>szűkítő idom</t>
        </is>
      </c>
      <c r="D117" s="4" t="n"/>
      <c r="E117" s="5" t="n">
        <v>90</v>
      </c>
      <c r="F117" s="4" t="inlineStr">
        <is>
          <t>Szoros</t>
        </is>
      </c>
      <c r="G117" s="4" t="inlineStr">
        <is>
          <t>Igen</t>
        </is>
      </c>
      <c r="H117" s="4" t="inlineStr">
        <is>
          <t>Flexibilis légcsatorna (Aluflex, Sonoflex, Combiflex), idom, bővítő / szűkítő, csőtoldó, visszacsapó szelep, bilincs, ragasztószalag, ventilátor-hangtompító</t>
        </is>
      </c>
      <c r="I117" s="4" t="inlineStr">
        <is>
          <t>Kategórialeírás (természetes említés)</t>
        </is>
      </c>
    </row>
    <row r="118">
      <c r="A118" s="4" t="inlineStr">
        <is>
          <t>Szagsemlegesítő, ózongenerátor</t>
        </is>
      </c>
      <c r="B118" s="4" t="n">
        <v>23</v>
      </c>
      <c r="C118" s="4" t="inlineStr">
        <is>
          <t>szagtalanító készülék</t>
        </is>
      </c>
      <c r="D118" s="4" t="n"/>
      <c r="E118" s="5" t="n">
        <v>90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Szagkezelés szénszűrő mellett / helyett – ONA gél, tömb, spray, légcsatornába építhető ONA szűrő, ózongenerátor</t>
        </is>
      </c>
      <c r="I118" s="4" t="inlineStr">
        <is>
          <t>Kategórialeírás (természetes említés)</t>
        </is>
      </c>
    </row>
    <row r="119">
      <c r="A119" s="8" t="inlineStr">
        <is>
          <t>Páramentesítő</t>
        </is>
      </c>
      <c r="B119" s="8" t="n">
        <v>11</v>
      </c>
      <c r="C119" s="8" t="inlineStr">
        <is>
          <t>páramentesítő penész ellen</t>
        </is>
      </c>
      <c r="D119" s="8" t="n"/>
      <c r="E119" s="19" t="n">
        <v>90</v>
      </c>
      <c r="F119" s="8" t="inlineStr">
        <is>
          <t>Laza</t>
        </is>
      </c>
      <c r="G119" s="8" t="inlineStr">
        <is>
          <t>Igen</t>
        </is>
      </c>
      <c r="H119" s="8" t="inlineStr">
        <is>
          <t>Páratartalom csökkentése a termesztőtérben, szárításnál – kompresszoros / Peltier páramentesítő</t>
        </is>
      </c>
      <c r="I119" s="8" t="inlineStr">
        <is>
          <t>Kategórialeírás (természetes említés)</t>
        </is>
      </c>
    </row>
    <row r="120">
      <c r="A120" s="10" t="inlineStr">
        <is>
          <t>Páramentesítő</t>
        </is>
      </c>
      <c r="B120" s="10" t="n">
        <v>12</v>
      </c>
      <c r="C120" s="10" t="inlineStr">
        <is>
          <t>ipari páramentesítő bérlés</t>
        </is>
      </c>
      <c r="D120" s="10" t="n"/>
      <c r="E120" s="21" t="n">
        <v>90</v>
      </c>
      <c r="F120" s="10" t="inlineStr">
        <is>
          <t>Nincs (áruházi / nem vásárlási szándék)</t>
        </is>
      </c>
      <c r="G120" s="10" t="inlineStr">
        <is>
          <t>Nem – kizárandó</t>
        </is>
      </c>
      <c r="H120" s="10" t="inlineStr">
        <is>
          <t>Páratartalom csökkentése a termesztőtérben, szárításnál – kompresszoros / Peltier páramentesítő</t>
        </is>
      </c>
      <c r="I120" s="10" t="inlineStr">
        <is>
          <t>Nem használni (áruházi/nem vásárlási szándék)</t>
        </is>
      </c>
    </row>
    <row r="121">
      <c r="A121" s="4" t="inlineStr">
        <is>
          <t>Párásító</t>
        </is>
      </c>
      <c r="B121" s="4" t="n">
        <v>14</v>
      </c>
      <c r="C121" s="4" t="inlineStr">
        <is>
          <t>ultrahangos párásító készülék</t>
        </is>
      </c>
      <c r="D121" s="4" t="n"/>
      <c r="E121" s="5" t="n">
        <v>90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Páratartalom növelése a termesztőtérben – ultrahangos / hideg párásító, ködgenerátor, vezérlő</t>
        </is>
      </c>
      <c r="I121" s="4" t="inlineStr">
        <is>
          <t>Kategórialeírás (természetes említés)</t>
        </is>
      </c>
    </row>
    <row r="122">
      <c r="A122" s="4" t="inlineStr">
        <is>
          <t>Párásító</t>
        </is>
      </c>
      <c r="B122" s="4" t="n">
        <v>15</v>
      </c>
      <c r="C122" s="4" t="inlineStr">
        <is>
          <t>ultrahangos hideg párásító</t>
        </is>
      </c>
      <c r="D122" s="4" t="n"/>
      <c r="E122" s="5" t="n">
        <v>90</v>
      </c>
      <c r="F122" s="4" t="inlineStr">
        <is>
          <t>Szoros</t>
        </is>
      </c>
      <c r="G122" s="4" t="inlineStr">
        <is>
          <t>Igen</t>
        </is>
      </c>
      <c r="H122" s="4" t="inlineStr">
        <is>
          <t>Páratartalom növelése a termesztőtérben – ultrahangos / hideg párásító, ködgenerátor, vezérlő</t>
        </is>
      </c>
      <c r="I122" s="4" t="inlineStr">
        <is>
          <t>Kategórialeírás (természetes említés)</t>
        </is>
      </c>
    </row>
    <row r="123">
      <c r="A123" s="8" t="inlineStr">
        <is>
          <t>Klímavezérlő: ventilátor-szabályzó, termosztát, higrosztát</t>
        </is>
      </c>
      <c r="B123" s="8" t="n">
        <v>4</v>
      </c>
      <c r="C123" s="8" t="inlineStr">
        <is>
          <t>digitális hőfokszabályzó</t>
        </is>
      </c>
      <c r="D123" s="8" t="n"/>
      <c r="E123" s="19" t="n">
        <v>90</v>
      </c>
      <c r="F123" s="8" t="inlineStr">
        <is>
          <t>Laza</t>
        </is>
      </c>
      <c r="G123" s="8" t="inlineStr">
        <is>
          <t>Igen</t>
        </is>
      </c>
      <c r="H123" s="8" t="inlineStr">
        <is>
          <t>Csőventilátor fordulatszám-, hőmérséklet-, páratartalom- és nyomásszabályzása; környezeti vezérlő (AC Infinity, GSE, OptiClimate)</t>
        </is>
      </c>
      <c r="I123" s="8" t="inlineStr">
        <is>
          <t>Kategórialeírás (természetes említés)</t>
        </is>
      </c>
    </row>
    <row r="124">
      <c r="A124" s="10" t="inlineStr">
        <is>
          <t>Klímavezérlő: ventilátor-szabályzó, termosztát, higrosztát</t>
        </is>
      </c>
      <c r="B124" s="10" t="n">
        <v>5</v>
      </c>
      <c r="C124" s="10" t="inlineStr">
        <is>
          <t>pc ventilátor vezérlő</t>
        </is>
      </c>
      <c r="D124" s="10" t="n"/>
      <c r="E124" s="21" t="n">
        <v>90</v>
      </c>
      <c r="F124" s="10" t="inlineStr">
        <is>
          <t>Nincs (áruházi / nem vásárlási szándék)</t>
        </is>
      </c>
      <c r="G124" s="10" t="inlineStr">
        <is>
          <t>Nem – kizárandó</t>
        </is>
      </c>
      <c r="H124" s="10" t="inlineStr">
        <is>
          <t>Csőventilátor fordulatszám-, hőmérséklet-, páratartalom- és nyomásszabályzása; környezeti vezérlő (AC Infinity, GSE, OptiClimate)</t>
        </is>
      </c>
      <c r="I124" s="10" t="inlineStr">
        <is>
          <t>Nem használni (áruházi/nem vásárlási szándék)</t>
        </is>
      </c>
    </row>
    <row r="125">
      <c r="A125" s="4" t="inlineStr">
        <is>
          <t>Hő- és páratartalom-mérő</t>
        </is>
      </c>
      <c r="B125" s="4" t="n">
        <v>6</v>
      </c>
      <c r="C125" s="4" t="inlineStr">
        <is>
          <t>paratartalom mero</t>
        </is>
      </c>
      <c r="D125" s="4" t="n"/>
      <c r="E125" s="5" t="n">
        <v>90</v>
      </c>
      <c r="F125" s="4" t="inlineStr">
        <is>
          <t>Szoros</t>
        </is>
      </c>
      <c r="G125" s="4" t="inlineStr">
        <is>
          <t>Igen</t>
        </is>
      </c>
      <c r="H125" s="4" t="inlineStr">
        <is>
          <t>Hőmérséklet és relatív páratartalom mérése – digitális thermo-higrométer</t>
        </is>
      </c>
      <c r="I125" s="4" t="inlineStr">
        <is>
          <t>Kategórialeírás (természetes említés)</t>
        </is>
      </c>
    </row>
    <row r="126">
      <c r="A126" s="4" t="inlineStr">
        <is>
          <t>Csőventilátor, elszívó ventilátor</t>
        </is>
      </c>
      <c r="B126" s="4" t="n">
        <v>22</v>
      </c>
      <c r="C126" s="4" t="inlineStr">
        <is>
          <t>csö ventilátor</t>
        </is>
      </c>
      <c r="D126" s="4" t="n"/>
      <c r="E126" s="5" t="n">
        <v>70</v>
      </c>
      <c r="F126" s="4" t="inlineStr">
        <is>
          <t>Szoros</t>
        </is>
      </c>
      <c r="G126" s="4" t="inlineStr">
        <is>
          <t>Igen</t>
        </is>
      </c>
      <c r="H126" s="4" t="inlineStr">
        <is>
          <t>Elszívás / befúvás a termesztőtérben – centrifugális, kevert áramlású és EC csőventilátor</t>
        </is>
      </c>
      <c r="I126" s="4" t="inlineStr">
        <is>
          <t>Kategórialeírás (természetes említés)</t>
        </is>
      </c>
    </row>
    <row r="127">
      <c r="A127" s="4" t="inlineStr">
        <is>
          <t>Csőventilátor, elszívó ventilátor</t>
        </is>
      </c>
      <c r="B127" s="4" t="n">
        <v>23</v>
      </c>
      <c r="C127" s="4" t="inlineStr">
        <is>
          <t>csőventilátor 200</t>
        </is>
      </c>
      <c r="D127" s="4" t="n"/>
      <c r="E127" s="5" t="n">
        <v>70</v>
      </c>
      <c r="F127" s="4" t="inlineStr">
        <is>
          <t>Szoros</t>
        </is>
      </c>
      <c r="G127" s="4" t="inlineStr">
        <is>
          <t>Igen</t>
        </is>
      </c>
      <c r="H127" s="4" t="inlineStr">
        <is>
          <t>Elszívás / befúvás a termesztőtérben – centrifugális, kevert áramlású és EC csőventilátor</t>
        </is>
      </c>
      <c r="I127" s="4" t="inlineStr">
        <is>
          <t>Kategórialeírás (természetes említés)</t>
        </is>
      </c>
    </row>
    <row r="128">
      <c r="A128" s="4" t="inlineStr">
        <is>
          <t>Csőventilátor, elszívó ventilátor</t>
        </is>
      </c>
      <c r="B128" s="4" t="n">
        <v>24</v>
      </c>
      <c r="C128" s="4" t="inlineStr">
        <is>
          <t>ipari csőventilátor</t>
        </is>
      </c>
      <c r="D128" s="4" t="n"/>
      <c r="E128" s="5" t="n">
        <v>70</v>
      </c>
      <c r="F128" s="4" t="inlineStr">
        <is>
          <t>Szoros</t>
        </is>
      </c>
      <c r="G128" s="4" t="inlineStr">
        <is>
          <t>Igen</t>
        </is>
      </c>
      <c r="H128" s="4" t="inlineStr">
        <is>
          <t>Elszívás / befúvás a termesztőtérben – centrifugális, kevert áramlású és EC csőventilátor</t>
        </is>
      </c>
      <c r="I128" s="4" t="inlineStr">
        <is>
          <t>Kategórialeírás (természetes említés)</t>
        </is>
      </c>
    </row>
    <row r="129">
      <c r="A129" s="4" t="inlineStr">
        <is>
          <t>Aktív szénszűrő, előszűrő</t>
        </is>
      </c>
      <c r="B129" s="4" t="n">
        <v>11</v>
      </c>
      <c r="C129" s="4" t="inlineStr">
        <is>
          <t>aktív szenes szűrő</t>
        </is>
      </c>
      <c r="D129" s="4" t="n"/>
      <c r="E129" s="5" t="n">
        <v>70</v>
      </c>
      <c r="F129" s="4" t="inlineStr">
        <is>
          <t>Szoros</t>
        </is>
      </c>
      <c r="G129" s="4" t="inlineStr">
        <is>
          <t>Igen</t>
        </is>
      </c>
      <c r="H129" s="4" t="inlineStr">
        <is>
          <t>Szagszűrés a termesztőtérből elszívott levegőből – aktív szénszűrő, előszűrő, utántöltő szén</t>
        </is>
      </c>
      <c r="I129" s="4" t="inlineStr">
        <is>
          <t>Kategórialeírás (természetes említés)</t>
        </is>
      </c>
    </row>
    <row r="130">
      <c r="A130" s="4" t="inlineStr">
        <is>
          <t>Légtechnikai cső, idom, bilincs</t>
        </is>
      </c>
      <c r="B130" s="4" t="n">
        <v>14</v>
      </c>
      <c r="C130" s="4" t="inlineStr">
        <is>
          <t>sonoflex</t>
        </is>
      </c>
      <c r="D130" s="4" t="n"/>
      <c r="E130" s="5" t="n">
        <v>70</v>
      </c>
      <c r="F130" s="4" t="inlineStr">
        <is>
          <t>Szoros</t>
        </is>
      </c>
      <c r="G130" s="4" t="inlineStr">
        <is>
          <t>Igen</t>
        </is>
      </c>
      <c r="H130" s="4" t="inlineStr">
        <is>
          <t>Flexibilis légcsatorna (Aluflex, Sonoflex, Combiflex), idom, bővítő / szűkítő, csőtoldó, visszacsapó szelep, bilincs, ragasztószalag, ventilátor-hangtompító</t>
        </is>
      </c>
      <c r="I130" s="4" t="inlineStr">
        <is>
          <t>Gyártóoldal / szűrő / termékoldal</t>
        </is>
      </c>
    </row>
    <row r="131">
      <c r="A131" s="4" t="inlineStr">
        <is>
          <t>Légtechnikai cső, idom, bilincs</t>
        </is>
      </c>
      <c r="B131" s="4" t="n">
        <v>15</v>
      </c>
      <c r="C131" s="4" t="inlineStr">
        <is>
          <t>légcsatorna cső</t>
        </is>
      </c>
      <c r="D131" s="4" t="n"/>
      <c r="E131" s="5" t="n">
        <v>70</v>
      </c>
      <c r="F131" s="4" t="inlineStr">
        <is>
          <t>Szoros</t>
        </is>
      </c>
      <c r="G131" s="4" t="inlineStr">
        <is>
          <t>Igen</t>
        </is>
      </c>
      <c r="H131" s="4" t="inlineStr">
        <is>
          <t>Flexibilis légcsatorna (Aluflex, Sonoflex, Combiflex), idom, bővítő / szűkítő, csőtoldó, visszacsapó szelep, bilincs, ragasztószalag, ventilátor-hangtompító</t>
        </is>
      </c>
      <c r="I131" s="4" t="inlineStr">
        <is>
          <t>Kategórialeírás (természetes említés)</t>
        </is>
      </c>
    </row>
    <row r="132">
      <c r="A132" s="4" t="inlineStr">
        <is>
          <t>Légtechnikai cső, idom, bilincs</t>
        </is>
      </c>
      <c r="B132" s="4" t="n">
        <v>16</v>
      </c>
      <c r="C132" s="4" t="inlineStr">
        <is>
          <t>légcsatorna idomok</t>
        </is>
      </c>
      <c r="D132" s="4" t="n"/>
      <c r="E132" s="5" t="n">
        <v>70</v>
      </c>
      <c r="F132" s="4" t="inlineStr">
        <is>
          <t>Szoros</t>
        </is>
      </c>
      <c r="G132" s="4" t="inlineStr">
        <is>
          <t>Igen</t>
        </is>
      </c>
      <c r="H132" s="4" t="inlineStr">
        <is>
          <t>Flexibilis légcsatorna (Aluflex, Sonoflex, Combiflex), idom, bővítő / szűkítő, csőtoldó, visszacsapó szelep, bilincs, ragasztószalag, ventilátor-hangtompító</t>
        </is>
      </c>
      <c r="I132" s="4" t="inlineStr">
        <is>
          <t>Kategórialeírás (természetes említés)</t>
        </is>
      </c>
    </row>
    <row r="133">
      <c r="A133" s="8" t="inlineStr">
        <is>
          <t>Szagsemlegesítő, ózongenerátor</t>
        </is>
      </c>
      <c r="B133" s="8" t="n">
        <v>24</v>
      </c>
      <c r="C133" s="8" t="inlineStr">
        <is>
          <t>levegő ionizátor</t>
        </is>
      </c>
      <c r="D133" s="8" t="n"/>
      <c r="E133" s="19" t="n">
        <v>70</v>
      </c>
      <c r="F133" s="8" t="inlineStr">
        <is>
          <t>Laza</t>
        </is>
      </c>
      <c r="G133" s="8" t="inlineStr">
        <is>
          <t>Igen</t>
        </is>
      </c>
      <c r="H133" s="8" t="inlineStr">
        <is>
          <t>Szagkezelés szénszűrő mellett / helyett – ONA gél, tömb, spray, légcsatornába építhető ONA szűrő, ózongenerátor</t>
        </is>
      </c>
      <c r="I133" s="8" t="inlineStr">
        <is>
          <t>Kategórialeírás (természetes említés)</t>
        </is>
      </c>
    </row>
    <row r="134">
      <c r="A134" s="4" t="inlineStr">
        <is>
          <t>Páramentesítő</t>
        </is>
      </c>
      <c r="B134" s="4" t="n">
        <v>13</v>
      </c>
      <c r="C134" s="4" t="inlineStr">
        <is>
          <t>kompresszoros páramentesítő</t>
        </is>
      </c>
      <c r="D134" s="4" t="n"/>
      <c r="E134" s="5" t="n">
        <v>70</v>
      </c>
      <c r="F134" s="4" t="inlineStr">
        <is>
          <t>Szoros</t>
        </is>
      </c>
      <c r="G134" s="4" t="inlineStr">
        <is>
          <t>Igen</t>
        </is>
      </c>
      <c r="H134" s="4" t="inlineStr">
        <is>
          <t>Páratartalom csökkentése a termesztőtérben, szárításnál – kompresszoros / Peltier páramentesítő</t>
        </is>
      </c>
      <c r="I134" s="4" t="inlineStr">
        <is>
          <t>Kategórialeírás (természetes említés)</t>
        </is>
      </c>
    </row>
    <row r="135">
      <c r="A135" s="4" t="inlineStr">
        <is>
          <t>Párásító</t>
        </is>
      </c>
      <c r="B135" s="4" t="n">
        <v>16</v>
      </c>
      <c r="C135" s="4" t="inlineStr">
        <is>
          <t>elektromos párásító</t>
        </is>
      </c>
      <c r="D135" s="4" t="n"/>
      <c r="E135" s="5" t="n">
        <v>70</v>
      </c>
      <c r="F135" s="4" t="inlineStr">
        <is>
          <t>Szoros</t>
        </is>
      </c>
      <c r="G135" s="4" t="inlineStr">
        <is>
          <t>Igen</t>
        </is>
      </c>
      <c r="H135" s="4" t="inlineStr">
        <is>
          <t>Páratartalom növelése a termesztőtérben – ultrahangos / hideg párásító, ködgenerátor, vezérlő</t>
        </is>
      </c>
      <c r="I135" s="4" t="inlineStr">
        <is>
          <t>Kategórialeírás (természetes említés)</t>
        </is>
      </c>
    </row>
    <row r="136">
      <c r="A136" s="4" t="inlineStr">
        <is>
          <t>Párásító</t>
        </is>
      </c>
      <c r="B136" s="4" t="n">
        <v>17</v>
      </c>
      <c r="C136" s="4" t="inlineStr">
        <is>
          <t>okos párásító</t>
        </is>
      </c>
      <c r="D136" s="4" t="n"/>
      <c r="E136" s="5" t="n">
        <v>70</v>
      </c>
      <c r="F136" s="4" t="inlineStr">
        <is>
          <t>Szoros</t>
        </is>
      </c>
      <c r="G136" s="4" t="inlineStr">
        <is>
          <t>Igen</t>
        </is>
      </c>
      <c r="H136" s="4" t="inlineStr">
        <is>
          <t>Páratartalom növelése a termesztőtérben – ultrahangos / hideg párásító, ködgenerátor, vezérlő</t>
        </is>
      </c>
      <c r="I136" s="4" t="inlineStr">
        <is>
          <t>Kategórialeírás (természetes említés)</t>
        </is>
      </c>
    </row>
    <row r="137">
      <c r="A137" s="4" t="inlineStr">
        <is>
          <t>Párásító</t>
        </is>
      </c>
      <c r="B137" s="4" t="n">
        <v>18</v>
      </c>
      <c r="C137" s="4" t="inlineStr">
        <is>
          <t>párásítók</t>
        </is>
      </c>
      <c r="D137" s="4" t="n"/>
      <c r="E137" s="5" t="n">
        <v>70</v>
      </c>
      <c r="F137" s="4" t="inlineStr">
        <is>
          <t>Szoros</t>
        </is>
      </c>
      <c r="G137" s="4" t="inlineStr">
        <is>
          <t>Igen</t>
        </is>
      </c>
      <c r="H137" s="4" t="inlineStr">
        <is>
          <t>Páratartalom növelése a termesztőtérben – ultrahangos / hideg párásító, ködgenerátor, vezérlő</t>
        </is>
      </c>
      <c r="I137" s="4" t="inlineStr">
        <is>
          <t>Kategórialeírás (természetes említés)</t>
        </is>
      </c>
    </row>
    <row r="138">
      <c r="A138" s="4" t="inlineStr">
        <is>
          <t>Klímavezérlő: ventilátor-szabályzó, termosztát, higrosztát</t>
        </is>
      </c>
      <c r="B138" s="4" t="n">
        <v>6</v>
      </c>
      <c r="C138" s="4" t="inlineStr">
        <is>
          <t>ventilátor vezérlő</t>
        </is>
      </c>
      <c r="D138" s="4" t="n"/>
      <c r="E138" s="5" t="n">
        <v>70</v>
      </c>
      <c r="F138" s="4" t="inlineStr">
        <is>
          <t>Szoros</t>
        </is>
      </c>
      <c r="G138" s="4" t="inlineStr">
        <is>
          <t>Igen</t>
        </is>
      </c>
      <c r="H138" s="4" t="inlineStr">
        <is>
          <t>Csőventilátor fordulatszám-, hőmérséklet-, páratartalom- és nyomásszabályzása; környezeti vezérlő (AC Infinity, GSE, OptiClimate)</t>
        </is>
      </c>
      <c r="I138" s="4" t="inlineStr">
        <is>
          <t>SEO title / H1 / bevezető (másodlagos)</t>
        </is>
      </c>
    </row>
    <row r="139">
      <c r="A139" s="4" t="inlineStr">
        <is>
          <t>Klímavezérlő: ventilátor-szabályzó, termosztát, higrosztát</t>
        </is>
      </c>
      <c r="B139" s="4" t="n">
        <v>7</v>
      </c>
      <c r="C139" s="4" t="inlineStr">
        <is>
          <t>ventilátor vezérlés</t>
        </is>
      </c>
      <c r="D139" s="4" t="n"/>
      <c r="E139" s="5" t="n">
        <v>70</v>
      </c>
      <c r="F139" s="4" t="inlineStr">
        <is>
          <t>Szoros</t>
        </is>
      </c>
      <c r="G139" s="4" t="inlineStr">
        <is>
          <t>Igen</t>
        </is>
      </c>
      <c r="H139" s="4" t="inlineStr">
        <is>
          <t>Csőventilátor fordulatszám-, hőmérséklet-, páratartalom- és nyomásszabályzása; környezeti vezérlő (AC Infinity, GSE, OptiClimate)</t>
        </is>
      </c>
      <c r="I139" s="4" t="inlineStr">
        <is>
          <t>Kategórialeírás (természetes említés)</t>
        </is>
      </c>
    </row>
    <row r="140">
      <c r="A140" s="4" t="inlineStr">
        <is>
          <t>Klímavezérlő: ventilátor-szabályzó, termosztát, higrosztát</t>
        </is>
      </c>
      <c r="B140" s="4" t="n">
        <v>8</v>
      </c>
      <c r="C140" s="4" t="inlineStr">
        <is>
          <t>fordulatszám szabályzós ventilátor</t>
        </is>
      </c>
      <c r="D140" s="4" t="n"/>
      <c r="E140" s="5" t="n">
        <v>70</v>
      </c>
      <c r="F140" s="4" t="inlineStr">
        <is>
          <t>Szoros</t>
        </is>
      </c>
      <c r="G140" s="4" t="inlineStr">
        <is>
          <t>Igen</t>
        </is>
      </c>
      <c r="H140" s="4" t="inlineStr">
        <is>
          <t>Csőventilátor fordulatszám-, hőmérséklet-, páratartalom- és nyomásszabályzása; környezeti vezérlő (AC Infinity, GSE, OptiClimate)</t>
        </is>
      </c>
      <c r="I140" s="4" t="inlineStr">
        <is>
          <t>Kategórialeírás (természetes említés)</t>
        </is>
      </c>
    </row>
    <row r="141">
      <c r="A141" s="4" t="inlineStr">
        <is>
          <t>Klímavezérlő: ventilátor-szabályzó, termosztát, higrosztát</t>
        </is>
      </c>
      <c r="B141" s="4" t="n">
        <v>9</v>
      </c>
      <c r="C141" s="4" t="inlineStr">
        <is>
          <t>páratartalom szabályzó</t>
        </is>
      </c>
      <c r="D141" s="4" t="n"/>
      <c r="E141" s="5" t="n">
        <v>70</v>
      </c>
      <c r="F141" s="4" t="inlineStr">
        <is>
          <t>Szoros</t>
        </is>
      </c>
      <c r="G141" s="4" t="inlineStr">
        <is>
          <t>Igen</t>
        </is>
      </c>
      <c r="H141" s="4" t="inlineStr">
        <is>
          <t>Csőventilátor fordulatszám-, hőmérséklet-, páratartalom- és nyomásszabályzása; környezeti vezérlő (AC Infinity, GSE, OptiClimate)</t>
        </is>
      </c>
      <c r="I141" s="4" t="inlineStr">
        <is>
          <t>SEO title / H1 / bevezető (másodlagos)</t>
        </is>
      </c>
    </row>
    <row r="142">
      <c r="A142" s="4" t="inlineStr">
        <is>
          <t>Klímavezérlő: ventilátor-szabályzó, termosztát, higrosztát</t>
        </is>
      </c>
      <c r="B142" s="4" t="n">
        <v>10</v>
      </c>
      <c r="C142" s="4" t="inlineStr">
        <is>
          <t>higrosztát</t>
        </is>
      </c>
      <c r="D142" s="4" t="n"/>
      <c r="E142" s="5" t="n">
        <v>70</v>
      </c>
      <c r="F142" s="4" t="inlineStr">
        <is>
          <t>Szoros</t>
        </is>
      </c>
      <c r="G142" s="4" t="inlineStr">
        <is>
          <t>Igen</t>
        </is>
      </c>
      <c r="H142" s="4" t="inlineStr">
        <is>
          <t>Csőventilátor fordulatszám-, hőmérséklet-, páratartalom- és nyomásszabályzása; környezeti vezérlő (AC Infinity, GSE, OptiClimate)</t>
        </is>
      </c>
      <c r="I142" s="4" t="inlineStr">
        <is>
          <t>SEO title / H1 / bevezető (másodlagos)</t>
        </is>
      </c>
    </row>
    <row r="143">
      <c r="A143" s="4" t="inlineStr">
        <is>
          <t>Csőventilátor, elszívó ventilátor</t>
        </is>
      </c>
      <c r="B143" s="4" t="n">
        <v>25</v>
      </c>
      <c r="C143" s="4" t="inlineStr">
        <is>
          <t>csendes elszívó ventilátor</t>
        </is>
      </c>
      <c r="D143" s="4" t="n"/>
      <c r="E143" s="5" t="n">
        <v>50</v>
      </c>
      <c r="F143" s="4" t="inlineStr">
        <is>
          <t>Szoros</t>
        </is>
      </c>
      <c r="G143" s="4" t="inlineStr">
        <is>
          <t>Igen</t>
        </is>
      </c>
      <c r="H143" s="4" t="inlineStr">
        <is>
          <t>Elszívás / befúvás a termesztőtérben – centrifugális, kevert áramlású és EC csőventilátor</t>
        </is>
      </c>
      <c r="I143" s="4" t="inlineStr">
        <is>
          <t>Kategórialeírás (természetes említés)</t>
        </is>
      </c>
    </row>
    <row r="144">
      <c r="A144" s="4" t="inlineStr">
        <is>
          <t>Csőventilátor, elszívó ventilátor</t>
        </is>
      </c>
      <c r="B144" s="4" t="n">
        <v>26</v>
      </c>
      <c r="C144" s="4" t="inlineStr">
        <is>
          <t>csőventilátor bekötése</t>
        </is>
      </c>
      <c r="D144" s="4" t="n"/>
      <c r="E144" s="5" t="n">
        <v>50</v>
      </c>
      <c r="F144" s="4" t="inlineStr">
        <is>
          <t>Szoros</t>
        </is>
      </c>
      <c r="G144" s="4" t="inlineStr">
        <is>
          <t>Igen</t>
        </is>
      </c>
      <c r="H144" s="4" t="inlineStr">
        <is>
          <t>Elszívás / befúvás a termesztőtérben – centrifugális, kevert áramlású és EC csőventilátor</t>
        </is>
      </c>
      <c r="I144" s="4" t="inlineStr">
        <is>
          <t>Leírás alsó része, GYIK vagy blog</t>
        </is>
      </c>
    </row>
    <row r="145">
      <c r="A145" s="4" t="inlineStr">
        <is>
          <t>Aktív szénszűrő, előszűrő</t>
        </is>
      </c>
      <c r="B145" s="4" t="n">
        <v>12</v>
      </c>
      <c r="C145" s="4" t="inlineStr">
        <is>
          <t>aktív szén szűrő filter</t>
        </is>
      </c>
      <c r="D145" s="4" t="n"/>
      <c r="E145" s="5" t="n">
        <v>50</v>
      </c>
      <c r="F145" s="4" t="inlineStr">
        <is>
          <t>Szoros</t>
        </is>
      </c>
      <c r="G145" s="4" t="inlineStr">
        <is>
          <t>Igen</t>
        </is>
      </c>
      <c r="H145" s="4" t="inlineStr">
        <is>
          <t>Szagszűrés a termesztőtérből elszívott levegőből – aktív szénszűrő, előszűrő, utántöltő szén</t>
        </is>
      </c>
      <c r="I145" s="4" t="inlineStr">
        <is>
          <t>Kategórialeírás (természetes említés)</t>
        </is>
      </c>
    </row>
    <row r="146">
      <c r="A146" s="9" t="inlineStr">
        <is>
          <t>Aktív szénszűrő, előszűrő</t>
        </is>
      </c>
      <c r="B146" s="9" t="n">
        <v>13</v>
      </c>
      <c r="C146" s="9" t="inlineStr">
        <is>
          <t>szénszűrős szagelszívó</t>
        </is>
      </c>
      <c r="D146" s="9" t="n"/>
      <c r="E146" s="20" t="n">
        <v>50</v>
      </c>
      <c r="F146" s="9" t="inlineStr">
        <is>
          <t>Laza</t>
        </is>
      </c>
      <c r="G146" s="9" t="inlineStr">
        <is>
          <t>Nem</t>
        </is>
      </c>
      <c r="H146" s="9" t="inlineStr">
        <is>
          <t>Szagszűrés a termesztőtérből elszívott levegőből – aktív szénszűrő, előszűrő, utántöltő szén</t>
        </is>
      </c>
      <c r="I146" s="9" t="inlineStr">
        <is>
          <t>Nem célozni külön oldallal (max. említés)</t>
        </is>
      </c>
    </row>
    <row r="147">
      <c r="A147" s="4" t="inlineStr">
        <is>
          <t>Légtechnikai cső, idom, bilincs</t>
        </is>
      </c>
      <c r="B147" s="4" t="n">
        <v>17</v>
      </c>
      <c r="C147" s="4" t="inlineStr">
        <is>
          <t>aluflex cső</t>
        </is>
      </c>
      <c r="D147" s="4" t="n"/>
      <c r="E147" s="5" t="n">
        <v>50</v>
      </c>
      <c r="F147" s="4" t="inlineStr">
        <is>
          <t>Szoros</t>
        </is>
      </c>
      <c r="G147" s="4" t="inlineStr">
        <is>
          <t>Igen</t>
        </is>
      </c>
      <c r="H147" s="4" t="inlineStr">
        <is>
          <t>Flexibilis légcsatorna (Aluflex, Sonoflex, Combiflex), idom, bővítő / szűkítő, csőtoldó, visszacsapó szelep, bilincs, ragasztószalag, ventilátor-hangtompító</t>
        </is>
      </c>
      <c r="I147" s="4" t="inlineStr">
        <is>
          <t>SEO title / H1 / bevezető (másodlagos)</t>
        </is>
      </c>
    </row>
    <row r="148">
      <c r="A148" s="4" t="inlineStr">
        <is>
          <t>Légtechnikai cső, idom, bilincs</t>
        </is>
      </c>
      <c r="B148" s="4" t="n">
        <v>18</v>
      </c>
      <c r="C148" s="4" t="inlineStr">
        <is>
          <t>sonoflex cső</t>
        </is>
      </c>
      <c r="D148" s="4" t="n"/>
      <c r="E148" s="5" t="n">
        <v>50</v>
      </c>
      <c r="F148" s="4" t="inlineStr">
        <is>
          <t>Szoros</t>
        </is>
      </c>
      <c r="G148" s="4" t="inlineStr">
        <is>
          <t>Igen</t>
        </is>
      </c>
      <c r="H148" s="4" t="inlineStr">
        <is>
          <t>Flexibilis légcsatorna (Aluflex, Sonoflex, Combiflex), idom, bővítő / szűkítő, csőtoldó, visszacsapó szelep, bilincs, ragasztószalag, ventilátor-hangtompító</t>
        </is>
      </c>
      <c r="I148" s="4" t="inlineStr">
        <is>
          <t>Gyártóoldal / szűrő / termékoldal</t>
        </is>
      </c>
    </row>
    <row r="149">
      <c r="A149" s="4" t="inlineStr">
        <is>
          <t>Légtechnikai cső, idom, bilincs</t>
        </is>
      </c>
      <c r="B149" s="4" t="n">
        <v>19</v>
      </c>
      <c r="C149" s="4" t="inlineStr">
        <is>
          <t>szellőztető cső</t>
        </is>
      </c>
      <c r="D149" s="4" t="n"/>
      <c r="E149" s="5" t="n">
        <v>50</v>
      </c>
      <c r="F149" s="4" t="inlineStr">
        <is>
          <t>Szoros</t>
        </is>
      </c>
      <c r="G149" s="4" t="inlineStr">
        <is>
          <t>Igen</t>
        </is>
      </c>
      <c r="H149" s="4" t="inlineStr">
        <is>
          <t>Flexibilis légcsatorna (Aluflex, Sonoflex, Combiflex), idom, bővítő / szűkítő, csőtoldó, visszacsapó szelep, bilincs, ragasztószalag, ventilátor-hangtompító</t>
        </is>
      </c>
      <c r="I149" s="4" t="inlineStr">
        <is>
          <t>Kategórialeírás (természetes említés)</t>
        </is>
      </c>
    </row>
    <row r="150">
      <c r="A150" s="4" t="inlineStr">
        <is>
          <t>Légtechnikai cső, idom, bilincs</t>
        </is>
      </c>
      <c r="B150" s="4" t="n">
        <v>20</v>
      </c>
      <c r="C150" s="4" t="inlineStr">
        <is>
          <t>flexibilis szellőző cső</t>
        </is>
      </c>
      <c r="D150" s="4" t="n"/>
      <c r="E150" s="5" t="n">
        <v>50</v>
      </c>
      <c r="F150" s="4" t="inlineStr">
        <is>
          <t>Szoros</t>
        </is>
      </c>
      <c r="G150" s="4" t="inlineStr">
        <is>
          <t>Igen</t>
        </is>
      </c>
      <c r="H150" s="4" t="inlineStr">
        <is>
          <t>Flexibilis légcsatorna (Aluflex, Sonoflex, Combiflex), idom, bővítő / szűkítő, csőtoldó, visszacsapó szelep, bilincs, ragasztószalag, ventilátor-hangtompító</t>
        </is>
      </c>
      <c r="I150" s="4" t="inlineStr">
        <is>
          <t>Kategórialeírás (természetes említés)</t>
        </is>
      </c>
    </row>
    <row r="151">
      <c r="A151" s="8" t="inlineStr">
        <is>
          <t>Légtechnikai cső, idom, bilincs</t>
        </is>
      </c>
      <c r="B151" s="8" t="n">
        <v>21</v>
      </c>
      <c r="C151" s="8" t="inlineStr">
        <is>
          <t>műanyag légcsatorna</t>
        </is>
      </c>
      <c r="D151" s="8" t="n"/>
      <c r="E151" s="19" t="n">
        <v>50</v>
      </c>
      <c r="F151" s="8" t="inlineStr">
        <is>
          <t>Laza</t>
        </is>
      </c>
      <c r="G151" s="8" t="inlineStr">
        <is>
          <t>Igen</t>
        </is>
      </c>
      <c r="H151" s="8" t="inlineStr">
        <is>
          <t>Flexibilis légcsatorna (Aluflex, Sonoflex, Combiflex), idom, bővítő / szűkítő, csőtoldó, visszacsapó szelep, bilincs, ragasztószalag, ventilátor-hangtompító</t>
        </is>
      </c>
      <c r="I151" s="8" t="inlineStr">
        <is>
          <t>Kategórialeírás (természetes említés)</t>
        </is>
      </c>
    </row>
    <row r="152">
      <c r="A152" s="4" t="inlineStr">
        <is>
          <t>Szagsemlegesítő, ózongenerátor</t>
        </is>
      </c>
      <c r="B152" s="4" t="n">
        <v>25</v>
      </c>
      <c r="C152" s="4" t="inlineStr">
        <is>
          <t>levegő szagtalanító</t>
        </is>
      </c>
      <c r="D152" s="4" t="n"/>
      <c r="E152" s="5" t="n">
        <v>50</v>
      </c>
      <c r="F152" s="4" t="inlineStr">
        <is>
          <t>Szoros</t>
        </is>
      </c>
      <c r="G152" s="4" t="inlineStr">
        <is>
          <t>Igen</t>
        </is>
      </c>
      <c r="H152" s="4" t="inlineStr">
        <is>
          <t>Szagkezelés szénszűrő mellett / helyett – ONA gél, tömb, spray, légcsatornába építhető ONA szűrő, ózongenerátor</t>
        </is>
      </c>
      <c r="I152" s="4" t="inlineStr">
        <is>
          <t>Kategórialeírás (természetes említés)</t>
        </is>
      </c>
    </row>
    <row r="153">
      <c r="A153" s="4" t="inlineStr">
        <is>
          <t>Keringető ventilátor</t>
        </is>
      </c>
      <c r="B153" s="4" t="n">
        <v>12</v>
      </c>
      <c r="C153" s="4" t="inlineStr">
        <is>
          <t>ipari padló ventilátor</t>
        </is>
      </c>
      <c r="D153" s="4" t="n"/>
      <c r="E153" s="5" t="n">
        <v>50</v>
      </c>
      <c r="F153" s="4" t="inlineStr">
        <is>
          <t>Szoros</t>
        </is>
      </c>
      <c r="G153" s="4" t="inlineStr">
        <is>
          <t>Igen</t>
        </is>
      </c>
      <c r="H153" s="4" t="inlineStr">
        <is>
          <t>Légmozgatás a növények között – csíptetős (Monkey Fan, Cloudray), padló-, álló- és fali ventilátor</t>
        </is>
      </c>
      <c r="I153" s="4" t="inlineStr">
        <is>
          <t>Kategórialeírás (természetes említés)</t>
        </is>
      </c>
    </row>
    <row r="154">
      <c r="A154" s="8" t="inlineStr">
        <is>
          <t>Keringető ventilátor</t>
        </is>
      </c>
      <c r="B154" s="8" t="n">
        <v>13</v>
      </c>
      <c r="C154" s="8" t="inlineStr">
        <is>
          <t>ipari fali ventilátor</t>
        </is>
      </c>
      <c r="D154" s="8" t="n"/>
      <c r="E154" s="19" t="n">
        <v>50</v>
      </c>
      <c r="F154" s="8" t="inlineStr">
        <is>
          <t>Laza</t>
        </is>
      </c>
      <c r="G154" s="8" t="inlineStr">
        <is>
          <t>Igen</t>
        </is>
      </c>
      <c r="H154" s="8" t="inlineStr">
        <is>
          <t>Légmozgatás a növények között – csíptetős (Monkey Fan, Cloudray), padló-, álló- és fali ventilátor</t>
        </is>
      </c>
      <c r="I154" s="8" t="inlineStr">
        <is>
          <t>Kategórialeírás (természetes említés)</t>
        </is>
      </c>
    </row>
    <row r="155">
      <c r="A155" s="4" t="inlineStr">
        <is>
          <t>Páramentesítő</t>
        </is>
      </c>
      <c r="B155" s="4" t="n">
        <v>14</v>
      </c>
      <c r="C155" s="4" t="inlineStr">
        <is>
          <t>nagy teljesítményű páramentesítő</t>
        </is>
      </c>
      <c r="D155" s="4" t="n"/>
      <c r="E155" s="5" t="n">
        <v>50</v>
      </c>
      <c r="F155" s="4" t="inlineStr">
        <is>
          <t>Szoros</t>
        </is>
      </c>
      <c r="G155" s="4" t="inlineStr">
        <is>
          <t>Igen</t>
        </is>
      </c>
      <c r="H155" s="4" t="inlineStr">
        <is>
          <t>Páratartalom csökkentése a termesztőtérben, szárításnál – kompresszoros / Peltier páramentesítő</t>
        </is>
      </c>
      <c r="I155" s="4" t="inlineStr">
        <is>
          <t>Kategórialeírás (természetes említés)</t>
        </is>
      </c>
    </row>
    <row r="156">
      <c r="A156" s="4" t="inlineStr">
        <is>
          <t>Párásító</t>
        </is>
      </c>
      <c r="B156" s="4" t="n">
        <v>19</v>
      </c>
      <c r="C156" s="4" t="inlineStr">
        <is>
          <t>ipari párásító</t>
        </is>
      </c>
      <c r="D156" s="4" t="n"/>
      <c r="E156" s="5" t="n">
        <v>50</v>
      </c>
      <c r="F156" s="4" t="inlineStr">
        <is>
          <t>Szoros</t>
        </is>
      </c>
      <c r="G156" s="4" t="inlineStr">
        <is>
          <t>Igen</t>
        </is>
      </c>
      <c r="H156" s="4" t="inlineStr">
        <is>
          <t>Páratartalom növelése a termesztőtérben – ultrahangos / hideg párásító, ködgenerátor, vezérlő</t>
        </is>
      </c>
      <c r="I156" s="4" t="inlineStr">
        <is>
          <t>Kategórialeírás (természetes említés)</t>
        </is>
      </c>
    </row>
    <row r="157">
      <c r="A157" s="4" t="inlineStr">
        <is>
          <t>Klímavezérlő: ventilátor-szabályzó, termosztát, higrosztát</t>
        </is>
      </c>
      <c r="B157" s="4" t="n">
        <v>11</v>
      </c>
      <c r="C157" s="4" t="inlineStr">
        <is>
          <t>ventilátor szabályzó</t>
        </is>
      </c>
      <c r="D157" s="4" t="n"/>
      <c r="E157" s="5" t="n">
        <v>50</v>
      </c>
      <c r="F157" s="4" t="inlineStr">
        <is>
          <t>Szoros</t>
        </is>
      </c>
      <c r="G157" s="4" t="inlineStr">
        <is>
          <t>Igen</t>
        </is>
      </c>
      <c r="H157" s="4" t="inlineStr">
        <is>
          <t>Csőventilátor fordulatszám-, hőmérséklet-, páratartalom- és nyomásszabályzása; környezeti vezérlő (AC Infinity, GSE, OptiClimate)</t>
        </is>
      </c>
      <c r="I157" s="4" t="inlineStr">
        <is>
          <t>SEO title / H1 / bevezető (másodlagos)</t>
        </is>
      </c>
    </row>
    <row r="158">
      <c r="A158" s="4" t="inlineStr">
        <is>
          <t>Klímavezérlő: ventilátor-szabályzó, termosztát, higrosztát</t>
        </is>
      </c>
      <c r="B158" s="4" t="n">
        <v>12</v>
      </c>
      <c r="C158" s="4" t="inlineStr">
        <is>
          <t>230v ventilátor fordulatszám szabályzó</t>
        </is>
      </c>
      <c r="D158" s="4" t="n"/>
      <c r="E158" s="5" t="n">
        <v>50</v>
      </c>
      <c r="F158" s="4" t="inlineStr">
        <is>
          <t>Szoros</t>
        </is>
      </c>
      <c r="G158" s="4" t="inlineStr">
        <is>
          <t>Igen</t>
        </is>
      </c>
      <c r="H158" s="4" t="inlineStr">
        <is>
          <t>Csőventilátor fordulatszám-, hőmérséklet-, páratartalom- és nyomásszabályzása; környezeti vezérlő (AC Infinity, GSE, OptiClimate)</t>
        </is>
      </c>
      <c r="I158" s="4" t="inlineStr">
        <is>
          <t>Kategórialeírás (természetes említés)</t>
        </is>
      </c>
    </row>
    <row r="159">
      <c r="A159" s="4" t="inlineStr">
        <is>
          <t>Hő- és páratartalom-mérő</t>
        </is>
      </c>
      <c r="B159" s="4" t="n">
        <v>7</v>
      </c>
      <c r="C159" s="4" t="inlineStr">
        <is>
          <t>hőmérő páratartalom mérő</t>
        </is>
      </c>
      <c r="D159" s="4" t="n"/>
      <c r="E159" s="5" t="n">
        <v>50</v>
      </c>
      <c r="F159" s="4" t="inlineStr">
        <is>
          <t>Szoros</t>
        </is>
      </c>
      <c r="G159" s="4" t="inlineStr">
        <is>
          <t>Igen</t>
        </is>
      </c>
      <c r="H159" s="4" t="inlineStr">
        <is>
          <t>Hőmérséklet és relatív páratartalom mérése – digitális thermo-higrométer</t>
        </is>
      </c>
      <c r="I159" s="4" t="inlineStr">
        <is>
          <t>Kategórialeírás (természetes említés)</t>
        </is>
      </c>
    </row>
    <row r="160">
      <c r="A160" s="4" t="inlineStr">
        <is>
          <t>Hő- és páratartalom-mérő</t>
        </is>
      </c>
      <c r="B160" s="4" t="n">
        <v>8</v>
      </c>
      <c r="C160" s="4" t="inlineStr">
        <is>
          <t>digitális hőmérő páratartalom mérő</t>
        </is>
      </c>
      <c r="D160" s="4" t="n"/>
      <c r="E160" s="5" t="n">
        <v>50</v>
      </c>
      <c r="F160" s="4" t="inlineStr">
        <is>
          <t>Szoros</t>
        </is>
      </c>
      <c r="G160" s="4" t="inlineStr">
        <is>
          <t>Igen</t>
        </is>
      </c>
      <c r="H160" s="4" t="inlineStr">
        <is>
          <t>Hőmérséklet és relatív páratartalom mérése – digitális thermo-higrométer</t>
        </is>
      </c>
      <c r="I160" s="4" t="inlineStr">
        <is>
          <t>Kategórialeírás (természetes említés)</t>
        </is>
      </c>
    </row>
    <row r="161">
      <c r="A161" s="4" t="inlineStr">
        <is>
          <t>CO2-pótlás, CO2-mérő</t>
        </is>
      </c>
      <c r="B161" s="4" t="n">
        <v>9</v>
      </c>
      <c r="C161" s="4" t="inlineStr">
        <is>
          <t>co2 zsák</t>
        </is>
      </c>
      <c r="D161" s="4" t="n"/>
      <c r="E161" s="5" t="n">
        <v>50</v>
      </c>
      <c r="F161" s="4" t="inlineStr">
        <is>
          <t>Szoros</t>
        </is>
      </c>
      <c r="G161" s="4" t="inlineStr">
        <is>
          <t>Igen</t>
        </is>
      </c>
      <c r="H161" s="4" t="inlineStr">
        <is>
          <t>CO2-szint emelése és mérése – CO2 zsák, tabletta, palack + reduktor, propános CO2 generátor, CO2 érzékelő / szabályzó</t>
        </is>
      </c>
      <c r="I161" s="4" t="inlineStr">
        <is>
          <t>SEO title / H1 / bevezető (másodlagos)</t>
        </is>
      </c>
    </row>
    <row r="162">
      <c r="A162" s="4" t="inlineStr">
        <is>
          <t>Csőventilátor, elszívó ventilátor</t>
        </is>
      </c>
      <c r="B162" s="4" t="n">
        <v>27</v>
      </c>
      <c r="C162" s="4" t="inlineStr">
        <is>
          <t>halk csőventilátor</t>
        </is>
      </c>
      <c r="D162" s="4" t="n"/>
      <c r="E162" s="5" t="n">
        <v>40</v>
      </c>
      <c r="F162" s="4" t="inlineStr">
        <is>
          <t>Szoros</t>
        </is>
      </c>
      <c r="G162" s="4" t="inlineStr">
        <is>
          <t>Igen</t>
        </is>
      </c>
      <c r="H162" s="4" t="inlineStr">
        <is>
          <t>Elszívás / befúvás a termesztőtérben – centrifugális, kevert áramlású és EC csőventilátor</t>
        </is>
      </c>
      <c r="I162" s="4" t="inlineStr">
        <is>
          <t>Kategórialeírás (természetes említés)</t>
        </is>
      </c>
    </row>
    <row r="163">
      <c r="A163" s="8" t="inlineStr">
        <is>
          <t>Csőventilátor, elszívó ventilátor</t>
        </is>
      </c>
      <c r="B163" s="8" t="n">
        <v>28</v>
      </c>
      <c r="C163" s="8" t="inlineStr">
        <is>
          <t>elszívó ventilátor visszacsapó szeleppel</t>
        </is>
      </c>
      <c r="D163" s="8" t="n"/>
      <c r="E163" s="19" t="n">
        <v>40</v>
      </c>
      <c r="F163" s="8" t="inlineStr">
        <is>
          <t>Laza</t>
        </is>
      </c>
      <c r="G163" s="8" t="inlineStr">
        <is>
          <t>Igen</t>
        </is>
      </c>
      <c r="H163" s="8" t="inlineStr">
        <is>
          <t>Elszívás / befúvás a termesztőtérben – centrifugális, kevert áramlású és EC csőventilátor</t>
        </is>
      </c>
      <c r="I163" s="8" t="inlineStr">
        <is>
          <t>Kategórialeírás (természetes említés)</t>
        </is>
      </c>
    </row>
    <row r="164">
      <c r="A164" s="4" t="inlineStr">
        <is>
          <t>Légtechnikai cső, idom, bilincs</t>
        </is>
      </c>
      <c r="B164" s="4" t="n">
        <v>22</v>
      </c>
      <c r="C164" s="4" t="inlineStr">
        <is>
          <t>flexibilis légcsatorna</t>
        </is>
      </c>
      <c r="D164" s="4" t="n"/>
      <c r="E164" s="5" t="n">
        <v>40</v>
      </c>
      <c r="F164" s="4" t="inlineStr">
        <is>
          <t>Szoros</t>
        </is>
      </c>
      <c r="G164" s="4" t="inlineStr">
        <is>
          <t>Igen</t>
        </is>
      </c>
      <c r="H164" s="4" t="inlineStr">
        <is>
          <t>Flexibilis légcsatorna (Aluflex, Sonoflex, Combiflex), idom, bővítő / szűkítő, csőtoldó, visszacsapó szelep, bilincs, ragasztószalag, ventilátor-hangtompító</t>
        </is>
      </c>
      <c r="I164" s="4" t="inlineStr">
        <is>
          <t>SEO title / H1 / bevezető (másodlagos)</t>
        </is>
      </c>
    </row>
    <row r="165">
      <c r="A165" s="4" t="inlineStr">
        <is>
          <t>Légtechnikai cső, idom, bilincs</t>
        </is>
      </c>
      <c r="B165" s="4" t="n">
        <v>23</v>
      </c>
      <c r="C165" s="4" t="inlineStr">
        <is>
          <t>flexibilis alumínium cső</t>
        </is>
      </c>
      <c r="D165" s="4" t="n"/>
      <c r="E165" s="5" t="n">
        <v>40</v>
      </c>
      <c r="F165" s="4" t="inlineStr">
        <is>
          <t>Szoros</t>
        </is>
      </c>
      <c r="G165" s="4" t="inlineStr">
        <is>
          <t>Igen</t>
        </is>
      </c>
      <c r="H165" s="4" t="inlineStr">
        <is>
          <t>Flexibilis légcsatorna (Aluflex, Sonoflex, Combiflex), idom, bővítő / szűkítő, csőtoldó, visszacsapó szelep, bilincs, ragasztószalag, ventilátor-hangtompító</t>
        </is>
      </c>
      <c r="I165" s="4" t="inlineStr">
        <is>
          <t>Kategórialeírás (természetes említés)</t>
        </is>
      </c>
    </row>
    <row r="166">
      <c r="A166" s="4" t="inlineStr">
        <is>
          <t>Szagsemlegesítő, ózongenerátor</t>
        </is>
      </c>
      <c r="B166" s="4" t="n">
        <v>26</v>
      </c>
      <c r="C166" s="4" t="inlineStr">
        <is>
          <t>ózonos szagtalanítás</t>
        </is>
      </c>
      <c r="D166" s="4" t="n"/>
      <c r="E166" s="5" t="n">
        <v>40</v>
      </c>
      <c r="F166" s="4" t="inlineStr">
        <is>
          <t>Szoros</t>
        </is>
      </c>
      <c r="G166" s="4" t="inlineStr">
        <is>
          <t>Igen</t>
        </is>
      </c>
      <c r="H166" s="4" t="inlineStr">
        <is>
          <t>Szagkezelés szénszűrő mellett / helyett – ONA gél, tömb, spray, légcsatornába építhető ONA szűrő, ózongenerátor</t>
        </is>
      </c>
      <c r="I166" s="4" t="inlineStr">
        <is>
          <t>Kategórialeírás (természetes említés)</t>
        </is>
      </c>
    </row>
    <row r="167">
      <c r="A167" s="4" t="inlineStr">
        <is>
          <t>Keringető ventilátor</t>
        </is>
      </c>
      <c r="B167" s="4" t="n">
        <v>14</v>
      </c>
      <c r="C167" s="4" t="inlineStr">
        <is>
          <t>oszcilláló ventilátor</t>
        </is>
      </c>
      <c r="D167" s="4" t="n"/>
      <c r="E167" s="5" t="n">
        <v>40</v>
      </c>
      <c r="F167" s="4" t="inlineStr">
        <is>
          <t>Szoros</t>
        </is>
      </c>
      <c r="G167" s="4" t="inlineStr">
        <is>
          <t>Igen</t>
        </is>
      </c>
      <c r="H167" s="4" t="inlineStr">
        <is>
          <t>Légmozgatás a növények között – csíptetős (Monkey Fan, Cloudray), padló-, álló- és fali ventilátor</t>
        </is>
      </c>
      <c r="I167" s="4" t="inlineStr">
        <is>
          <t>Kategórialeírás (természetes említés)</t>
        </is>
      </c>
    </row>
    <row r="168">
      <c r="A168" s="4" t="inlineStr">
        <is>
          <t>Hő- és páratartalom-mérő</t>
        </is>
      </c>
      <c r="B168" s="4" t="n">
        <v>9</v>
      </c>
      <c r="C168" s="4" t="inlineStr">
        <is>
          <t>digitális páramérő</t>
        </is>
      </c>
      <c r="D168" s="4" t="n"/>
      <c r="E168" s="5" t="n">
        <v>40</v>
      </c>
      <c r="F168" s="4" t="inlineStr">
        <is>
          <t>Szoros</t>
        </is>
      </c>
      <c r="G168" s="4" t="inlineStr">
        <is>
          <t>Igen</t>
        </is>
      </c>
      <c r="H168" s="4" t="inlineStr">
        <is>
          <t>Hőmérséklet és relatív páratartalom mérése – digitális thermo-higrométer</t>
        </is>
      </c>
      <c r="I168" s="4" t="inlineStr">
        <is>
          <t>Kategórialeírás (természetes említés)</t>
        </is>
      </c>
    </row>
    <row r="169">
      <c r="A169" s="4" t="inlineStr">
        <is>
          <t>CO2-pótlás, CO2-mérő</t>
        </is>
      </c>
      <c r="B169" s="4" t="n">
        <v>10</v>
      </c>
      <c r="C169" s="4" t="inlineStr">
        <is>
          <t>co2 szenzor</t>
        </is>
      </c>
      <c r="D169" s="4" t="n"/>
      <c r="E169" s="5" t="n">
        <v>40</v>
      </c>
      <c r="F169" s="4" t="inlineStr">
        <is>
          <t>Szoros</t>
        </is>
      </c>
      <c r="G169" s="4" t="inlineStr">
        <is>
          <t>Igen</t>
        </is>
      </c>
      <c r="H169" s="4" t="inlineStr">
        <is>
          <t>CO2-szint emelése és mérése – CO2 zsák, tabletta, palack + reduktor, propános CO2 generátor, CO2 érzékelő / szabályzó</t>
        </is>
      </c>
      <c r="I169" s="4" t="inlineStr">
        <is>
          <t>Kategórialeírás (természetes említés)</t>
        </is>
      </c>
    </row>
    <row r="170">
      <c r="A170" s="4" t="inlineStr">
        <is>
          <t>CO2-pótlás, CO2-mérő</t>
        </is>
      </c>
      <c r="B170" s="4" t="n">
        <v>11</v>
      </c>
      <c r="C170" s="4" t="inlineStr">
        <is>
          <t>co2 generátor</t>
        </is>
      </c>
      <c r="D170" s="4" t="n"/>
      <c r="E170" s="5" t="n">
        <v>40</v>
      </c>
      <c r="F170" s="4" t="inlineStr">
        <is>
          <t>Szoros</t>
        </is>
      </c>
      <c r="G170" s="4" t="inlineStr">
        <is>
          <t>Igen</t>
        </is>
      </c>
      <c r="H170" s="4" t="inlineStr">
        <is>
          <t>CO2-szint emelése és mérése – CO2 zsák, tabletta, palack + reduktor, propános CO2 generátor, CO2 érzékelő / szabályzó</t>
        </is>
      </c>
      <c r="I170" s="4" t="inlineStr">
        <is>
          <t>Kategórialeírás (természetes említés)</t>
        </is>
      </c>
    </row>
    <row r="171">
      <c r="A171" s="8" t="inlineStr">
        <is>
          <t>CO2-pótlás, CO2-mérő</t>
        </is>
      </c>
      <c r="B171" s="8" t="n">
        <v>12</v>
      </c>
      <c r="C171" s="8" t="inlineStr">
        <is>
          <t>co2 nyomáscsökkentő</t>
        </is>
      </c>
      <c r="D171" s="8" t="n"/>
      <c r="E171" s="19" t="n">
        <v>40</v>
      </c>
      <c r="F171" s="8" t="inlineStr">
        <is>
          <t>Laza</t>
        </is>
      </c>
      <c r="G171" s="8" t="inlineStr">
        <is>
          <t>Igen</t>
        </is>
      </c>
      <c r="H171" s="8" t="inlineStr">
        <is>
          <t>CO2-szint emelése és mérése – CO2 zsák, tabletta, palack + reduktor, propános CO2 generátor, CO2 érzékelő / szabályzó</t>
        </is>
      </c>
      <c r="I171" s="8" t="inlineStr">
        <is>
          <t>Kategórialeírás (természetes említés)</t>
        </is>
      </c>
    </row>
    <row r="172">
      <c r="A172" s="4" t="inlineStr">
        <is>
          <t>Csőventilátor, elszívó ventilátor</t>
        </is>
      </c>
      <c r="B172" s="4" t="n">
        <v>29</v>
      </c>
      <c r="C172" s="4" t="inlineStr">
        <is>
          <t>125 csőventilátor</t>
        </is>
      </c>
      <c r="D172" s="4" t="n"/>
      <c r="E172" s="5" t="n">
        <v>30</v>
      </c>
      <c r="F172" s="4" t="inlineStr">
        <is>
          <t>Szoros</t>
        </is>
      </c>
      <c r="G172" s="4" t="inlineStr">
        <is>
          <t>Igen</t>
        </is>
      </c>
      <c r="H172" s="4" t="inlineStr">
        <is>
          <t>Elszívás / befúvás a termesztőtérben – centrifugális, kevert áramlású és EC csőventilátor</t>
        </is>
      </c>
      <c r="I172" s="4" t="inlineStr">
        <is>
          <t>Kategórialeírás (természetes említés)</t>
        </is>
      </c>
    </row>
    <row r="173">
      <c r="A173" s="4" t="inlineStr">
        <is>
          <t>Csőventilátor, elszívó ventilátor</t>
        </is>
      </c>
      <c r="B173" s="4" t="n">
        <v>30</v>
      </c>
      <c r="C173" s="4" t="inlineStr">
        <is>
          <t>radiális csőventilátor</t>
        </is>
      </c>
      <c r="D173" s="4" t="n"/>
      <c r="E173" s="5" t="n">
        <v>30</v>
      </c>
      <c r="F173" s="4" t="inlineStr">
        <is>
          <t>Szoros</t>
        </is>
      </c>
      <c r="G173" s="4" t="inlineStr">
        <is>
          <t>Igen</t>
        </is>
      </c>
      <c r="H173" s="4" t="inlineStr">
        <is>
          <t>Elszívás / befúvás a termesztőtérben – centrifugális, kevert áramlású és EC csőventilátor</t>
        </is>
      </c>
      <c r="I173" s="4" t="inlineStr">
        <is>
          <t>Kategórialeírás (természetes említés)</t>
        </is>
      </c>
    </row>
    <row r="174">
      <c r="A174" s="4" t="inlineStr">
        <is>
          <t>Csőventilátor, elszívó ventilátor</t>
        </is>
      </c>
      <c r="B174" s="4" t="n">
        <v>31</v>
      </c>
      <c r="C174" s="4" t="inlineStr">
        <is>
          <t>axiális csőventilátor</t>
        </is>
      </c>
      <c r="D174" s="4" t="n"/>
      <c r="E174" s="5" t="n">
        <v>30</v>
      </c>
      <c r="F174" s="4" t="inlineStr">
        <is>
          <t>Szoros</t>
        </is>
      </c>
      <c r="G174" s="4" t="inlineStr">
        <is>
          <t>Igen</t>
        </is>
      </c>
      <c r="H174" s="4" t="inlineStr">
        <is>
          <t>Elszívás / befúvás a termesztőtérben – centrifugális, kevert áramlású és EC csőventilátor</t>
        </is>
      </c>
      <c r="I174" s="4" t="inlineStr">
        <is>
          <t>Kategórialeírás (természetes említés)</t>
        </is>
      </c>
    </row>
    <row r="175">
      <c r="A175" s="8" t="inlineStr">
        <is>
          <t>Aktív szénszűrő, előszűrő</t>
        </is>
      </c>
      <c r="B175" s="8" t="n">
        <v>14</v>
      </c>
      <c r="C175" s="8" t="inlineStr">
        <is>
          <t>aktívszenes légtisztító</t>
        </is>
      </c>
      <c r="D175" s="8" t="n"/>
      <c r="E175" s="19" t="n">
        <v>30</v>
      </c>
      <c r="F175" s="8" t="inlineStr">
        <is>
          <t>Laza</t>
        </is>
      </c>
      <c r="G175" s="8" t="inlineStr">
        <is>
          <t>Igen</t>
        </is>
      </c>
      <c r="H175" s="8" t="inlineStr">
        <is>
          <t>Szagszűrés a termesztőtérből elszívott levegőből – aktív szénszűrő, előszűrő, utántöltő szén</t>
        </is>
      </c>
      <c r="I175" s="8" t="inlineStr">
        <is>
          <t>Kategórialeírás (természetes említés)</t>
        </is>
      </c>
    </row>
    <row r="176">
      <c r="A176" s="4" t="inlineStr">
        <is>
          <t>Légtechnikai cső, idom, bilincs</t>
        </is>
      </c>
      <c r="B176" s="4" t="n">
        <v>24</v>
      </c>
      <c r="C176" s="4" t="inlineStr">
        <is>
          <t>flexibilis alumínium cső 150 mm</t>
        </is>
      </c>
      <c r="D176" s="4" t="n"/>
      <c r="E176" s="5" t="n">
        <v>30</v>
      </c>
      <c r="F176" s="4" t="inlineStr">
        <is>
          <t>Szoros</t>
        </is>
      </c>
      <c r="G176" s="4" t="inlineStr">
        <is>
          <t>Igen</t>
        </is>
      </c>
      <c r="H176" s="4" t="inlineStr">
        <is>
          <t>Flexibilis légcsatorna (Aluflex, Sonoflex, Combiflex), idom, bővítő / szűkítő, csőtoldó, visszacsapó szelep, bilincs, ragasztószalag, ventilátor-hangtompító</t>
        </is>
      </c>
      <c r="I176" s="4" t="inlineStr">
        <is>
          <t>Kategórialeírás (természetes említés)</t>
        </is>
      </c>
    </row>
    <row r="177">
      <c r="A177" s="4" t="inlineStr">
        <is>
          <t>Légtechnikai cső, idom, bilincs</t>
        </is>
      </c>
      <c r="B177" s="4" t="n">
        <v>25</v>
      </c>
      <c r="C177" s="4" t="inlineStr">
        <is>
          <t>aluminium flexibilis cső</t>
        </is>
      </c>
      <c r="D177" s="4" t="n"/>
      <c r="E177" s="5" t="n">
        <v>30</v>
      </c>
      <c r="F177" s="4" t="inlineStr">
        <is>
          <t>Szoros</t>
        </is>
      </c>
      <c r="G177" s="4" t="inlineStr">
        <is>
          <t>Igen</t>
        </is>
      </c>
      <c r="H177" s="4" t="inlineStr">
        <is>
          <t>Flexibilis légcsatorna (Aluflex, Sonoflex, Combiflex), idom, bővítő / szűkítő, csőtoldó, visszacsapó szelep, bilincs, ragasztószalag, ventilátor-hangtompító</t>
        </is>
      </c>
      <c r="I177" s="4" t="inlineStr">
        <is>
          <t>Kategórialeírás (természetes említés)</t>
        </is>
      </c>
    </row>
    <row r="178">
      <c r="A178" s="4" t="inlineStr">
        <is>
          <t>Légtechnikai cső, idom, bilincs</t>
        </is>
      </c>
      <c r="B178" s="4" t="n">
        <v>26</v>
      </c>
      <c r="C178" s="4" t="inlineStr">
        <is>
          <t>szigetelt szellőző cső</t>
        </is>
      </c>
      <c r="D178" s="4" t="n"/>
      <c r="E178" s="5" t="n">
        <v>30</v>
      </c>
      <c r="F178" s="4" t="inlineStr">
        <is>
          <t>Szoros</t>
        </is>
      </c>
      <c r="G178" s="4" t="inlineStr">
        <is>
          <t>Igen</t>
        </is>
      </c>
      <c r="H178" s="4" t="inlineStr">
        <is>
          <t>Flexibilis légcsatorna (Aluflex, Sonoflex, Combiflex), idom, bővítő / szűkítő, csőtoldó, visszacsapó szelep, bilincs, ragasztószalag, ventilátor-hangtompító</t>
        </is>
      </c>
      <c r="I178" s="4" t="inlineStr">
        <is>
          <t>Kategórialeírás (természetes említés)</t>
        </is>
      </c>
    </row>
    <row r="179">
      <c r="A179" s="4" t="inlineStr">
        <is>
          <t>Szagsemlegesítő, ózongenerátor</t>
        </is>
      </c>
      <c r="B179" s="4" t="n">
        <v>27</v>
      </c>
      <c r="C179" s="4" t="inlineStr">
        <is>
          <t>mini ózongenerátor</t>
        </is>
      </c>
      <c r="D179" s="4" t="n"/>
      <c r="E179" s="5" t="n">
        <v>30</v>
      </c>
      <c r="F179" s="4" t="inlineStr">
        <is>
          <t>Szoros</t>
        </is>
      </c>
      <c r="G179" s="4" t="inlineStr">
        <is>
          <t>Igen</t>
        </is>
      </c>
      <c r="H179" s="4" t="inlineStr">
        <is>
          <t>Szagkezelés szénszűrő mellett / helyett – ONA gél, tömb, spray, légcsatornába építhető ONA szűrő, ózongenerátor</t>
        </is>
      </c>
      <c r="I179" s="4" t="inlineStr">
        <is>
          <t>Kategórialeírás (természetes említés)</t>
        </is>
      </c>
    </row>
    <row r="180">
      <c r="A180" s="4" t="inlineStr">
        <is>
          <t>Szagsemlegesítő, ózongenerátor</t>
        </is>
      </c>
      <c r="B180" s="4" t="n">
        <v>28</v>
      </c>
      <c r="C180" s="4" t="inlineStr">
        <is>
          <t>hordozható ózongenerátor</t>
        </is>
      </c>
      <c r="D180" s="4" t="n"/>
      <c r="E180" s="5" t="n">
        <v>30</v>
      </c>
      <c r="F180" s="4" t="inlineStr">
        <is>
          <t>Szoros</t>
        </is>
      </c>
      <c r="G180" s="4" t="inlineStr">
        <is>
          <t>Igen</t>
        </is>
      </c>
      <c r="H180" s="4" t="inlineStr">
        <is>
          <t>Szagkezelés szénszűrő mellett / helyett – ONA gél, tömb, spray, légcsatornába építhető ONA szűrő, ózongenerátor</t>
        </is>
      </c>
      <c r="I180" s="4" t="inlineStr">
        <is>
          <t>Kategórialeírás (természetes említés)</t>
        </is>
      </c>
    </row>
    <row r="181">
      <c r="A181" s="8" t="inlineStr">
        <is>
          <t>Klímavezérlő: ventilátor-szabályzó, termosztát, higrosztát</t>
        </is>
      </c>
      <c r="B181" s="8" t="n">
        <v>13</v>
      </c>
      <c r="C181" s="8" t="inlineStr">
        <is>
          <t>digitális hőmérséklet szabályozó</t>
        </is>
      </c>
      <c r="D181" s="8" t="n"/>
      <c r="E181" s="19" t="n">
        <v>30</v>
      </c>
      <c r="F181" s="8" t="inlineStr">
        <is>
          <t>Laza</t>
        </is>
      </c>
      <c r="G181" s="8" t="inlineStr">
        <is>
          <t>Igen</t>
        </is>
      </c>
      <c r="H181" s="8" t="inlineStr">
        <is>
          <t>Csőventilátor fordulatszám-, hőmérséklet-, páratartalom- és nyomásszabályzása; környezeti vezérlő (AC Infinity, GSE, OptiClimate)</t>
        </is>
      </c>
      <c r="I181" s="8" t="inlineStr">
        <is>
          <t>Kategórialeírás (természetes említés)</t>
        </is>
      </c>
    </row>
    <row r="182">
      <c r="A182" s="4" t="inlineStr">
        <is>
          <t>CO2-pótlás, CO2-mérő</t>
        </is>
      </c>
      <c r="B182" s="4" t="n">
        <v>13</v>
      </c>
      <c r="C182" s="4" t="inlineStr">
        <is>
          <t>co2 mérő műszer</t>
        </is>
      </c>
      <c r="D182" s="4" t="n"/>
      <c r="E182" s="5" t="n">
        <v>30</v>
      </c>
      <c r="F182" s="4" t="inlineStr">
        <is>
          <t>Szoros</t>
        </is>
      </c>
      <c r="G182" s="4" t="inlineStr">
        <is>
          <t>Igen</t>
        </is>
      </c>
      <c r="H182" s="4" t="inlineStr">
        <is>
          <t>CO2-szint emelése és mérése – CO2 zsák, tabletta, palack + reduktor, propános CO2 generátor, CO2 érzékelő / szabályzó</t>
        </is>
      </c>
      <c r="I182" s="4" t="inlineStr">
        <is>
          <t>Kategórialeírás (természetes említés)</t>
        </is>
      </c>
    </row>
    <row r="183">
      <c r="A183" s="4" t="inlineStr">
        <is>
          <t>Csőventilátor, elszívó ventilátor</t>
        </is>
      </c>
      <c r="B183" s="4" t="n">
        <v>32</v>
      </c>
      <c r="C183" s="4" t="inlineStr">
        <is>
          <t>elszívó ventilátor 125</t>
        </is>
      </c>
      <c r="D183" s="4" t="n"/>
      <c r="E183" s="5" t="n">
        <v>20</v>
      </c>
      <c r="F183" s="4" t="inlineStr">
        <is>
          <t>Szoros</t>
        </is>
      </c>
      <c r="G183" s="4" t="inlineStr">
        <is>
          <t>Igen</t>
        </is>
      </c>
      <c r="H183" s="4" t="inlineStr">
        <is>
          <t>Elszívás / befúvás a termesztőtérben – centrifugális, kevert áramlású és EC csőventilátor</t>
        </is>
      </c>
      <c r="I183" s="4" t="inlineStr">
        <is>
          <t>Kategórialeírás (természetes említés)</t>
        </is>
      </c>
    </row>
    <row r="184">
      <c r="A184" s="4" t="inlineStr">
        <is>
          <t>Csőventilátor, elszívó ventilátor</t>
        </is>
      </c>
      <c r="B184" s="4" t="n">
        <v>33</v>
      </c>
      <c r="C184" s="4" t="inlineStr">
        <is>
          <t>csendes csőventilátor</t>
        </is>
      </c>
      <c r="D184" s="4" t="n"/>
      <c r="E184" s="5" t="n">
        <v>20</v>
      </c>
      <c r="F184" s="4" t="inlineStr">
        <is>
          <t>Szoros</t>
        </is>
      </c>
      <c r="G184" s="4" t="inlineStr">
        <is>
          <t>Igen</t>
        </is>
      </c>
      <c r="H184" s="4" t="inlineStr">
        <is>
          <t>Elszívás / befúvás a termesztőtérben – centrifugális, kevert áramlású és EC csőventilátor</t>
        </is>
      </c>
      <c r="I184" s="4" t="inlineStr">
        <is>
          <t>Kategórialeírás (természetes említés)</t>
        </is>
      </c>
    </row>
    <row r="185">
      <c r="A185" s="4" t="inlineStr">
        <is>
          <t>Csőventilátor, elszívó ventilátor</t>
        </is>
      </c>
      <c r="B185" s="4" t="n">
        <v>34</v>
      </c>
      <c r="C185" s="4" t="inlineStr">
        <is>
          <t>mini csőventilátor</t>
        </is>
      </c>
      <c r="D185" s="4" t="n"/>
      <c r="E185" s="5" t="n">
        <v>20</v>
      </c>
      <c r="F185" s="4" t="inlineStr">
        <is>
          <t>Szoros</t>
        </is>
      </c>
      <c r="G185" s="4" t="inlineStr">
        <is>
          <t>Igen</t>
        </is>
      </c>
      <c r="H185" s="4" t="inlineStr">
        <is>
          <t>Elszívás / befúvás a termesztőtérben – centrifugális, kevert áramlású és EC csőventilátor</t>
        </is>
      </c>
      <c r="I185" s="4" t="inlineStr">
        <is>
          <t>Kategórialeírás (természetes említés)</t>
        </is>
      </c>
    </row>
    <row r="186">
      <c r="A186" s="4" t="inlineStr">
        <is>
          <t>Csőventilátor, elszívó ventilátor</t>
        </is>
      </c>
      <c r="B186" s="4" t="n">
        <v>35</v>
      </c>
      <c r="C186" s="4" t="inlineStr">
        <is>
          <t>légcsatorna ventilátor</t>
        </is>
      </c>
      <c r="D186" s="4" t="n"/>
      <c r="E186" s="5" t="n">
        <v>20</v>
      </c>
      <c r="F186" s="4" t="inlineStr">
        <is>
          <t>Szoros</t>
        </is>
      </c>
      <c r="G186" s="4" t="inlineStr">
        <is>
          <t>Igen</t>
        </is>
      </c>
      <c r="H186" s="4" t="inlineStr">
        <is>
          <t>Elszívás / befúvás a termesztőtérben – centrifugális, kevert áramlású és EC csőventilátor</t>
        </is>
      </c>
      <c r="I186" s="4" t="inlineStr">
        <is>
          <t>Kategórialeírás (természetes említés)</t>
        </is>
      </c>
    </row>
    <row r="187">
      <c r="A187" s="4" t="inlineStr">
        <is>
          <t>Csőventilátor, elszívó ventilátor</t>
        </is>
      </c>
      <c r="B187" s="4" t="n">
        <v>36</v>
      </c>
      <c r="C187" s="4" t="inlineStr">
        <is>
          <t>ec ventilátor</t>
        </is>
      </c>
      <c r="D187" s="4" t="n"/>
      <c r="E187" s="5" t="n">
        <v>20</v>
      </c>
      <c r="F187" s="4" t="inlineStr">
        <is>
          <t>Szoros</t>
        </is>
      </c>
      <c r="G187" s="4" t="inlineStr">
        <is>
          <t>Igen</t>
        </is>
      </c>
      <c r="H187" s="4" t="inlineStr">
        <is>
          <t>Elszívás / befúvás a termesztőtérben – centrifugális, kevert áramlású és EC csőventilátor</t>
        </is>
      </c>
      <c r="I187" s="4" t="inlineStr">
        <is>
          <t>Kategórialeírás (természetes említés)</t>
        </is>
      </c>
    </row>
    <row r="188">
      <c r="A188" s="4" t="inlineStr">
        <is>
          <t>Légtechnikai cső, idom, bilincs</t>
        </is>
      </c>
      <c r="B188" s="4" t="n">
        <v>27</v>
      </c>
      <c r="C188" s="4" t="inlineStr">
        <is>
          <t>alu flexibilis cső</t>
        </is>
      </c>
      <c r="D188" s="4" t="n"/>
      <c r="E188" s="5" t="n">
        <v>20</v>
      </c>
      <c r="F188" s="4" t="inlineStr">
        <is>
          <t>Szoros</t>
        </is>
      </c>
      <c r="G188" s="4" t="inlineStr">
        <is>
          <t>Igen</t>
        </is>
      </c>
      <c r="H188" s="4" t="inlineStr">
        <is>
          <t>Flexibilis légcsatorna (Aluflex, Sonoflex, Combiflex), idom, bővítő / szűkítő, csőtoldó, visszacsapó szelep, bilincs, ragasztószalag, ventilátor-hangtompító</t>
        </is>
      </c>
      <c r="I188" s="4" t="inlineStr">
        <is>
          <t>Kategórialeírás (természetes említés)</t>
        </is>
      </c>
    </row>
    <row r="189">
      <c r="A189" s="4" t="inlineStr">
        <is>
          <t>Légtechnikai cső, idom, bilincs</t>
        </is>
      </c>
      <c r="B189" s="4" t="n">
        <v>28</v>
      </c>
      <c r="C189" s="4" t="inlineStr">
        <is>
          <t>hőszigetelt légcsatorna</t>
        </is>
      </c>
      <c r="D189" s="4" t="n"/>
      <c r="E189" s="5" t="n">
        <v>20</v>
      </c>
      <c r="F189" s="4" t="inlineStr">
        <is>
          <t>Szoros</t>
        </is>
      </c>
      <c r="G189" s="4" t="inlineStr">
        <is>
          <t>Igen</t>
        </is>
      </c>
      <c r="H189" s="4" t="inlineStr">
        <is>
          <t>Flexibilis légcsatorna (Aluflex, Sonoflex, Combiflex), idom, bővítő / szűkítő, csőtoldó, visszacsapó szelep, bilincs, ragasztószalag, ventilátor-hangtompító</t>
        </is>
      </c>
      <c r="I189" s="4" t="inlineStr">
        <is>
          <t>Kategórialeírás (természetes említés)</t>
        </is>
      </c>
    </row>
    <row r="190">
      <c r="A190" s="4" t="inlineStr">
        <is>
          <t>Légtechnikai cső, idom, bilincs</t>
        </is>
      </c>
      <c r="B190" s="4" t="n">
        <v>29</v>
      </c>
      <c r="C190" s="4" t="inlineStr">
        <is>
          <t>szigetelt légcsatorna</t>
        </is>
      </c>
      <c r="D190" s="4" t="n"/>
      <c r="E190" s="5" t="n">
        <v>20</v>
      </c>
      <c r="F190" s="4" t="inlineStr">
        <is>
          <t>Szoros</t>
        </is>
      </c>
      <c r="G190" s="4" t="inlineStr">
        <is>
          <t>Igen</t>
        </is>
      </c>
      <c r="H190" s="4" t="inlineStr">
        <is>
          <t>Flexibilis légcsatorna (Aluflex, Sonoflex, Combiflex), idom, bővítő / szűkítő, csőtoldó, visszacsapó szelep, bilincs, ragasztószalag, ventilátor-hangtompító</t>
        </is>
      </c>
      <c r="I190" s="4" t="inlineStr">
        <is>
          <t>Kategórialeírás (természetes említés)</t>
        </is>
      </c>
    </row>
    <row r="191">
      <c r="A191" s="4" t="inlineStr">
        <is>
          <t>Légtechnikai cső, idom, bilincs</t>
        </is>
      </c>
      <c r="B191" s="4" t="n">
        <v>30</v>
      </c>
      <c r="C191" s="4" t="inlineStr">
        <is>
          <t>szellőzőcső idomok</t>
        </is>
      </c>
      <c r="D191" s="4" t="n"/>
      <c r="E191" s="5" t="n">
        <v>20</v>
      </c>
      <c r="F191" s="4" t="inlineStr">
        <is>
          <t>Szoros</t>
        </is>
      </c>
      <c r="G191" s="4" t="inlineStr">
        <is>
          <t>Igen</t>
        </is>
      </c>
      <c r="H191" s="4" t="inlineStr">
        <is>
          <t>Flexibilis légcsatorna (Aluflex, Sonoflex, Combiflex), idom, bővítő / szűkítő, csőtoldó, visszacsapó szelep, bilincs, ragasztószalag, ventilátor-hangtompító</t>
        </is>
      </c>
      <c r="I191" s="4" t="inlineStr">
        <is>
          <t>Kategórialeírás (természetes említés)</t>
        </is>
      </c>
    </row>
    <row r="192">
      <c r="A192" s="4" t="inlineStr">
        <is>
          <t>Légtechnikai cső, idom, bilincs</t>
        </is>
      </c>
      <c r="B192" s="4" t="n">
        <v>31</v>
      </c>
      <c r="C192" s="4" t="inlineStr">
        <is>
          <t>légtechnikai bilincs</t>
        </is>
      </c>
      <c r="D192" s="4" t="n"/>
      <c r="E192" s="5" t="n">
        <v>20</v>
      </c>
      <c r="F192" s="4" t="inlineStr">
        <is>
          <t>Szoros</t>
        </is>
      </c>
      <c r="G192" s="4" t="inlineStr">
        <is>
          <t>Igen</t>
        </is>
      </c>
      <c r="H192" s="4" t="inlineStr">
        <is>
          <t>Flexibilis légcsatorna (Aluflex, Sonoflex, Combiflex), idom, bővítő / szűkítő, csőtoldó, visszacsapó szelep, bilincs, ragasztószalag, ventilátor-hangtompító</t>
        </is>
      </c>
      <c r="I192" s="4" t="inlineStr">
        <is>
          <t>Kategórialeírás (természetes említés)</t>
        </is>
      </c>
    </row>
    <row r="193">
      <c r="A193" s="4" t="inlineStr">
        <is>
          <t>Szagsemlegesítő, ózongenerátor</t>
        </is>
      </c>
      <c r="B193" s="4" t="n">
        <v>29</v>
      </c>
      <c r="C193" s="4" t="inlineStr">
        <is>
          <t>szagelnyelő</t>
        </is>
      </c>
      <c r="D193" s="4" t="n"/>
      <c r="E193" s="5" t="n">
        <v>20</v>
      </c>
      <c r="F193" s="4" t="inlineStr">
        <is>
          <t>Szoros</t>
        </is>
      </c>
      <c r="G193" s="4" t="inlineStr">
        <is>
          <t>Igen</t>
        </is>
      </c>
      <c r="H193" s="4" t="inlineStr">
        <is>
          <t>Szagkezelés szénszűrő mellett / helyett – ONA gél, tömb, spray, légcsatornába építhető ONA szűrő, ózongenerátor</t>
        </is>
      </c>
      <c r="I193" s="4" t="inlineStr">
        <is>
          <t>Kategórialeírás (természetes említés)</t>
        </is>
      </c>
    </row>
    <row r="194">
      <c r="A194" s="4" t="inlineStr">
        <is>
          <t>Szagsemlegesítő, ózongenerátor</t>
        </is>
      </c>
      <c r="B194" s="4" t="n">
        <v>30</v>
      </c>
      <c r="C194" s="4" t="inlineStr">
        <is>
          <t>ona gel</t>
        </is>
      </c>
      <c r="D194" s="4" t="n"/>
      <c r="E194" s="5" t="n">
        <v>20</v>
      </c>
      <c r="F194" s="4" t="inlineStr">
        <is>
          <t>Szoros</t>
        </is>
      </c>
      <c r="G194" s="4" t="inlineStr">
        <is>
          <t>Igen</t>
        </is>
      </c>
      <c r="H194" s="4" t="inlineStr">
        <is>
          <t>Szagkezelés szénszűrő mellett / helyett – ONA gél, tömb, spray, légcsatornába építhető ONA szűrő, ózongenerátor</t>
        </is>
      </c>
      <c r="I194" s="4" t="inlineStr">
        <is>
          <t>Gyártóoldal / szűrő / termékoldal</t>
        </is>
      </c>
    </row>
    <row r="195">
      <c r="A195" s="4" t="inlineStr">
        <is>
          <t>Klímavezérlő: ventilátor-szabályzó, termosztát, higrosztát</t>
        </is>
      </c>
      <c r="B195" s="4" t="n">
        <v>14</v>
      </c>
      <c r="C195" s="4" t="inlineStr">
        <is>
          <t>ventilátor fordulatszám szabályzó 230v</t>
        </is>
      </c>
      <c r="D195" s="4" t="n"/>
      <c r="E195" s="5" t="n">
        <v>20</v>
      </c>
      <c r="F195" s="4" t="inlineStr">
        <is>
          <t>Szoros</t>
        </is>
      </c>
      <c r="G195" s="4" t="inlineStr">
        <is>
          <t>Igen</t>
        </is>
      </c>
      <c r="H195" s="4" t="inlineStr">
        <is>
          <t>Csőventilátor fordulatszám-, hőmérséklet-, páratartalom- és nyomásszabályzása; környezeti vezérlő (AC Infinity, GSE, OptiClimate)</t>
        </is>
      </c>
      <c r="I195" s="4" t="inlineStr">
        <is>
          <t>Kategórialeírás (természetes említés)</t>
        </is>
      </c>
    </row>
    <row r="196">
      <c r="A196" s="4" t="inlineStr">
        <is>
          <t>Klímavezérlő: ventilátor-szabályzó, termosztát, higrosztát</t>
        </is>
      </c>
      <c r="B196" s="4" t="n">
        <v>15</v>
      </c>
      <c r="C196" s="4" t="inlineStr">
        <is>
          <t>hőmérséklet és páratartalom szabályzó</t>
        </is>
      </c>
      <c r="D196" s="4" t="n"/>
      <c r="E196" s="5" t="n">
        <v>20</v>
      </c>
      <c r="F196" s="4" t="inlineStr">
        <is>
          <t>Szoros</t>
        </is>
      </c>
      <c r="G196" s="4" t="inlineStr">
        <is>
          <t>Igen</t>
        </is>
      </c>
      <c r="H196" s="4" t="inlineStr">
        <is>
          <t>Csőventilátor fordulatszám-, hőmérséklet-, páratartalom- és nyomásszabályzása; környezeti vezérlő (AC Infinity, GSE, OptiClimate)</t>
        </is>
      </c>
      <c r="I196" s="4" t="inlineStr">
        <is>
          <t>Kategórialeírás (természetes említés)</t>
        </is>
      </c>
    </row>
    <row r="197">
      <c r="A197" s="8" t="inlineStr">
        <is>
          <t>Klímavezérlő: ventilátor-szabályzó, termosztát, higrosztát</t>
        </is>
      </c>
      <c r="B197" s="8" t="n">
        <v>16</v>
      </c>
      <c r="C197" s="8" t="inlineStr">
        <is>
          <t>hőmérséklet szabályzó</t>
        </is>
      </c>
      <c r="D197" s="8" t="n"/>
      <c r="E197" s="19" t="n">
        <v>20</v>
      </c>
      <c r="F197" s="8" t="inlineStr">
        <is>
          <t>Laza</t>
        </is>
      </c>
      <c r="G197" s="8" t="inlineStr">
        <is>
          <t>Igen</t>
        </is>
      </c>
      <c r="H197" s="8" t="inlineStr">
        <is>
          <t>Csőventilátor fordulatszám-, hőmérséklet-, páratartalom- és nyomásszabályzása; környezeti vezérlő (AC Infinity, GSE, OptiClimate)</t>
        </is>
      </c>
      <c r="I197" s="8" t="inlineStr">
        <is>
          <t>Kategórialeírás (természetes említés)</t>
        </is>
      </c>
    </row>
    <row r="198">
      <c r="A198" s="4" t="inlineStr">
        <is>
          <t>CO2-pótlás, CO2-mérő</t>
        </is>
      </c>
      <c r="B198" s="4" t="n">
        <v>14</v>
      </c>
      <c r="C198" s="4" t="inlineStr">
        <is>
          <t>co2 tabletta</t>
        </is>
      </c>
      <c r="D198" s="4" t="n"/>
      <c r="E198" s="5" t="n">
        <v>20</v>
      </c>
      <c r="F198" s="4" t="inlineStr">
        <is>
          <t>Szoros</t>
        </is>
      </c>
      <c r="G198" s="4" t="inlineStr">
        <is>
          <t>Igen</t>
        </is>
      </c>
      <c r="H198" s="4" t="inlineStr">
        <is>
          <t>CO2-szint emelése és mérése – CO2 zsák, tabletta, palack + reduktor, propános CO2 generátor, CO2 érzékelő / szabályzó</t>
        </is>
      </c>
      <c r="I198" s="4" t="inlineStr">
        <is>
          <t>Kategórialeírás (természetes említés)</t>
        </is>
      </c>
    </row>
  </sheetData>
  <autoFilter ref="A1:I1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Csőventilátor, elszívó ventilátor  –  fő kulcsszó: „csőventilátor”</t>
        </is>
      </c>
    </row>
    <row r="2">
      <c r="A2" s="2" t="inlineStr">
        <is>
          <t>Felhasználási terület: Elszívás / befúvás a termesztőtérben – centrifugális, kevert áramlású és EC csőventilátor</t>
        </is>
      </c>
    </row>
    <row r="3">
      <c r="A3" s="2" t="inlineStr">
        <is>
          <t>Megjegyzés: Az „elszívó ventilátor” (1900) nagyobb, de vegyes (fürdőszoba, konyha, ipar); a „csőventilátor” (1000) pontosabb – ez legyen a fő kulcsszó, az „elszívó ventilátor” a név második fele / H2. Átmérő szerinti szűrő érdemes (csőventilátor 100: 320, 150: 140, 125: 90). Fürdőszobai / WC / páraérzékelős elszívó nem a mi termékünk.</t>
        </is>
      </c>
    </row>
    <row r="4">
      <c r="A4" s="2" t="inlineStr">
        <is>
          <t>Felvett releváns kulcsszavak: 36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csőventilátor</t>
        </is>
      </c>
      <c r="C7" s="5" t="n">
        <v>1000</v>
      </c>
      <c r="D7" s="4" t="inlineStr">
        <is>
          <t>Szoros</t>
        </is>
      </c>
      <c r="E7" s="4" t="inlineStr">
        <is>
          <t>Igen</t>
        </is>
      </c>
      <c r="F7" s="4" t="inlineStr">
        <is>
          <t>Elszívás / befúvás a termesztőtérben – centrifugális, kevert áramlású és EC csőventilátor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elszívó ventilátor</t>
        </is>
      </c>
      <c r="C8" s="5" t="n">
        <v>1900</v>
      </c>
      <c r="D8" s="4" t="inlineStr">
        <is>
          <t>Szoros</t>
        </is>
      </c>
      <c r="E8" s="4" t="inlineStr">
        <is>
          <t>Igen</t>
        </is>
      </c>
      <c r="F8" s="4" t="inlineStr">
        <is>
          <t>Elszívás / befúvás a termesztőtérben – centrifugális, kevert áramlású és EC csőventilátor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elszívóventilátor</t>
        </is>
      </c>
      <c r="C9" s="5" t="n">
        <v>1900</v>
      </c>
      <c r="D9" s="4" t="inlineStr">
        <is>
          <t>Szoros</t>
        </is>
      </c>
      <c r="E9" s="4" t="inlineStr">
        <is>
          <t>Igen</t>
        </is>
      </c>
      <c r="F9" s="4" t="inlineStr">
        <is>
          <t>Elszívás / befúvás a termesztőtérben – centrifugális, kevert áramlású és EC csőventilátor</t>
        </is>
      </c>
      <c r="G9" s="4" t="inlineStr">
        <is>
          <t>Kategórialeírás (természetes említés)</t>
        </is>
      </c>
    </row>
    <row r="10">
      <c r="A10" s="9" t="n">
        <v>4</v>
      </c>
      <c r="B10" s="9" t="inlineStr">
        <is>
          <t>páraérzékelős csőventilátor</t>
        </is>
      </c>
      <c r="C10" s="20" t="n">
        <v>480</v>
      </c>
      <c r="D10" s="9" t="inlineStr">
        <is>
          <t>Laza</t>
        </is>
      </c>
      <c r="E10" s="9" t="inlineStr">
        <is>
          <t>Nem</t>
        </is>
      </c>
      <c r="F10" s="9" t="inlineStr">
        <is>
          <t>Elszívás / befúvás a termesztőtérben – centrifugális, kevert áramlású és EC csőventilátor</t>
        </is>
      </c>
      <c r="G10" s="9" t="inlineStr">
        <is>
          <t>Nem célozni külön oldallal (max. említés)</t>
        </is>
      </c>
    </row>
    <row r="11">
      <c r="A11" s="9" t="n">
        <v>5</v>
      </c>
      <c r="B11" s="9" t="inlineStr">
        <is>
          <t>fürdőszobai elszívó</t>
        </is>
      </c>
      <c r="C11" s="20" t="n">
        <v>390</v>
      </c>
      <c r="D11" s="9" t="inlineStr">
        <is>
          <t>Laza</t>
        </is>
      </c>
      <c r="E11" s="9" t="inlineStr">
        <is>
          <t>Nem</t>
        </is>
      </c>
      <c r="F11" s="9" t="inlineStr">
        <is>
          <t>Elszívás / befúvás a termesztőtérben – centrifugális, kevert áramlású és EC csőventilátor</t>
        </is>
      </c>
      <c r="G11" s="9" t="inlineStr">
        <is>
          <t>Nem célozni külön oldallal (max. említés)</t>
        </is>
      </c>
    </row>
    <row r="12">
      <c r="A12" s="4" t="n">
        <v>6</v>
      </c>
      <c r="B12" s="4" t="inlineStr">
        <is>
          <t>csőventilátor 100</t>
        </is>
      </c>
      <c r="C12" s="5" t="n">
        <v>320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Elszívás / befúvás a termesztőtérben – centrifugális, kevert áramlású és EC csőventilátor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vents ventilátor</t>
        </is>
      </c>
      <c r="C13" s="5" t="n">
        <v>260</v>
      </c>
      <c r="D13" s="4" t="inlineStr">
        <is>
          <t>Szoros</t>
        </is>
      </c>
      <c r="E13" s="4" t="inlineStr">
        <is>
          <t>Igen</t>
        </is>
      </c>
      <c r="F13" s="4" t="inlineStr">
        <is>
          <t>Elszívás / befúvás a termesztőtérben – centrifugális, kevert áramlású és EC csőventilátor</t>
        </is>
      </c>
      <c r="G13" s="4" t="inlineStr">
        <is>
          <t>Gyártóoldal / szűrő / termékoldal</t>
        </is>
      </c>
    </row>
    <row r="14">
      <c r="A14" s="9" t="n">
        <v>8</v>
      </c>
      <c r="B14" s="9" t="inlineStr">
        <is>
          <t>helios csőventilátor</t>
        </is>
      </c>
      <c r="C14" s="20" t="n">
        <v>260</v>
      </c>
      <c r="D14" s="9" t="inlineStr">
        <is>
          <t>Laza</t>
        </is>
      </c>
      <c r="E14" s="9" t="inlineStr">
        <is>
          <t>Nem</t>
        </is>
      </c>
      <c r="F14" s="9" t="inlineStr">
        <is>
          <t>Elszívás / befúvás a termesztőtérben – centrifugális, kevert áramlású és EC csőventilátor</t>
        </is>
      </c>
      <c r="G14" s="9" t="inlineStr">
        <is>
          <t>Nem célozni külön oldallal (max. említés)</t>
        </is>
      </c>
    </row>
    <row r="15">
      <c r="A15" s="9" t="n">
        <v>9</v>
      </c>
      <c r="B15" s="9" t="inlineStr">
        <is>
          <t>wc elszívó ventilátor</t>
        </is>
      </c>
      <c r="C15" s="20" t="n">
        <v>260</v>
      </c>
      <c r="D15" s="9" t="inlineStr">
        <is>
          <t>Laza</t>
        </is>
      </c>
      <c r="E15" s="9" t="inlineStr">
        <is>
          <t>Nem</t>
        </is>
      </c>
      <c r="F15" s="9" t="inlineStr">
        <is>
          <t>Elszívás / befúvás a termesztőtérben – centrifugális, kevert áramlású és EC csőventilátor</t>
        </is>
      </c>
      <c r="G15" s="9" t="inlineStr">
        <is>
          <t>Nem célozni külön oldallal (max. említés)</t>
        </is>
      </c>
    </row>
    <row r="16">
      <c r="A16" s="10" t="n">
        <v>10</v>
      </c>
      <c r="B16" s="10" t="inlineStr">
        <is>
          <t>csőventilátor praktiker</t>
        </is>
      </c>
      <c r="C16" s="21" t="n">
        <v>260</v>
      </c>
      <c r="D16" s="10" t="inlineStr">
        <is>
          <t>Nincs (áruházi / nem vásárlási szándék)</t>
        </is>
      </c>
      <c r="E16" s="10" t="inlineStr">
        <is>
          <t>Nem – kizárandó</t>
        </is>
      </c>
      <c r="F16" s="10" t="inlineStr">
        <is>
          <t>Elszívás / befúvás a termesztőtérben – centrifugális, kevert áramlású és EC csőventilátor</t>
        </is>
      </c>
      <c r="G16" s="10" t="inlineStr">
        <is>
          <t>Nem használni (áruházi/nem vásárlási szándék)</t>
        </is>
      </c>
    </row>
    <row r="17">
      <c r="A17" s="4" t="n">
        <v>11</v>
      </c>
      <c r="B17" s="4" t="inlineStr">
        <is>
          <t>csőventilátorok</t>
        </is>
      </c>
      <c r="C17" s="5" t="n">
        <v>210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Elszívás / befúvás a termesztőtérben – centrifugális, kevert áramlású és EC csőventilátor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csoventillator</t>
        </is>
      </c>
      <c r="C18" s="5" t="n">
        <v>210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Elszívás / befúvás a termesztőtérben – centrifugális, kevert áramlású és EC csőventilátor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ipari elszívó ventilátor</t>
        </is>
      </c>
      <c r="C19" s="19" t="n">
        <v>210</v>
      </c>
      <c r="D19" s="8" t="inlineStr">
        <is>
          <t>Laza</t>
        </is>
      </c>
      <c r="E19" s="8" t="inlineStr">
        <is>
          <t>Igen</t>
        </is>
      </c>
      <c r="F19" s="8" t="inlineStr">
        <is>
          <t>Elszívás / befúvás a termesztőtérben – centrifugális, kevert áramlású és EC csőventilátor</t>
        </is>
      </c>
      <c r="G19" s="8" t="inlineStr">
        <is>
          <t>Kategórialeírás (természetes említés)</t>
        </is>
      </c>
    </row>
    <row r="20">
      <c r="A20" s="9" t="n">
        <v>14</v>
      </c>
      <c r="B20" s="9" t="inlineStr">
        <is>
          <t>konyhai elszívó ventilátor</t>
        </is>
      </c>
      <c r="C20" s="20" t="n">
        <v>210</v>
      </c>
      <c r="D20" s="9" t="inlineStr">
        <is>
          <t>Laza</t>
        </is>
      </c>
      <c r="E20" s="9" t="inlineStr">
        <is>
          <t>Nem</t>
        </is>
      </c>
      <c r="F20" s="9" t="inlineStr">
        <is>
          <t>Elszívás / befúvás a termesztőtérben – centrifugális, kevert áramlású és EC csőventilátor</t>
        </is>
      </c>
      <c r="G20" s="9" t="inlineStr">
        <is>
          <t>Nem célozni külön oldallal (max. említés)</t>
        </is>
      </c>
    </row>
    <row r="21">
      <c r="A21" s="4" t="n">
        <v>15</v>
      </c>
      <c r="B21" s="4" t="inlineStr">
        <is>
          <t>csőventilátor 150</t>
        </is>
      </c>
      <c r="C21" s="5" t="n">
        <v>140</v>
      </c>
      <c r="D21" s="4" t="inlineStr">
        <is>
          <t>Szoros</t>
        </is>
      </c>
      <c r="E21" s="4" t="inlineStr">
        <is>
          <t>Igen</t>
        </is>
      </c>
      <c r="F21" s="4" t="inlineStr">
        <is>
          <t>Elszívás / befúvás a termesztőtérben – centrifugális, kevert áramlású és EC csőventilátor</t>
        </is>
      </c>
      <c r="G21" s="4" t="inlineStr">
        <is>
          <t>SEO title / H1 / bevezető (másodlagos)</t>
        </is>
      </c>
    </row>
    <row r="22">
      <c r="A22" s="4" t="n">
        <v>16</v>
      </c>
      <c r="B22" s="4" t="inlineStr">
        <is>
          <t>fém csőventilátor</t>
        </is>
      </c>
      <c r="C22" s="5" t="n">
        <v>140</v>
      </c>
      <c r="D22" s="4" t="inlineStr">
        <is>
          <t>Szoros</t>
        </is>
      </c>
      <c r="E22" s="4" t="inlineStr">
        <is>
          <t>Igen</t>
        </is>
      </c>
      <c r="F22" s="4" t="inlineStr">
        <is>
          <t>Elszívás / befúvás a termesztőtérben – centrifugális, kevert áramlású és EC csőventilátor</t>
        </is>
      </c>
      <c r="G22" s="4" t="inlineStr">
        <is>
          <t>Kategórialeírás (természetes említés)</t>
        </is>
      </c>
    </row>
    <row r="23">
      <c r="A23" s="8" t="n">
        <v>17</v>
      </c>
      <c r="B23" s="8" t="inlineStr">
        <is>
          <t>szagelszívó ventilátor</t>
        </is>
      </c>
      <c r="C23" s="19" t="n">
        <v>110</v>
      </c>
      <c r="D23" s="8" t="inlineStr">
        <is>
          <t>Laza</t>
        </is>
      </c>
      <c r="E23" s="8" t="inlineStr">
        <is>
          <t>Igen</t>
        </is>
      </c>
      <c r="F23" s="8" t="inlineStr">
        <is>
          <t>Elszívás / befúvás a termesztőtérben – centrifugális, kevert áramlású és EC csőventilátor</t>
        </is>
      </c>
      <c r="G23" s="8" t="inlineStr">
        <is>
          <t>Kategórialeírás (természetes említés)</t>
        </is>
      </c>
    </row>
    <row r="24">
      <c r="A24" s="4" t="n">
        <v>18</v>
      </c>
      <c r="B24" s="4" t="inlineStr">
        <is>
          <t>cső elszívó ventilátor</t>
        </is>
      </c>
      <c r="C24" s="5" t="n">
        <v>90</v>
      </c>
      <c r="D24" s="4" t="inlineStr">
        <is>
          <t>Szoros</t>
        </is>
      </c>
      <c r="E24" s="4" t="inlineStr">
        <is>
          <t>Igen</t>
        </is>
      </c>
      <c r="F24" s="4" t="inlineStr">
        <is>
          <t>Elszívás / befúvás a termesztőtérben – centrifugális, kevert áramlású és EC csőventilátor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csőventilátor 125</t>
        </is>
      </c>
      <c r="C25" s="5" t="n">
        <v>90</v>
      </c>
      <c r="D25" s="4" t="inlineStr">
        <is>
          <t>Szoros</t>
        </is>
      </c>
      <c r="E25" s="4" t="inlineStr">
        <is>
          <t>Igen</t>
        </is>
      </c>
      <c r="F25" s="4" t="inlineStr">
        <is>
          <t>Elszívás / befúvás a termesztőtérben – centrifugális, kevert áramlású és EC csőventilátor</t>
        </is>
      </c>
      <c r="G25" s="4" t="inlineStr">
        <is>
          <t>SEO title / H1 / bevezető (másodlagos)</t>
        </is>
      </c>
    </row>
    <row r="26">
      <c r="A26" s="4" t="n">
        <v>20</v>
      </c>
      <c r="B26" s="4" t="inlineStr">
        <is>
          <t>centrifugális ventilátor</t>
        </is>
      </c>
      <c r="C26" s="5" t="n">
        <v>90</v>
      </c>
      <c r="D26" s="4" t="inlineStr">
        <is>
          <t>Szoros</t>
        </is>
      </c>
      <c r="E26" s="4" t="inlineStr">
        <is>
          <t>Igen</t>
        </is>
      </c>
      <c r="F26" s="4" t="inlineStr">
        <is>
          <t>Elszívás / befúvás a termesztőtérben – centrifugális, kevert áramlású és EC csőventilátor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szabályozható csőventilátor</t>
        </is>
      </c>
      <c r="C27" s="5" t="n">
        <v>90</v>
      </c>
      <c r="D27" s="4" t="inlineStr">
        <is>
          <t>Szoros</t>
        </is>
      </c>
      <c r="E27" s="4" t="inlineStr">
        <is>
          <t>Igen</t>
        </is>
      </c>
      <c r="F27" s="4" t="inlineStr">
        <is>
          <t>Elszívás / befúvás a termesztőtérben – centrifugális, kevert áramlású és EC csőventilátor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csö ventilátor</t>
        </is>
      </c>
      <c r="C28" s="5" t="n">
        <v>70</v>
      </c>
      <c r="D28" s="4" t="inlineStr">
        <is>
          <t>Szoros</t>
        </is>
      </c>
      <c r="E28" s="4" t="inlineStr">
        <is>
          <t>Igen</t>
        </is>
      </c>
      <c r="F28" s="4" t="inlineStr">
        <is>
          <t>Elszívás / befúvás a termesztőtérben – centrifugális, kevert áramlású és EC csőventilátor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csőventilátor 200</t>
        </is>
      </c>
      <c r="C29" s="5" t="n">
        <v>70</v>
      </c>
      <c r="D29" s="4" t="inlineStr">
        <is>
          <t>Szoros</t>
        </is>
      </c>
      <c r="E29" s="4" t="inlineStr">
        <is>
          <t>Igen</t>
        </is>
      </c>
      <c r="F29" s="4" t="inlineStr">
        <is>
          <t>Elszívás / befúvás a termesztőtérben – centrifugális, kevert áramlású és EC csőventilátor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ipari csőventilátor</t>
        </is>
      </c>
      <c r="C30" s="5" t="n">
        <v>70</v>
      </c>
      <c r="D30" s="4" t="inlineStr">
        <is>
          <t>Szoros</t>
        </is>
      </c>
      <c r="E30" s="4" t="inlineStr">
        <is>
          <t>Igen</t>
        </is>
      </c>
      <c r="F30" s="4" t="inlineStr">
        <is>
          <t>Elszívás / befúvás a termesztőtérben – centrifugális, kevert áramlású és EC csőventilátor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csendes elszívó ventilátor</t>
        </is>
      </c>
      <c r="C31" s="5" t="n">
        <v>50</v>
      </c>
      <c r="D31" s="4" t="inlineStr">
        <is>
          <t>Szoros</t>
        </is>
      </c>
      <c r="E31" s="4" t="inlineStr">
        <is>
          <t>Igen</t>
        </is>
      </c>
      <c r="F31" s="4" t="inlineStr">
        <is>
          <t>Elszívás / befúvás a termesztőtérben – centrifugális, kevert áramlású és EC csőventilátor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csőventilátor bekötése</t>
        </is>
      </c>
      <c r="C32" s="5" t="n">
        <v>50</v>
      </c>
      <c r="D32" s="4" t="inlineStr">
        <is>
          <t>Szoros</t>
        </is>
      </c>
      <c r="E32" s="4" t="inlineStr">
        <is>
          <t>Igen</t>
        </is>
      </c>
      <c r="F32" s="4" t="inlineStr">
        <is>
          <t>Elszívás / befúvás a termesztőtérben – centrifugális, kevert áramlású és EC csőventilátor</t>
        </is>
      </c>
      <c r="G32" s="4" t="inlineStr">
        <is>
          <t>Leírás alsó része, GYIK vagy blog</t>
        </is>
      </c>
    </row>
    <row r="33">
      <c r="A33" s="4" t="n">
        <v>27</v>
      </c>
      <c r="B33" s="4" t="inlineStr">
        <is>
          <t>halk csőventilátor</t>
        </is>
      </c>
      <c r="C33" s="5" t="n">
        <v>40</v>
      </c>
      <c r="D33" s="4" t="inlineStr">
        <is>
          <t>Szoros</t>
        </is>
      </c>
      <c r="E33" s="4" t="inlineStr">
        <is>
          <t>Igen</t>
        </is>
      </c>
      <c r="F33" s="4" t="inlineStr">
        <is>
          <t>Elszívás / befúvás a termesztőtérben – centrifugális, kevert áramlású és EC csőventilátor</t>
        </is>
      </c>
      <c r="G33" s="4" t="inlineStr">
        <is>
          <t>Kategórialeírás (természetes említés)</t>
        </is>
      </c>
    </row>
    <row r="34">
      <c r="A34" s="8" t="n">
        <v>28</v>
      </c>
      <c r="B34" s="8" t="inlineStr">
        <is>
          <t>elszívó ventilátor visszacsapó szeleppel</t>
        </is>
      </c>
      <c r="C34" s="19" t="n">
        <v>40</v>
      </c>
      <c r="D34" s="8" t="inlineStr">
        <is>
          <t>Laza</t>
        </is>
      </c>
      <c r="E34" s="8" t="inlineStr">
        <is>
          <t>Igen</t>
        </is>
      </c>
      <c r="F34" s="8" t="inlineStr">
        <is>
          <t>Elszívás / befúvás a termesztőtérben – centrifugális, kevert áramlású és EC csőventilátor</t>
        </is>
      </c>
      <c r="G34" s="8" t="inlineStr">
        <is>
          <t>Kategórialeírás (természetes említés)</t>
        </is>
      </c>
    </row>
    <row r="35">
      <c r="A35" s="4" t="n">
        <v>29</v>
      </c>
      <c r="B35" s="4" t="inlineStr">
        <is>
          <t>125 csőventilátor</t>
        </is>
      </c>
      <c r="C35" s="5" t="n">
        <v>30</v>
      </c>
      <c r="D35" s="4" t="inlineStr">
        <is>
          <t>Szoros</t>
        </is>
      </c>
      <c r="E35" s="4" t="inlineStr">
        <is>
          <t>Igen</t>
        </is>
      </c>
      <c r="F35" s="4" t="inlineStr">
        <is>
          <t>Elszívás / befúvás a termesztőtérben – centrifugális, kevert áramlású és EC csőventilátor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radiális csőventilátor</t>
        </is>
      </c>
      <c r="C36" s="5" t="n">
        <v>30</v>
      </c>
      <c r="D36" s="4" t="inlineStr">
        <is>
          <t>Szoros</t>
        </is>
      </c>
      <c r="E36" s="4" t="inlineStr">
        <is>
          <t>Igen</t>
        </is>
      </c>
      <c r="F36" s="4" t="inlineStr">
        <is>
          <t>Elszívás / befúvás a termesztőtérben – centrifugális, kevert áramlású és EC csőventilátor</t>
        </is>
      </c>
      <c r="G36" s="4" t="inlineStr">
        <is>
          <t>Kategórialeírás (természetes említés)</t>
        </is>
      </c>
    </row>
    <row r="37">
      <c r="A37" s="4" t="n">
        <v>31</v>
      </c>
      <c r="B37" s="4" t="inlineStr">
        <is>
          <t>axiális csőventilátor</t>
        </is>
      </c>
      <c r="C37" s="5" t="n">
        <v>30</v>
      </c>
      <c r="D37" s="4" t="inlineStr">
        <is>
          <t>Szoros</t>
        </is>
      </c>
      <c r="E37" s="4" t="inlineStr">
        <is>
          <t>Igen</t>
        </is>
      </c>
      <c r="F37" s="4" t="inlineStr">
        <is>
          <t>Elszívás / befúvás a termesztőtérben – centrifugális, kevert áramlású és EC csőventilátor</t>
        </is>
      </c>
      <c r="G37" s="4" t="inlineStr">
        <is>
          <t>Kategórialeírás (természetes említés)</t>
        </is>
      </c>
    </row>
    <row r="38">
      <c r="A38" s="4" t="n">
        <v>32</v>
      </c>
      <c r="B38" s="4" t="inlineStr">
        <is>
          <t>elszívó ventilátor 125</t>
        </is>
      </c>
      <c r="C38" s="5" t="n">
        <v>20</v>
      </c>
      <c r="D38" s="4" t="inlineStr">
        <is>
          <t>Szoros</t>
        </is>
      </c>
      <c r="E38" s="4" t="inlineStr">
        <is>
          <t>Igen</t>
        </is>
      </c>
      <c r="F38" s="4" t="inlineStr">
        <is>
          <t>Elszívás / befúvás a termesztőtérben – centrifugális, kevert áramlású és EC csőventilátor</t>
        </is>
      </c>
      <c r="G38" s="4" t="inlineStr">
        <is>
          <t>Kategórialeírás (természetes említés)</t>
        </is>
      </c>
    </row>
    <row r="39">
      <c r="A39" s="4" t="n">
        <v>33</v>
      </c>
      <c r="B39" s="4" t="inlineStr">
        <is>
          <t>csendes csőventilátor</t>
        </is>
      </c>
      <c r="C39" s="5" t="n">
        <v>20</v>
      </c>
      <c r="D39" s="4" t="inlineStr">
        <is>
          <t>Szoros</t>
        </is>
      </c>
      <c r="E39" s="4" t="inlineStr">
        <is>
          <t>Igen</t>
        </is>
      </c>
      <c r="F39" s="4" t="inlineStr">
        <is>
          <t>Elszívás / befúvás a termesztőtérben – centrifugális, kevert áramlású és EC csőventilátor</t>
        </is>
      </c>
      <c r="G39" s="4" t="inlineStr">
        <is>
          <t>Kategórialeírás (természetes említés)</t>
        </is>
      </c>
    </row>
    <row r="40">
      <c r="A40" s="4" t="n">
        <v>34</v>
      </c>
      <c r="B40" s="4" t="inlineStr">
        <is>
          <t>mini csőventilátor</t>
        </is>
      </c>
      <c r="C40" s="5" t="n">
        <v>20</v>
      </c>
      <c r="D40" s="4" t="inlineStr">
        <is>
          <t>Szoros</t>
        </is>
      </c>
      <c r="E40" s="4" t="inlineStr">
        <is>
          <t>Igen</t>
        </is>
      </c>
      <c r="F40" s="4" t="inlineStr">
        <is>
          <t>Elszívás / befúvás a termesztőtérben – centrifugális, kevert áramlású és EC csőventilátor</t>
        </is>
      </c>
      <c r="G40" s="4" t="inlineStr">
        <is>
          <t>Kategórialeírás (természetes említés)</t>
        </is>
      </c>
    </row>
    <row r="41">
      <c r="A41" s="4" t="n">
        <v>35</v>
      </c>
      <c r="B41" s="4" t="inlineStr">
        <is>
          <t>légcsatorna ventilátor</t>
        </is>
      </c>
      <c r="C41" s="5" t="n">
        <v>20</v>
      </c>
      <c r="D41" s="4" t="inlineStr">
        <is>
          <t>Szoros</t>
        </is>
      </c>
      <c r="E41" s="4" t="inlineStr">
        <is>
          <t>Igen</t>
        </is>
      </c>
      <c r="F41" s="4" t="inlineStr">
        <is>
          <t>Elszívás / befúvás a termesztőtérben – centrifugális, kevert áramlású és EC csőventilátor</t>
        </is>
      </c>
      <c r="G41" s="4" t="inlineStr">
        <is>
          <t>Kategórialeírás (természetes említés)</t>
        </is>
      </c>
    </row>
    <row r="42">
      <c r="A42" s="4" t="n">
        <v>36</v>
      </c>
      <c r="B42" s="4" t="inlineStr">
        <is>
          <t>ec ventilátor</t>
        </is>
      </c>
      <c r="C42" s="5" t="n">
        <v>20</v>
      </c>
      <c r="D42" s="4" t="inlineStr">
        <is>
          <t>Szoros</t>
        </is>
      </c>
      <c r="E42" s="4" t="inlineStr">
        <is>
          <t>Igen</t>
        </is>
      </c>
      <c r="F42" s="4" t="inlineStr">
        <is>
          <t>Elszívás / befúvás a termesztőtérben – centrifugális, kevert áramlású és EC csőventilátor</t>
        </is>
      </c>
      <c r="G42" s="4" t="inlineStr">
        <is>
          <t>Kategórialeírás (természetes említés)</t>
        </is>
      </c>
    </row>
    <row r="43">
      <c r="B43" s="7" t="inlineStr">
        <is>
          <t>Összesen (érdemes rá oldal = Igen):</t>
        </is>
      </c>
      <c r="C43" s="22">
        <f>SUMIFS(C7:C42,E7:E42,"Igen")</f>
        <v/>
      </c>
    </row>
    <row r="45">
      <c r="A45" s="7" t="inlineStr">
        <is>
          <t>Termékek a jelenlegi kínálatból: 84 db (elsődleges + másodlagos hozzárendelés; egy termék több kategóriában is szerepelhet)</t>
        </is>
      </c>
    </row>
    <row r="46">
      <c r="A46" s="3" t="inlineStr">
        <is>
          <t>#</t>
        </is>
      </c>
      <c r="B46" s="3" t="inlineStr">
        <is>
          <t>Termékkód</t>
        </is>
      </c>
      <c r="C46" s="3" t="inlineStr">
        <is>
          <t>Terméknév</t>
        </is>
      </c>
      <c r="D46" s="3" t="inlineStr">
        <is>
          <t>Hozzárendelés</t>
        </is>
      </c>
      <c r="E46" s="3" t="inlineStr">
        <is>
          <t>Illeszkedés</t>
        </is>
      </c>
      <c r="F46" s="3" t="inlineStr">
        <is>
          <t>Megjegyzés</t>
        </is>
      </c>
    </row>
    <row r="47">
      <c r="A47" s="4" t="n">
        <v>1</v>
      </c>
      <c r="B47" s="4" t="inlineStr">
        <is>
          <t>GRO0346</t>
        </is>
      </c>
      <c r="C47" s="4" t="inlineStr">
        <is>
          <t>Can-Fan RK 250 centrifugális csőventilátor 250 mm, 830 m3/h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Csőventilátor (Can-Fan, Vents, Prima Klima, AC Infinity, Garden Highpro, DF16)</t>
        </is>
      </c>
    </row>
    <row r="48">
      <c r="A48" s="4" t="n">
        <v>2</v>
      </c>
      <c r="B48" s="4" t="inlineStr">
        <is>
          <t>GRO0776</t>
        </is>
      </c>
      <c r="C48" s="4" t="inlineStr">
        <is>
          <t>Vents 100 VKO csőbe szerelhető axiális ventilátor 100 mm, 105 m3/h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Csőventilátor (Can-Fan, Vents, Prima Klima, AC Infinity, Garden Highpro, DF16)</t>
        </is>
      </c>
    </row>
    <row r="49">
      <c r="A49" s="4" t="n">
        <v>3</v>
      </c>
      <c r="B49" s="4" t="inlineStr">
        <is>
          <t>GRO0777</t>
        </is>
      </c>
      <c r="C49" s="4" t="inlineStr">
        <is>
          <t>Vents 125 VKO csőbe szerelhető axiális ventilátor 125 mm, 185 m3/h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Csőventilátor (Can-Fan, Vents, Prima Klima, AC Infinity, Garden Highpro, DF16)</t>
        </is>
      </c>
    </row>
    <row r="50">
      <c r="A50" s="4" t="n">
        <v>4</v>
      </c>
      <c r="B50" s="4" t="inlineStr">
        <is>
          <t>GRO0778</t>
        </is>
      </c>
      <c r="C50" s="4" t="inlineStr">
        <is>
          <t>Vents 150 VKO csőbe szerelhető axiális ventilátor 150 mm, 298 m3/h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Csőventilátor (Can-Fan, Vents, Prima Klima, AC Infinity, Garden Highpro, DF16)</t>
        </is>
      </c>
    </row>
    <row r="51">
      <c r="A51" s="4" t="n">
        <v>5</v>
      </c>
      <c r="B51" s="4" t="inlineStr">
        <is>
          <t>GRO0779</t>
        </is>
      </c>
      <c r="C51" s="4" t="inlineStr">
        <is>
          <t>Vents VK csatornaventilátor VK100 250m3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Csőventilátor (Can-Fan, Vents, Prima Klima, AC Infinity, Garden Highpro, DF16)</t>
        </is>
      </c>
    </row>
    <row r="52">
      <c r="A52" s="4" t="n">
        <v>6</v>
      </c>
      <c r="B52" s="4" t="inlineStr">
        <is>
          <t>GRO0780</t>
        </is>
      </c>
      <c r="C52" s="4" t="inlineStr">
        <is>
          <t>Vents VK 125 centrifugális csatornaventilátor 125 mm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Csőventilátor (Can-Fan, Vents, Prima Klima, AC Infinity, Garden Highpro, DF16)</t>
        </is>
      </c>
    </row>
    <row r="53">
      <c r="A53" s="4" t="n">
        <v>7</v>
      </c>
      <c r="B53" s="4" t="inlineStr">
        <is>
          <t>GRO0781</t>
        </is>
      </c>
      <c r="C53" s="4" t="inlineStr">
        <is>
          <t>Vents VK 200 centrifugális csatornaventilátor 200 mm, 780 m3/h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Csőventilátor (Can-Fan, Vents, Prima Klima, AC Infinity, Garden Highpro, DF16)</t>
        </is>
      </c>
    </row>
    <row r="54">
      <c r="A54" s="4" t="n">
        <v>8</v>
      </c>
      <c r="B54" s="4" t="inlineStr">
        <is>
          <t>GRO1108</t>
        </is>
      </c>
      <c r="C54" s="4" t="inlineStr">
        <is>
          <t>Vents VK 150 centrifugális csatornaventilátor 150 mm, 460 m3/h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Csőventilátor (Can-Fan, Vents, Prima Klima, AC Infinity, Garden Highpro, DF16)</t>
        </is>
      </c>
    </row>
    <row r="55">
      <c r="A55" s="4" t="n">
        <v>9</v>
      </c>
      <c r="B55" s="4" t="inlineStr">
        <is>
          <t>GRO1267</t>
        </is>
      </c>
      <c r="C55" s="4" t="inlineStr">
        <is>
          <t>Can-Fan RK 160L centrifugális csőventilátor 160 mm, 780 m3/h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Csőventilátor (Can-Fan, Vents, Prima Klima, AC Infinity, Garden Highpro, DF16)</t>
        </is>
      </c>
    </row>
    <row r="56">
      <c r="A56" s="4" t="n">
        <v>10</v>
      </c>
      <c r="B56" s="4" t="inlineStr">
        <is>
          <t>GRO1268</t>
        </is>
      </c>
      <c r="C56" s="4" t="inlineStr">
        <is>
          <t>Can-Fan RK 200 centrifugális csőventilátor 200 mm, 820 m3/h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Csőventilátor (Can-Fan, Vents, Prima Klima, AC Infinity, Garden Highpro, DF16)</t>
        </is>
      </c>
    </row>
    <row r="57">
      <c r="A57" s="4" t="n">
        <v>11</v>
      </c>
      <c r="B57" s="4" t="inlineStr">
        <is>
          <t>GRO1597</t>
        </is>
      </c>
      <c r="C57" s="4" t="inlineStr">
        <is>
          <t>Can-Fan RK 100 centrifugális csőventilátor 100 mm, 240 m3/h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Csőventilátor (Can-Fan, Vents, Prima Klima, AC Infinity, Garden Highpro, DF16)</t>
        </is>
      </c>
    </row>
    <row r="58">
      <c r="A58" s="4" t="n">
        <v>12</v>
      </c>
      <c r="B58" s="4" t="inlineStr">
        <is>
          <t>GRO1656</t>
        </is>
      </c>
      <c r="C58" s="4" t="inlineStr">
        <is>
          <t>Can-Fan RK 125LS csőventilátor 125 mm, 370 m3/h, beépített 4 fokozatú kapcsolóval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Csőventilátor (Can-Fan, Vents, Prima Klima, AC Infinity, Garden Highpro, DF16)</t>
        </is>
      </c>
    </row>
    <row r="59">
      <c r="A59" s="4" t="n">
        <v>13</v>
      </c>
      <c r="B59" s="4" t="inlineStr">
        <is>
          <t>GRO1659</t>
        </is>
      </c>
      <c r="C59" s="4" t="inlineStr">
        <is>
          <t>Can-Fan Max-Fan 280 diagonális csőventilátor 280 mm, 2360 m3/h, 270 W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Csőventilátor (Can-Fan, Vents, Prima Klima, AC Infinity, Garden Highpro, DF16)</t>
        </is>
      </c>
    </row>
    <row r="60">
      <c r="A60" s="4" t="n">
        <v>14</v>
      </c>
      <c r="B60" s="4" t="inlineStr">
        <is>
          <t>GRO1660</t>
        </is>
      </c>
      <c r="C60" s="4" t="inlineStr">
        <is>
          <t>Can-Fan ISO-Max hangszigetelt csőventilátor 200 mm, 870 m3/h, 3 fokozatú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Csőventilátor (Can-Fan, Vents, Prima Klima, AC Infinity, Garden Highpro, DF16)</t>
        </is>
      </c>
    </row>
    <row r="61">
      <c r="A61" s="4" t="n">
        <v>15</v>
      </c>
      <c r="B61" s="4" t="inlineStr">
        <is>
          <t>GRO1661</t>
        </is>
      </c>
      <c r="C61" s="4" t="inlineStr">
        <is>
          <t>Can-Fan ISO-Max hangszigetelt csőventilátor 250 mm, 1480 m3/h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Csőventilátor (Can-Fan, Vents, Prima Klima, AC Infinity, Garden Highpro, DF16)</t>
        </is>
      </c>
    </row>
    <row r="62">
      <c r="A62" s="4" t="n">
        <v>16</v>
      </c>
      <c r="B62" s="4" t="inlineStr">
        <is>
          <t>GRO1865</t>
        </is>
      </c>
      <c r="C62" s="4" t="inlineStr">
        <is>
          <t>Vents VK 250 centrifugális csatornaventilátor 250 mm, 1080 m3/h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Csőventilátor (Can-Fan, Vents, Prima Klima, AC Infinity, Garden Highpro, DF16)</t>
        </is>
      </c>
    </row>
    <row r="63">
      <c r="A63" s="4" t="n">
        <v>17</v>
      </c>
      <c r="B63" s="4" t="inlineStr">
        <is>
          <t>GRO2045</t>
        </is>
      </c>
      <c r="C63" s="4" t="inlineStr">
        <is>
          <t>Vents TT 100 kevert áramlású csőventilátor 100 mm, két sebesség, 145/187 m3/h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Csőventilátor (Can-Fan, Vents, Prima Klima, AC Infinity, Garden Highpro, DF16)</t>
        </is>
      </c>
    </row>
    <row r="64">
      <c r="A64" s="4" t="n">
        <v>18</v>
      </c>
      <c r="B64" s="4" t="inlineStr">
        <is>
          <t>GRO2047</t>
        </is>
      </c>
      <c r="C64" s="4" t="inlineStr">
        <is>
          <t>Vents TT 100 Un csőventilátor termosztáttal, sebességszabályzóval és kábellel, 100 mm, 187 m3/h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Csőventilátor beépített / mellékelt szabályzóval (TC, Un, Cloudline)</t>
        </is>
      </c>
    </row>
    <row r="65">
      <c r="A65" s="4" t="n">
        <v>19</v>
      </c>
      <c r="B65" s="4" t="inlineStr">
        <is>
          <t>GRO2048</t>
        </is>
      </c>
      <c r="C65" s="4" t="inlineStr">
        <is>
          <t>Vents TT 125 kevert áramlású csőventilátor 125 mm, két sebesség, 220/280 m3/h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Csőventilátor (Can-Fan, Vents, Prima Klima, AC Infinity, Garden Highpro, DF16)</t>
        </is>
      </c>
    </row>
    <row r="66">
      <c r="A66" s="4" t="n">
        <v>20</v>
      </c>
      <c r="B66" s="4" t="inlineStr">
        <is>
          <t>GRO2051</t>
        </is>
      </c>
      <c r="C66" s="4" t="inlineStr">
        <is>
          <t>Vents TT 125 Un csőventilátor termosztáttal, sebességszabályzóval és kábellel, 125 mm, 280 m3/h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Csőventilátor beépített / mellékelt szabályzóval (TC, Un, Cloudline)</t>
        </is>
      </c>
    </row>
    <row r="67">
      <c r="A67" s="4" t="n">
        <v>21</v>
      </c>
      <c r="B67" s="4" t="inlineStr">
        <is>
          <t>GRO2054</t>
        </is>
      </c>
      <c r="C67" s="4" t="inlineStr">
        <is>
          <t>Vents TT 150 Un csőventilátor termosztáttal, sebességszabályzóval és kábellel, 150 mm, 520 m3/h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Csőventilátor beépített / mellékelt szabályzóval (TC, Un, Cloudline)</t>
        </is>
      </c>
    </row>
    <row r="68">
      <c r="A68" s="4" t="n">
        <v>22</v>
      </c>
      <c r="B68" s="4" t="inlineStr">
        <is>
          <t>GRO2055</t>
        </is>
      </c>
      <c r="C68" s="4" t="inlineStr">
        <is>
          <t>Vents TT PRO 125 kevert áramlású csőventilátor 125 mm, kétsebességes motorral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Csőventilátor (Can-Fan, Vents, Prima Klima, AC Infinity, Garden Highpro, DF16)</t>
        </is>
      </c>
    </row>
    <row r="69">
      <c r="A69" s="4" t="n">
        <v>23</v>
      </c>
      <c r="B69" s="4" t="inlineStr">
        <is>
          <t>GRO2131</t>
        </is>
      </c>
      <c r="C69" s="4" t="inlineStr">
        <is>
          <t>Vents VK 200 Un csatornaventilátor termosztáttal, sebességszabályzóval és kábellel, 200 mm, 780 m3/h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Csőventilátor beépített / mellékelt szabályzóval (TC, Un, Cloudline)</t>
        </is>
      </c>
    </row>
    <row r="70">
      <c r="A70" s="4" t="n">
        <v>24</v>
      </c>
      <c r="B70" s="4" t="inlineStr">
        <is>
          <t>GRO2136</t>
        </is>
      </c>
      <c r="C70" s="4" t="inlineStr">
        <is>
          <t>Vents TT PRO 150 kevert áramlású csőventilátor 150 mm, kétsebességes motorral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Csőventilátor (Can-Fan, Vents, Prima Klima, AC Infinity, Garden Highpro, DF16)</t>
        </is>
      </c>
    </row>
    <row r="71">
      <c r="A71" s="4" t="n">
        <v>25</v>
      </c>
      <c r="B71" s="4" t="inlineStr">
        <is>
          <t>GRO2137</t>
        </is>
      </c>
      <c r="C71" s="4" t="inlineStr">
        <is>
          <t>Vents TT Silent-M 200 hangszigetelt csőventilátor 200 mm, két sebesség, 1020 m3/h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Csőventilátor (Can-Fan, Vents, Prima Klima, AC Infinity, Garden Highpro, DF16)</t>
        </is>
      </c>
    </row>
    <row r="72">
      <c r="A72" s="4" t="n">
        <v>26</v>
      </c>
      <c r="B72" s="4" t="inlineStr">
        <is>
          <t>GRO2183</t>
        </is>
      </c>
      <c r="C72" s="4" t="inlineStr">
        <is>
          <t>Vents VK 150 Un csatornaventilátor termosztáttal, sebességszabályzóval és kábellel, 150 mm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Csőventilátor beépített / mellékelt szabályzóval (TC, Un, Cloudline)</t>
        </is>
      </c>
    </row>
    <row r="73">
      <c r="A73" s="4" t="n">
        <v>27</v>
      </c>
      <c r="B73" s="4" t="inlineStr">
        <is>
          <t>GRO2314</t>
        </is>
      </c>
      <c r="C73" s="4" t="inlineStr">
        <is>
          <t>Vents TT Silent-M 150 hangszigetelt csőventilátor 150 mm, két sebesség, 555 m3/h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Csőventilátor (Can-Fan, Vents, Prima Klima, AC Infinity, Garden Highpro, DF16)</t>
        </is>
      </c>
    </row>
    <row r="74">
      <c r="A74" s="4" t="n">
        <v>28</v>
      </c>
      <c r="B74" s="4" t="inlineStr">
        <is>
          <t>GRO2595</t>
        </is>
      </c>
      <c r="C74" s="4" t="inlineStr">
        <is>
          <t>Vents TT PRO 100 kevert áramlású csőventilátor 100 mm, kétsebességes motorral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Csőventilátor (Can-Fan, Vents, Prima Klima, AC Infinity, Garden Highpro, DF16)</t>
        </is>
      </c>
    </row>
    <row r="75">
      <c r="A75" s="4" t="n">
        <v>29</v>
      </c>
      <c r="B75" s="4" t="inlineStr">
        <is>
          <t>GRO2752</t>
        </is>
      </c>
      <c r="C75" s="4" t="inlineStr">
        <is>
          <t>Vents TT PRO 200 kevert áramlású csőventilátor 200 mm, kétsebességes, 830/1040 m3/h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Csőventilátor (Can-Fan, Vents, Prima Klima, AC Infinity, Garden Highpro, DF16)</t>
        </is>
      </c>
    </row>
    <row r="76">
      <c r="A76" s="4" t="n">
        <v>30</v>
      </c>
      <c r="B76" s="4" t="inlineStr">
        <is>
          <t>GRO2753</t>
        </is>
      </c>
      <c r="C76" s="4" t="inlineStr">
        <is>
          <t>Vents TT PRO 250 kevert áramlású csőventilátor 250 mm, kétsebességes, 1110/1400 m3/h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Csőventilátor (Can-Fan, Vents, Prima Klima, AC Infinity, Garden Highpro, DF16)</t>
        </is>
      </c>
    </row>
    <row r="77">
      <c r="A77" s="4" t="n">
        <v>31</v>
      </c>
      <c r="B77" s="4" t="inlineStr">
        <is>
          <t>GRO2754</t>
        </is>
      </c>
      <c r="C77" s="4" t="inlineStr">
        <is>
          <t>Vents TT PRO 315 kevert áramlású csőventilátor 315 mm, kétsebességes, 1570/2050 m3/h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Csőventilátor (Can-Fan, Vents, Prima Klima, AC Infinity, Garden Highpro, DF16)</t>
        </is>
      </c>
    </row>
    <row r="78">
      <c r="A78" s="4" t="n">
        <v>32</v>
      </c>
      <c r="B78" s="4" t="inlineStr">
        <is>
          <t>GRO2895</t>
        </is>
      </c>
      <c r="C78" s="4" t="inlineStr">
        <is>
          <t>Vents VK Q 250 centrifugális csatornaventilátor 250 mm, műanyag házzal, nedves helyiségekbe is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Csőventilátor (Can-Fan, Vents, Prima Klima, AC Infinity, Garden Highpro, DF16)</t>
        </is>
      </c>
    </row>
    <row r="79">
      <c r="A79" s="4" t="n">
        <v>33</v>
      </c>
      <c r="B79" s="4" t="inlineStr">
        <is>
          <t>GRO2989</t>
        </is>
      </c>
      <c r="C79" s="4" t="inlineStr">
        <is>
          <t>Can-Fan Max-Fan Pro AC diagonális csőventilátor 315 mm, 3180 m3/h, 3 fokozatú kapcsolóval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Csőventilátor (Can-Fan, Vents, Prima Klima, AC Infinity, Garden Highpro, DF16)</t>
        </is>
      </c>
    </row>
    <row r="80">
      <c r="A80" s="4" t="n">
        <v>34</v>
      </c>
      <c r="B80" s="4" t="inlineStr">
        <is>
          <t>GRO2992</t>
        </is>
      </c>
      <c r="C80" s="4" t="inlineStr">
        <is>
          <t>Can-Fan Max-Fan Pro AC diagonális csőventilátor 150 mm, 600 m3/h, 2 fokozatú kapcsolóval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Csőventilátor (Can-Fan, Vents, Prima Klima, AC Infinity, Garden Highpro, DF16)</t>
        </is>
      </c>
    </row>
    <row r="81">
      <c r="A81" s="4" t="n">
        <v>35</v>
      </c>
      <c r="B81" s="4" t="inlineStr">
        <is>
          <t>GRO3105</t>
        </is>
      </c>
      <c r="C81" s="4" t="inlineStr">
        <is>
          <t>Vents TT PRO 200 Un csőventilátor termosztáttal, sebességszabályzóval és kábellel, 200 mm, 1040 m3/h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Csőventilátor beépített / mellékelt szabályzóval (TC, Un, Cloudline)</t>
        </is>
      </c>
    </row>
    <row r="82">
      <c r="A82" s="4" t="n">
        <v>36</v>
      </c>
      <c r="B82" s="4" t="inlineStr">
        <is>
          <t>GRO3106</t>
        </is>
      </c>
      <c r="C82" s="4" t="inlineStr">
        <is>
          <t>Vents TT PRO 250 Un csőventilátor termosztáttal, sebességszabályzóval és kábellel, 250 mm, 1400 m3/h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Csőventilátor beépített / mellékelt szabályzóval (TC, Un, Cloudline)</t>
        </is>
      </c>
    </row>
    <row r="83">
      <c r="A83" s="4" t="n">
        <v>37</v>
      </c>
      <c r="B83" s="4" t="inlineStr">
        <is>
          <t>GRO3123</t>
        </is>
      </c>
      <c r="C83" s="4" t="inlineStr">
        <is>
          <t>Can-Fan RK 125L centrifugális csőventilátor 125 mm, 350 m3/h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Csőventilátor (Can-Fan, Vents, Prima Klima, AC Infinity, Garden Highpro, DF16)</t>
        </is>
      </c>
    </row>
    <row r="84">
      <c r="A84" s="4" t="n">
        <v>38</v>
      </c>
      <c r="B84" s="4" t="inlineStr">
        <is>
          <t>GRO3128</t>
        </is>
      </c>
      <c r="C84" s="4" t="inlineStr">
        <is>
          <t>Can-Fan ISO-Max hangszigetelt csőventilátor 315 mm, 3260 m3/h</t>
        </is>
      </c>
      <c r="D84" s="4" t="inlineStr">
        <is>
          <t>Elsődleges</t>
        </is>
      </c>
      <c r="E84" s="4" t="inlineStr">
        <is>
          <t>Erős</t>
        </is>
      </c>
      <c r="F84" s="4" t="inlineStr">
        <is>
          <t>Csőventilátor (Can-Fan, Vents, Prima Klima, AC Infinity, Garden Highpro, DF16)</t>
        </is>
      </c>
    </row>
    <row r="85">
      <c r="A85" s="4" t="n">
        <v>39</v>
      </c>
      <c r="B85" s="4" t="inlineStr">
        <is>
          <t>GRO3132</t>
        </is>
      </c>
      <c r="C85" s="4" t="inlineStr">
        <is>
          <t>Can Fan csőventilátor RK 125</t>
        </is>
      </c>
      <c r="D85" s="4" t="inlineStr">
        <is>
          <t>Elsődleges</t>
        </is>
      </c>
      <c r="E85" s="4" t="inlineStr">
        <is>
          <t>Erős</t>
        </is>
      </c>
      <c r="F85" s="4" t="inlineStr">
        <is>
          <t>Csőventilátor (Can-Fan, Vents, Prima Klima, AC Infinity, Garden Highpro, DF16)</t>
        </is>
      </c>
    </row>
    <row r="86">
      <c r="A86" s="4" t="n">
        <v>40</v>
      </c>
      <c r="B86" s="4" t="inlineStr">
        <is>
          <t>GRO3133</t>
        </is>
      </c>
      <c r="C86" s="4" t="inlineStr">
        <is>
          <t>Can-Fan RK 150 centrifugális csőventilátor 150 mm, 470 m3/h</t>
        </is>
      </c>
      <c r="D86" s="4" t="inlineStr">
        <is>
          <t>Elsődleges</t>
        </is>
      </c>
      <c r="E86" s="4" t="inlineStr">
        <is>
          <t>Erős</t>
        </is>
      </c>
      <c r="F86" s="4" t="inlineStr">
        <is>
          <t>Csőventilátor (Can-Fan, Vents, Prima Klima, AC Infinity, Garden Highpro, DF16)</t>
        </is>
      </c>
    </row>
    <row r="87">
      <c r="A87" s="4" t="n">
        <v>41</v>
      </c>
      <c r="B87" s="4" t="inlineStr">
        <is>
          <t>GRO3250</t>
        </is>
      </c>
      <c r="C87" s="4" t="inlineStr">
        <is>
          <t>Can-Fan RK 100L centrifugális csőventilátor 100 mm, 270 m3/h</t>
        </is>
      </c>
      <c r="D87" s="4" t="inlineStr">
        <is>
          <t>Elsődleges</t>
        </is>
      </c>
      <c r="E87" s="4" t="inlineStr">
        <is>
          <t>Erős</t>
        </is>
      </c>
      <c r="F87" s="4" t="inlineStr">
        <is>
          <t>Csőventilátor (Can-Fan, Vents, Prima Klima, AC Infinity, Garden Highpro, DF16)</t>
        </is>
      </c>
    </row>
    <row r="88">
      <c r="A88" s="4" t="n">
        <v>42</v>
      </c>
      <c r="B88" s="4" t="inlineStr">
        <is>
          <t>GRO3251</t>
        </is>
      </c>
      <c r="C88" s="4" t="inlineStr">
        <is>
          <t>Can-Fan Max-Fan Pro AC diagonális csőventilátor 160 mm, 615 m3/h, 2 fokozatú kapcsolóval</t>
        </is>
      </c>
      <c r="D88" s="4" t="inlineStr">
        <is>
          <t>Elsődleges</t>
        </is>
      </c>
      <c r="E88" s="4" t="inlineStr">
        <is>
          <t>Erős</t>
        </is>
      </c>
      <c r="F88" s="4" t="inlineStr">
        <is>
          <t>Csőventilátor (Can-Fan, Vents, Prima Klima, AC Infinity, Garden Highpro, DF16)</t>
        </is>
      </c>
    </row>
    <row r="89">
      <c r="A89" s="4" t="n">
        <v>43</v>
      </c>
      <c r="B89" s="4" t="inlineStr">
        <is>
          <t>GRO3253</t>
        </is>
      </c>
      <c r="C89" s="4" t="inlineStr">
        <is>
          <t>Can Fan csőventilátor RK160</t>
        </is>
      </c>
      <c r="D89" s="4" t="inlineStr">
        <is>
          <t>Elsődleges</t>
        </is>
      </c>
      <c r="E89" s="4" t="inlineStr">
        <is>
          <t>Erős</t>
        </is>
      </c>
      <c r="F89" s="4" t="inlineStr">
        <is>
          <t>Csőventilátor (Can-Fan, Vents, Prima Klima, AC Infinity, Garden Highpro, DF16)</t>
        </is>
      </c>
    </row>
    <row r="90">
      <c r="A90" s="4" t="n">
        <v>44</v>
      </c>
      <c r="B90" s="4" t="inlineStr">
        <is>
          <t>GRO3354</t>
        </is>
      </c>
      <c r="C90" s="4" t="inlineStr">
        <is>
          <t>Can-Fan ISO-Max hangszigetelt csőventilátor 160 mm 430 m3/h (3 sebesség)</t>
        </is>
      </c>
      <c r="D90" s="4" t="inlineStr">
        <is>
          <t>Elsődleges</t>
        </is>
      </c>
      <c r="E90" s="4" t="inlineStr">
        <is>
          <t>Erős</t>
        </is>
      </c>
      <c r="F90" s="4" t="inlineStr">
        <is>
          <t>Csőventilátor (Can-Fan, Vents, Prima Klima, AC Infinity, Garden Highpro, DF16)</t>
        </is>
      </c>
    </row>
    <row r="91">
      <c r="A91" s="4" t="n">
        <v>45</v>
      </c>
      <c r="B91" s="4" t="inlineStr">
        <is>
          <t>GRO3480</t>
        </is>
      </c>
      <c r="C91" s="4" t="inlineStr">
        <is>
          <t>Vents VK EC ventilátor Vents VK EC 200</t>
        </is>
      </c>
      <c r="D91" s="4" t="inlineStr">
        <is>
          <t>Elsődleges</t>
        </is>
      </c>
      <c r="E91" s="4" t="inlineStr">
        <is>
          <t>Erős</t>
        </is>
      </c>
      <c r="F91" s="4" t="inlineStr">
        <is>
          <t>EC motoros csőventilátor</t>
        </is>
      </c>
    </row>
    <row r="92">
      <c r="A92" s="4" t="n">
        <v>46</v>
      </c>
      <c r="B92" s="4" t="inlineStr">
        <is>
          <t>GRO3481</t>
        </is>
      </c>
      <c r="C92" s="4" t="inlineStr">
        <is>
          <t>Vents VK EC ventilátor Vents VK EC 250</t>
        </is>
      </c>
      <c r="D92" s="4" t="inlineStr">
        <is>
          <t>Elsődleges</t>
        </is>
      </c>
      <c r="E92" s="4" t="inlineStr">
        <is>
          <t>Erős</t>
        </is>
      </c>
      <c r="F92" s="4" t="inlineStr">
        <is>
          <t>EC motoros csőventilátor</t>
        </is>
      </c>
    </row>
    <row r="93">
      <c r="A93" s="4" t="n">
        <v>47</v>
      </c>
      <c r="B93" s="4" t="inlineStr">
        <is>
          <t>GRO3611</t>
        </is>
      </c>
      <c r="C93" s="4" t="inlineStr">
        <is>
          <t>Secret Jardin DF16 elszívó ventilátor 150/250/350 m3/h</t>
        </is>
      </c>
      <c r="D93" s="4" t="inlineStr">
        <is>
          <t>Elsődleges</t>
        </is>
      </c>
      <c r="E93" s="4" t="inlineStr">
        <is>
          <t>Erős</t>
        </is>
      </c>
      <c r="F93" s="4" t="inlineStr">
        <is>
          <t>Csőventilátor (Can-Fan, Vents, Prima Klima, AC Infinity, Garden Highpro, DF16)</t>
        </is>
      </c>
    </row>
    <row r="94">
      <c r="A94" s="4" t="n">
        <v>48</v>
      </c>
      <c r="B94" s="4" t="inlineStr">
        <is>
          <t>GRO3637</t>
        </is>
      </c>
      <c r="C94" s="4" t="inlineStr">
        <is>
          <t>Prima klima ventilátor (hőmérsékletszabályzós) PK100-TC</t>
        </is>
      </c>
      <c r="D94" s="4" t="inlineStr">
        <is>
          <t>Elsődleges</t>
        </is>
      </c>
      <c r="E94" s="4" t="inlineStr">
        <is>
          <t>Erős</t>
        </is>
      </c>
      <c r="F94" s="4" t="inlineStr">
        <is>
          <t>Csőventilátor beépített / mellékelt szabályzóval (TC, Un, Cloudline)</t>
        </is>
      </c>
    </row>
    <row r="95">
      <c r="A95" s="4" t="n">
        <v>49</v>
      </c>
      <c r="B95" s="4" t="inlineStr">
        <is>
          <t>GRO3638</t>
        </is>
      </c>
      <c r="C95" s="4" t="inlineStr">
        <is>
          <t>Prima klima ventilátor (2 sebességes) PK125-2</t>
        </is>
      </c>
      <c r="D95" s="4" t="inlineStr">
        <is>
          <t>Elsődleges</t>
        </is>
      </c>
      <c r="E95" s="4" t="inlineStr">
        <is>
          <t>Erős</t>
        </is>
      </c>
      <c r="F95" s="4" t="inlineStr">
        <is>
          <t>Csőventilátor (Can-Fan, Vents, Prima Klima, AC Infinity, Garden Highpro, DF16)</t>
        </is>
      </c>
    </row>
    <row r="96">
      <c r="A96" s="4" t="n">
        <v>50</v>
      </c>
      <c r="B96" s="4" t="inlineStr">
        <is>
          <t>GRO3640</t>
        </is>
      </c>
      <c r="C96" s="4" t="inlineStr">
        <is>
          <t>Prima klima ventilátor (hőmérsékletszabályzós) PK125-TC</t>
        </is>
      </c>
      <c r="D96" s="4" t="inlineStr">
        <is>
          <t>Elsődleges</t>
        </is>
      </c>
      <c r="E96" s="4" t="inlineStr">
        <is>
          <t>Erős</t>
        </is>
      </c>
      <c r="F96" s="4" t="inlineStr">
        <is>
          <t>Csőventilátor beépített / mellékelt szabályzóval (TC, Un, Cloudline)</t>
        </is>
      </c>
    </row>
    <row r="97">
      <c r="A97" s="4" t="n">
        <v>51</v>
      </c>
      <c r="B97" s="4" t="inlineStr">
        <is>
          <t>GRO3641</t>
        </is>
      </c>
      <c r="C97" s="4" t="inlineStr">
        <is>
          <t>Prima klima ventilátor (2 sebességes) PK150-2</t>
        </is>
      </c>
      <c r="D97" s="4" t="inlineStr">
        <is>
          <t>Elsődleges</t>
        </is>
      </c>
      <c r="E97" s="4" t="inlineStr">
        <is>
          <t>Erős</t>
        </is>
      </c>
      <c r="F97" s="4" t="inlineStr">
        <is>
          <t>Csőventilátor (Can-Fan, Vents, Prima Klima, AC Infinity, Garden Highpro, DF16)</t>
        </is>
      </c>
    </row>
    <row r="98">
      <c r="A98" s="4" t="n">
        <v>52</v>
      </c>
      <c r="B98" s="4" t="inlineStr">
        <is>
          <t>GRO3642</t>
        </is>
      </c>
      <c r="C98" s="4" t="inlineStr">
        <is>
          <t>Prima klima ventilátor (hőmérsékletszabályzós) PK150-TC</t>
        </is>
      </c>
      <c r="D98" s="4" t="inlineStr">
        <is>
          <t>Elsődleges</t>
        </is>
      </c>
      <c r="E98" s="4" t="inlineStr">
        <is>
          <t>Erős</t>
        </is>
      </c>
      <c r="F98" s="4" t="inlineStr">
        <is>
          <t>Csőventilátor beépített / mellékelt szabályzóval (TC, Un, Cloudline)</t>
        </is>
      </c>
    </row>
    <row r="99">
      <c r="A99" s="4" t="n">
        <v>53</v>
      </c>
      <c r="B99" s="4" t="inlineStr">
        <is>
          <t>GRO3643</t>
        </is>
      </c>
      <c r="C99" s="4" t="inlineStr">
        <is>
          <t>Prima klima ventilátor (2 sebességes) PK160-2</t>
        </is>
      </c>
      <c r="D99" s="4" t="inlineStr">
        <is>
          <t>Elsődleges</t>
        </is>
      </c>
      <c r="E99" s="4" t="inlineStr">
        <is>
          <t>Erős</t>
        </is>
      </c>
      <c r="F99" s="4" t="inlineStr">
        <is>
          <t>Csőventilátor (Can-Fan, Vents, Prima Klima, AC Infinity, Garden Highpro, DF16)</t>
        </is>
      </c>
    </row>
    <row r="100">
      <c r="A100" s="4" t="n">
        <v>54</v>
      </c>
      <c r="B100" s="4" t="inlineStr">
        <is>
          <t>GRO3699</t>
        </is>
      </c>
      <c r="C100" s="4" t="inlineStr">
        <is>
          <t>Prima klima EC ventilátor (hőmérsékletszabályzós) PK125EC-TC</t>
        </is>
      </c>
      <c r="D100" s="4" t="inlineStr">
        <is>
          <t>Elsődleges</t>
        </is>
      </c>
      <c r="E100" s="4" t="inlineStr">
        <is>
          <t>Erős</t>
        </is>
      </c>
      <c r="F100" s="4" t="inlineStr">
        <is>
          <t>Csőventilátor beépített / mellékelt szabályzóval (TC, Un, Cloudline)</t>
        </is>
      </c>
    </row>
    <row r="101">
      <c r="A101" s="4" t="n">
        <v>55</v>
      </c>
      <c r="B101" s="4" t="inlineStr">
        <is>
          <t>GRO3701</t>
        </is>
      </c>
      <c r="C101" s="4" t="inlineStr">
        <is>
          <t>Prima klima EC ventilátor (hőmérsékletszabályzós) PK250EC-TC</t>
        </is>
      </c>
      <c r="D101" s="4" t="inlineStr">
        <is>
          <t>Elsődleges</t>
        </is>
      </c>
      <c r="E101" s="4" t="inlineStr">
        <is>
          <t>Erős</t>
        </is>
      </c>
      <c r="F101" s="4" t="inlineStr">
        <is>
          <t>Csőventilátor beépített / mellékelt szabályzóval (TC, Un, Cloudline)</t>
        </is>
      </c>
    </row>
    <row r="102">
      <c r="A102" s="4" t="n">
        <v>56</v>
      </c>
      <c r="B102" s="4" t="inlineStr">
        <is>
          <t>GRO3716</t>
        </is>
      </c>
      <c r="C102" s="4" t="inlineStr">
        <is>
          <t>Prima klima EC ventilátor (hőmérsékletszabályzós) PK150EC-TC</t>
        </is>
      </c>
      <c r="D102" s="4" t="inlineStr">
        <is>
          <t>Elsődleges</t>
        </is>
      </c>
      <c r="E102" s="4" t="inlineStr">
        <is>
          <t>Erős</t>
        </is>
      </c>
      <c r="F102" s="4" t="inlineStr">
        <is>
          <t>Csőventilátor beépített / mellékelt szabályzóval (TC, Un, Cloudline)</t>
        </is>
      </c>
    </row>
    <row r="103">
      <c r="A103" s="4" t="n">
        <v>57</v>
      </c>
      <c r="B103" s="4" t="inlineStr">
        <is>
          <t>GRO3763</t>
        </is>
      </c>
      <c r="C103" s="4" t="inlineStr">
        <is>
          <t>Secret Jardin DF16 elszívó ventilátor 50/100/150 m3/h</t>
        </is>
      </c>
      <c r="D103" s="4" t="inlineStr">
        <is>
          <t>Elsődleges</t>
        </is>
      </c>
      <c r="E103" s="4" t="inlineStr">
        <is>
          <t>Erős</t>
        </is>
      </c>
      <c r="F103" s="4" t="inlineStr">
        <is>
          <t>Csőventilátor (Can-Fan, Vents, Prima Klima, AC Infinity, Garden Highpro, DF16)</t>
        </is>
      </c>
    </row>
    <row r="104">
      <c r="A104" s="4" t="n">
        <v>58</v>
      </c>
      <c r="B104" s="4" t="inlineStr">
        <is>
          <t>GRO3813</t>
        </is>
      </c>
      <c r="C104" s="4" t="inlineStr">
        <is>
          <t>Vents Stream ventilátor</t>
        </is>
      </c>
      <c r="D104" s="4" t="inlineStr">
        <is>
          <t>Elsődleges</t>
        </is>
      </c>
      <c r="E104" s="4" t="inlineStr">
        <is>
          <t>Erős</t>
        </is>
      </c>
      <c r="F104" s="4" t="inlineStr">
        <is>
          <t>Csőventilátor (Can-Fan, Vents, Prima Klima, AC Infinity, Garden Highpro, DF16)</t>
        </is>
      </c>
    </row>
    <row r="105">
      <c r="A105" s="4" t="n">
        <v>59</v>
      </c>
      <c r="B105" s="4" t="inlineStr">
        <is>
          <t>GRO3815</t>
        </is>
      </c>
      <c r="C105" s="4" t="inlineStr">
        <is>
          <t>Vents Boost ventilátor</t>
        </is>
      </c>
      <c r="D105" s="4" t="inlineStr">
        <is>
          <t>Elsődleges</t>
        </is>
      </c>
      <c r="E105" s="4" t="inlineStr">
        <is>
          <t>Erős</t>
        </is>
      </c>
      <c r="F105" s="4" t="inlineStr">
        <is>
          <t>Csőventilátor (Can-Fan, Vents, Prima Klima, AC Infinity, Garden Highpro, DF16)</t>
        </is>
      </c>
    </row>
    <row r="106">
      <c r="A106" s="4" t="n">
        <v>60</v>
      </c>
      <c r="B106" s="4" t="inlineStr">
        <is>
          <t>GRO4080</t>
        </is>
      </c>
      <c r="C106" s="4" t="inlineStr">
        <is>
          <t>Prima klima 125WHSP ventilátor (hőmérsékletszabályzós)</t>
        </is>
      </c>
      <c r="D106" s="4" t="inlineStr">
        <is>
          <t>Elsődleges</t>
        </is>
      </c>
      <c r="E106" s="4" t="inlineStr">
        <is>
          <t>Erős</t>
        </is>
      </c>
      <c r="F106" s="4" t="inlineStr">
        <is>
          <t>Csőventilátor beépített / mellékelt szabályzóval (TC, Un, Cloudline)</t>
        </is>
      </c>
    </row>
    <row r="107">
      <c r="A107" s="4" t="n">
        <v>61</v>
      </c>
      <c r="B107" s="4" t="inlineStr">
        <is>
          <t>GRO4081</t>
        </is>
      </c>
      <c r="C107" s="4" t="inlineStr">
        <is>
          <t>Prima klima 160WHSP ventilátor (hőmérsékletszabályzós)</t>
        </is>
      </c>
      <c r="D107" s="4" t="inlineStr">
        <is>
          <t>Elsődleges</t>
        </is>
      </c>
      <c r="E107" s="4" t="inlineStr">
        <is>
          <t>Erős</t>
        </is>
      </c>
      <c r="F107" s="4" t="inlineStr">
        <is>
          <t>Csőventilátor beépített / mellékelt szabályzóval (TC, Un, Cloudline)</t>
        </is>
      </c>
    </row>
    <row r="108">
      <c r="A108" s="4" t="n">
        <v>62</v>
      </c>
      <c r="B108" s="4" t="inlineStr">
        <is>
          <t>GRO4082</t>
        </is>
      </c>
      <c r="C108" s="4" t="inlineStr">
        <is>
          <t>Prima klima PK200EC-TC ventilátor (hőmérsékletszabályzós)</t>
        </is>
      </c>
      <c r="D108" s="4" t="inlineStr">
        <is>
          <t>Elsődleges</t>
        </is>
      </c>
      <c r="E108" s="4" t="inlineStr">
        <is>
          <t>Erős</t>
        </is>
      </c>
      <c r="F108" s="4" t="inlineStr">
        <is>
          <t>Csőventilátor beépített / mellékelt szabályzóval (TC, Un, Cloudline)</t>
        </is>
      </c>
    </row>
    <row r="109">
      <c r="A109" s="4" t="n">
        <v>63</v>
      </c>
      <c r="B109" s="4" t="inlineStr">
        <is>
          <t>GRO4107</t>
        </is>
      </c>
      <c r="C109" s="4" t="inlineStr">
        <is>
          <t>AC Infinity Cloudline Pro S4 ventilátor</t>
        </is>
      </c>
      <c r="D109" s="4" t="inlineStr">
        <is>
          <t>Elsődleges</t>
        </is>
      </c>
      <c r="E109" s="4" t="inlineStr">
        <is>
          <t>Erős</t>
        </is>
      </c>
      <c r="F109" s="4" t="inlineStr">
        <is>
          <t>Csőventilátor (Can-Fan, Vents, Prima Klima, AC Infinity, Garden Highpro, DF16)</t>
        </is>
      </c>
    </row>
    <row r="110">
      <c r="A110" s="4" t="n">
        <v>64</v>
      </c>
      <c r="B110" s="4" t="inlineStr">
        <is>
          <t>GRO4108</t>
        </is>
      </c>
      <c r="C110" s="4" t="inlineStr">
        <is>
          <t>AC Infinity Cloudline Pro T4 ventilátor</t>
        </is>
      </c>
      <c r="D110" s="4" t="inlineStr">
        <is>
          <t>Elsődleges</t>
        </is>
      </c>
      <c r="E110" s="4" t="inlineStr">
        <is>
          <t>Erős</t>
        </is>
      </c>
      <c r="F110" s="4" t="inlineStr">
        <is>
          <t>Csőventilátor (Can-Fan, Vents, Prima Klima, AC Infinity, Garden Highpro, DF16)</t>
        </is>
      </c>
    </row>
    <row r="111">
      <c r="A111" s="4" t="n">
        <v>65</v>
      </c>
      <c r="B111" s="4" t="inlineStr">
        <is>
          <t>GRO4118</t>
        </is>
      </c>
      <c r="C111" s="4" t="inlineStr">
        <is>
          <t>Garden Highpro Inline ventilátor (150 mm)</t>
        </is>
      </c>
      <c r="D111" s="4" t="inlineStr">
        <is>
          <t>Elsődleges</t>
        </is>
      </c>
      <c r="E111" s="4" t="inlineStr">
        <is>
          <t>Erős</t>
        </is>
      </c>
      <c r="F111" s="4" t="inlineStr">
        <is>
          <t>Csőventilátor (Can-Fan, Vents, Prima Klima, AC Infinity, Garden Highpro, DF16)</t>
        </is>
      </c>
    </row>
    <row r="112">
      <c r="A112" s="4" t="n">
        <v>66</v>
      </c>
      <c r="B112" s="4" t="inlineStr">
        <is>
          <t>GRO4121</t>
        </is>
      </c>
      <c r="C112" s="4" t="inlineStr">
        <is>
          <t>Garden Highpro 2 sebességes ventilátor (150 mm)</t>
        </is>
      </c>
      <c r="D112" s="4" t="inlineStr">
        <is>
          <t>Elsődleges</t>
        </is>
      </c>
      <c r="E112" s="4" t="inlineStr">
        <is>
          <t>Erős</t>
        </is>
      </c>
      <c r="F112" s="4" t="inlineStr">
        <is>
          <t>Csőventilátor (Can-Fan, Vents, Prima Klima, AC Infinity, Garden Highpro, DF16)</t>
        </is>
      </c>
    </row>
    <row r="113">
      <c r="A113" s="4" t="n">
        <v>67</v>
      </c>
      <c r="B113" s="4" t="inlineStr">
        <is>
          <t>GRO4191</t>
        </is>
      </c>
      <c r="C113" s="4" t="inlineStr">
        <is>
          <t>AC Infinity Cloudline Lite A4 ventilátor sebességszabályzóval 100 mm</t>
        </is>
      </c>
      <c r="D113" s="4" t="inlineStr">
        <is>
          <t>Elsődleges</t>
        </is>
      </c>
      <c r="E113" s="4" t="inlineStr">
        <is>
          <t>Erős</t>
        </is>
      </c>
      <c r="F113" s="4" t="inlineStr">
        <is>
          <t>Csőventilátor beépített / mellékelt szabályzóval (TC, Un, Cloudline)</t>
        </is>
      </c>
    </row>
    <row r="114">
      <c r="A114" s="4" t="n">
        <v>68</v>
      </c>
      <c r="B114" s="4" t="inlineStr">
        <is>
          <t>GRO4192</t>
        </is>
      </c>
      <c r="C114" s="4" t="inlineStr">
        <is>
          <t>AC Infinity Cloudline Lite A6 ventilátor sebességszabályzóval 150 mm</t>
        </is>
      </c>
      <c r="D114" s="4" t="inlineStr">
        <is>
          <t>Elsődleges</t>
        </is>
      </c>
      <c r="E114" s="4" t="inlineStr">
        <is>
          <t>Erős</t>
        </is>
      </c>
      <c r="F114" s="4" t="inlineStr">
        <is>
          <t>Csőventilátor beépített / mellékelt szabályzóval (TC, Un, Cloudline)</t>
        </is>
      </c>
    </row>
    <row r="115">
      <c r="A115" s="4" t="n">
        <v>69</v>
      </c>
      <c r="B115" s="4" t="inlineStr">
        <is>
          <t>GRO4194</t>
        </is>
      </c>
      <c r="C115" s="4" t="inlineStr">
        <is>
          <t>AC Infinity Cloudline pro S6 Inline ventilátor sebességszabályzóval 150 mm</t>
        </is>
      </c>
      <c r="D115" s="4" t="inlineStr">
        <is>
          <t>Elsődleges</t>
        </is>
      </c>
      <c r="E115" s="4" t="inlineStr">
        <is>
          <t>Erős</t>
        </is>
      </c>
      <c r="F115" s="4" t="inlineStr">
        <is>
          <t>Csőventilátor beépített / mellékelt szabályzóval (TC, Un, Cloudline)</t>
        </is>
      </c>
    </row>
    <row r="116">
      <c r="A116" s="4" t="n">
        <v>70</v>
      </c>
      <c r="B116" s="4" t="inlineStr">
        <is>
          <t>GRO4195</t>
        </is>
      </c>
      <c r="C116" s="4" t="inlineStr">
        <is>
          <t>AC Infinity Cloudline pro T6 Inline ventillátor hőmérséklet és páratartalom szabályzóval 150 mm</t>
        </is>
      </c>
      <c r="D116" s="4" t="inlineStr">
        <is>
          <t>Elsődleges</t>
        </is>
      </c>
      <c r="E116" s="4" t="inlineStr">
        <is>
          <t>Erős</t>
        </is>
      </c>
      <c r="F116" s="4" t="inlineStr">
        <is>
          <t>Csőventilátor beépített / mellékelt szabályzóval (TC, Un, Cloudline)</t>
        </is>
      </c>
    </row>
    <row r="117">
      <c r="A117" s="4" t="n">
        <v>71</v>
      </c>
      <c r="B117" s="4" t="inlineStr">
        <is>
          <t>GRO4280</t>
        </is>
      </c>
      <c r="C117" s="4" t="inlineStr">
        <is>
          <t>Prima Klima PK250-A1 Ventilátor 1 speed 250 mm 1050 m3/h</t>
        </is>
      </c>
      <c r="D117" s="4" t="inlineStr">
        <is>
          <t>Elsődleges</t>
        </is>
      </c>
      <c r="E117" s="4" t="inlineStr">
        <is>
          <t>Erős</t>
        </is>
      </c>
      <c r="F117" s="4" t="inlineStr">
        <is>
          <t>Csőventilátor (Can-Fan, Vents, Prima Klima, AC Infinity, Garden Highpro, DF16)</t>
        </is>
      </c>
    </row>
    <row r="118">
      <c r="A118" s="4" t="n">
        <v>72</v>
      </c>
      <c r="B118" s="4" t="inlineStr">
        <is>
          <t>GRO4364</t>
        </is>
      </c>
      <c r="C118" s="4" t="inlineStr">
        <is>
          <t>AC Infinity Cloudline T8 Inline ventilátor hőmérséklet és pára szabályzóval 200 mm 1371 m3/h</t>
        </is>
      </c>
      <c r="D118" s="4" t="inlineStr">
        <is>
          <t>Elsődleges</t>
        </is>
      </c>
      <c r="E118" s="4" t="inlineStr">
        <is>
          <t>Erős</t>
        </is>
      </c>
      <c r="F118" s="4" t="inlineStr">
        <is>
          <t>Csőventilátor beépített / mellékelt szabályzóval (TC, Un, Cloudline)</t>
        </is>
      </c>
    </row>
    <row r="119">
      <c r="A119" s="4" t="n">
        <v>73</v>
      </c>
      <c r="B119" s="4" t="inlineStr">
        <is>
          <t>GRO4600</t>
        </is>
      </c>
      <c r="C119" s="4" t="inlineStr">
        <is>
          <t>Vents TT 100 EC eco csőventilátor 100 mm, 210 m3/h, fekete</t>
        </is>
      </c>
      <c r="D119" s="4" t="inlineStr">
        <is>
          <t>Elsődleges</t>
        </is>
      </c>
      <c r="E119" s="4" t="inlineStr">
        <is>
          <t>Erős</t>
        </is>
      </c>
      <c r="F119" s="4" t="inlineStr">
        <is>
          <t>EC motoros csőventilátor</t>
        </is>
      </c>
    </row>
    <row r="120">
      <c r="A120" s="4" t="n">
        <v>74</v>
      </c>
      <c r="B120" s="4" t="inlineStr">
        <is>
          <t>GRO4601</t>
        </is>
      </c>
      <c r="C120" s="4" t="inlineStr">
        <is>
          <t>Vents TT 125 EC Eco csőventilátor 125 mm, 275 m3/h</t>
        </is>
      </c>
      <c r="D120" s="4" t="inlineStr">
        <is>
          <t>Elsődleges</t>
        </is>
      </c>
      <c r="E120" s="4" t="inlineStr">
        <is>
          <t>Erős</t>
        </is>
      </c>
      <c r="F120" s="4" t="inlineStr">
        <is>
          <t>EC motoros csőventilátor</t>
        </is>
      </c>
    </row>
    <row r="121">
      <c r="A121" s="4" t="n">
        <v>75</v>
      </c>
      <c r="B121" s="4" t="inlineStr">
        <is>
          <t>GRO1436</t>
        </is>
      </c>
      <c r="C121" s="4" t="inlineStr">
        <is>
          <t>Can Filters Silencer CFS02 ventilátor hangtompító 125 mm, 45 cm, ásványgyapot szigeteléssel</t>
        </is>
      </c>
      <c r="D121" s="4" t="inlineStr">
        <is>
          <t>Másodlagos</t>
        </is>
      </c>
      <c r="E121" s="4" t="inlineStr">
        <is>
          <t>Erős</t>
        </is>
      </c>
      <c r="F121" s="4" t="inlineStr">
        <is>
          <t>Ventilátor hangtompító (Can Filters Silencer)</t>
        </is>
      </c>
    </row>
    <row r="122">
      <c r="A122" s="4" t="n">
        <v>76</v>
      </c>
      <c r="B122" s="4" t="inlineStr">
        <is>
          <t>GRO1664</t>
        </is>
      </c>
      <c r="C122" s="4" t="inlineStr">
        <is>
          <t>Can Filters Silencer CFS06 ventilátor hangtompító 200 mm, 45 cm, ásványgyapot szigeteléssel</t>
        </is>
      </c>
      <c r="D122" s="4" t="inlineStr">
        <is>
          <t>Másodlagos</t>
        </is>
      </c>
      <c r="E122" s="4" t="inlineStr">
        <is>
          <t>Erős</t>
        </is>
      </c>
      <c r="F122" s="4" t="inlineStr">
        <is>
          <t>Ventilátor hangtompító (Can Filters Silencer)</t>
        </is>
      </c>
    </row>
    <row r="123">
      <c r="A123" s="4" t="n">
        <v>77</v>
      </c>
      <c r="B123" s="4" t="inlineStr">
        <is>
          <t>GRO1834</t>
        </is>
      </c>
      <c r="C123" s="4" t="inlineStr">
        <is>
          <t>Can Filters Silencer CFS04 ventilátor hangtompító 150 mm, 45 cm, ásványgyapot szigeteléssel</t>
        </is>
      </c>
      <c r="D123" s="4" t="inlineStr">
        <is>
          <t>Másodlagos</t>
        </is>
      </c>
      <c r="E123" s="4" t="inlineStr">
        <is>
          <t>Erős</t>
        </is>
      </c>
      <c r="F123" s="4" t="inlineStr">
        <is>
          <t>Ventilátor hangtompító (Can Filters Silencer)</t>
        </is>
      </c>
    </row>
    <row r="124">
      <c r="A124" s="4" t="n">
        <v>78</v>
      </c>
      <c r="B124" s="4" t="inlineStr">
        <is>
          <t>GRO2094</t>
        </is>
      </c>
      <c r="C124" s="4" t="inlineStr">
        <is>
          <t>Can Filters Silencer CFS07 ventilátor hangtompító 250 mm, 45 cm, ásványgyapot szigeteléssel</t>
        </is>
      </c>
      <c r="D124" s="4" t="inlineStr">
        <is>
          <t>Másodlagos</t>
        </is>
      </c>
      <c r="E124" s="4" t="inlineStr">
        <is>
          <t>Erős</t>
        </is>
      </c>
      <c r="F124" s="4" t="inlineStr">
        <is>
          <t>Ventilátor hangtompító (Can Filters Silencer)</t>
        </is>
      </c>
    </row>
    <row r="125">
      <c r="A125" s="4" t="n">
        <v>79</v>
      </c>
      <c r="B125" s="4" t="inlineStr">
        <is>
          <t>GRO2736</t>
        </is>
      </c>
      <c r="C125" s="4" t="inlineStr">
        <is>
          <t>Can Filters Silencer CFS08 ventilátor hangtompító 200 mm, 50 cm, ásványgyapot szigeteléssel</t>
        </is>
      </c>
      <c r="D125" s="4" t="inlineStr">
        <is>
          <t>Másodlagos</t>
        </is>
      </c>
      <c r="E125" s="4" t="inlineStr">
        <is>
          <t>Erős</t>
        </is>
      </c>
      <c r="F125" s="4" t="inlineStr">
        <is>
          <t>Ventilátor hangtompító (Can Filters Silencer)</t>
        </is>
      </c>
    </row>
    <row r="126">
      <c r="A126" s="4" t="n">
        <v>80</v>
      </c>
      <c r="B126" s="4" t="inlineStr">
        <is>
          <t>GRO3059</t>
        </is>
      </c>
      <c r="C126" s="4" t="inlineStr">
        <is>
          <t>Can Filters Silencer CFS10 ventilátor hangtompító 315 mm, 50 cm, ásványgyapot szigeteléssel</t>
        </is>
      </c>
      <c r="D126" s="4" t="inlineStr">
        <is>
          <t>Másodlagos</t>
        </is>
      </c>
      <c r="E126" s="4" t="inlineStr">
        <is>
          <t>Erős</t>
        </is>
      </c>
      <c r="F126" s="4" t="inlineStr">
        <is>
          <t>Ventilátor hangtompító (Can Filters Silencer)</t>
        </is>
      </c>
    </row>
    <row r="127">
      <c r="A127" s="4" t="n">
        <v>81</v>
      </c>
      <c r="B127" s="4" t="inlineStr">
        <is>
          <t>GRO3543</t>
        </is>
      </c>
      <c r="C127" s="4" t="inlineStr">
        <is>
          <t>Can Filter Silencer (Ventilátor hangtompító) CFS09</t>
        </is>
      </c>
      <c r="D127" s="4" t="inlineStr">
        <is>
          <t>Másodlagos</t>
        </is>
      </c>
      <c r="E127" s="4" t="inlineStr">
        <is>
          <t>Erős</t>
        </is>
      </c>
      <c r="F127" s="4" t="inlineStr">
        <is>
          <t>Ventilátor hangtompító (Can Filters Silencer)</t>
        </is>
      </c>
    </row>
    <row r="128">
      <c r="A128" s="4" t="n">
        <v>82</v>
      </c>
      <c r="B128" s="4" t="inlineStr">
        <is>
          <t>GRO3545</t>
        </is>
      </c>
      <c r="C128" s="4" t="inlineStr">
        <is>
          <t>Can Filter Silencer (Ventilátor hangtompító) CFS03</t>
        </is>
      </c>
      <c r="D128" s="4" t="inlineStr">
        <is>
          <t>Másodlagos</t>
        </is>
      </c>
      <c r="E128" s="4" t="inlineStr">
        <is>
          <t>Erős</t>
        </is>
      </c>
      <c r="F128" s="4" t="inlineStr">
        <is>
          <t>Ventilátor hangtompító (Can Filters Silencer)</t>
        </is>
      </c>
    </row>
    <row r="129">
      <c r="A129" s="4" t="n">
        <v>83</v>
      </c>
      <c r="B129" s="4" t="inlineStr">
        <is>
          <t>GRO3546</t>
        </is>
      </c>
      <c r="C129" s="4" t="inlineStr">
        <is>
          <t>Can Filter Silencer (Ventilátor hangtompító CFS01</t>
        </is>
      </c>
      <c r="D129" s="4" t="inlineStr">
        <is>
          <t>Másodlagos</t>
        </is>
      </c>
      <c r="E129" s="4" t="inlineStr">
        <is>
          <t>Erős</t>
        </is>
      </c>
      <c r="F129" s="4" t="inlineStr">
        <is>
          <t>Ventilátor hangtompító (Can Filters Silencer)</t>
        </is>
      </c>
    </row>
    <row r="130">
      <c r="A130" s="4" t="n">
        <v>84</v>
      </c>
      <c r="B130" s="4" t="inlineStr">
        <is>
          <t>GRO4303</t>
        </is>
      </c>
      <c r="C130" s="4" t="inlineStr">
        <is>
          <t>AC Infinity PRO légszűrő rendszer AI+WiFi 150 mm</t>
        </is>
      </c>
      <c r="D130" s="4" t="inlineStr">
        <is>
          <t>Másodlagos</t>
        </is>
      </c>
      <c r="E130" s="4" t="inlineStr">
        <is>
          <t>Erős</t>
        </is>
      </c>
      <c r="F130" s="4" t="inlineStr">
        <is>
          <t>AC Infinity légszűrő rendszer (ventilátor + szénszűrő)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Aktív szénszűrő, előszűrő  –  fő kulcsszó: „aktív szénszűrő”</t>
        </is>
      </c>
    </row>
    <row r="2">
      <c r="A2" s="2" t="inlineStr">
        <is>
          <t>Felhasználási terület: Szagszűrés a termesztőtérből elszívott levegőből – aktív szénszűrő, előszűrő, utántöltő szén</t>
        </is>
      </c>
    </row>
    <row r="3">
      <c r="A3" s="2" t="inlineStr">
        <is>
          <t>Megjegyzés: Kis, de tiszta szándékú klaszter (aktív szénszűrő 210, szénszűrő 170, aktívszén szűrő 140). A „szénszűrős páraelszívó” (480) és a „szagelszívó szénszűrő” (140) konyhai páraelszívó – nem a mi termékünk (LN). Growshop-specifikus kifejezés (pl. „szénszűrő csőventilátorhoz”) 20 alatt.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aktív szénszűrő</t>
        </is>
      </c>
      <c r="C7" s="5" t="n">
        <v>210</v>
      </c>
      <c r="D7" s="4" t="inlineStr">
        <is>
          <t>Szoros</t>
        </is>
      </c>
      <c r="E7" s="4" t="inlineStr">
        <is>
          <t>Igen</t>
        </is>
      </c>
      <c r="F7" s="4" t="inlineStr">
        <is>
          <t>Szagszűrés a termesztőtérből elszívott levegőből – aktív szénszűrő, előszűrő, utántöltő szén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szénszűrős páraelszívó kivezetés nélkül</t>
        </is>
      </c>
      <c r="C8" s="20" t="n">
        <v>480</v>
      </c>
      <c r="D8" s="9" t="inlineStr">
        <is>
          <t>Laza</t>
        </is>
      </c>
      <c r="E8" s="9" t="inlineStr">
        <is>
          <t>Nem</t>
        </is>
      </c>
      <c r="F8" s="9" t="inlineStr">
        <is>
          <t>Szagszűrés a termesztőtérből elszívott levegőből – aktív szénszűrő, előszűrő, utántöltő szén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szénszűrős páraelszívó</t>
        </is>
      </c>
      <c r="C9" s="20" t="n">
        <v>390</v>
      </c>
      <c r="D9" s="9" t="inlineStr">
        <is>
          <t>Laza</t>
        </is>
      </c>
      <c r="E9" s="9" t="inlineStr">
        <is>
          <t>Nem</t>
        </is>
      </c>
      <c r="F9" s="9" t="inlineStr">
        <is>
          <t>Szagszűrés a termesztőtérből elszívott levegőből – aktív szénszűrő, előszűrő, utántöltő szén</t>
        </is>
      </c>
      <c r="G9" s="9" t="inlineStr">
        <is>
          <t>Nem célozni külön oldallal (max. említés)</t>
        </is>
      </c>
    </row>
    <row r="10">
      <c r="A10" s="4" t="n">
        <v>4</v>
      </c>
      <c r="B10" s="4" t="inlineStr">
        <is>
          <t>szénszűrő</t>
        </is>
      </c>
      <c r="C10" s="5" t="n">
        <v>170</v>
      </c>
      <c r="D10" s="4" t="inlineStr">
        <is>
          <t>Szoros</t>
        </is>
      </c>
      <c r="E10" s="4" t="inlineStr">
        <is>
          <t>Igen</t>
        </is>
      </c>
      <c r="F10" s="4" t="inlineStr">
        <is>
          <t>Szagszűrés a termesztőtérből elszívott levegőből – aktív szénszűrő, előszűrő, utántöltő szén</t>
        </is>
      </c>
      <c r="G10" s="4" t="inlineStr">
        <is>
          <t>SEO title / H1 / bevezető (másodlagos)</t>
        </is>
      </c>
    </row>
    <row r="11">
      <c r="A11" s="9" t="n">
        <v>5</v>
      </c>
      <c r="B11" s="9" t="inlineStr">
        <is>
          <t>páraelszívó szénszűrő</t>
        </is>
      </c>
      <c r="C11" s="20" t="n">
        <v>170</v>
      </c>
      <c r="D11" s="9" t="inlineStr">
        <is>
          <t>Laza</t>
        </is>
      </c>
      <c r="E11" s="9" t="inlineStr">
        <is>
          <t>Nem</t>
        </is>
      </c>
      <c r="F11" s="9" t="inlineStr">
        <is>
          <t>Szagszűrés a termesztőtérből elszívott levegőből – aktív szénszűrő, előszűrő, utántöltő szén</t>
        </is>
      </c>
      <c r="G11" s="9" t="inlineStr">
        <is>
          <t>Nem célozni külön oldallal (max. említés)</t>
        </is>
      </c>
    </row>
    <row r="12">
      <c r="A12" s="4" t="n">
        <v>6</v>
      </c>
      <c r="B12" s="4" t="inlineStr">
        <is>
          <t>aktívszén szűrő</t>
        </is>
      </c>
      <c r="C12" s="5" t="n">
        <v>140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Szagszűrés a termesztőtérből elszívott levegőből – aktív szénszűrő, előszűrő, utántöltő szén</t>
        </is>
      </c>
      <c r="G12" s="4" t="inlineStr">
        <is>
          <t>SEO title / H1 / bevezető (másodlagos)</t>
        </is>
      </c>
    </row>
    <row r="13">
      <c r="A13" s="8" t="n">
        <v>7</v>
      </c>
      <c r="B13" s="8" t="inlineStr">
        <is>
          <t>aktív szén szűrőbetét</t>
        </is>
      </c>
      <c r="C13" s="19" t="n">
        <v>140</v>
      </c>
      <c r="D13" s="8" t="inlineStr">
        <is>
          <t>Laza</t>
        </is>
      </c>
      <c r="E13" s="8" t="inlineStr">
        <is>
          <t>Igen</t>
        </is>
      </c>
      <c r="F13" s="8" t="inlineStr">
        <is>
          <t>Szagszűrés a termesztőtérből elszívott levegőből – aktív szénszűrő, előszűrő, utántöltő szén</t>
        </is>
      </c>
      <c r="G13" s="8" t="inlineStr">
        <is>
          <t>Kategórialeírás (természetes említés)</t>
        </is>
      </c>
    </row>
    <row r="14">
      <c r="A14" s="8" t="n">
        <v>8</v>
      </c>
      <c r="B14" s="8" t="inlineStr">
        <is>
          <t>aktívszén szűrőbetét</t>
        </is>
      </c>
      <c r="C14" s="19" t="n">
        <v>140</v>
      </c>
      <c r="D14" s="8" t="inlineStr">
        <is>
          <t>Laza</t>
        </is>
      </c>
      <c r="E14" s="8" t="inlineStr">
        <is>
          <t>Igen</t>
        </is>
      </c>
      <c r="F14" s="8" t="inlineStr">
        <is>
          <t>Szagszűrés a termesztőtérből elszívott levegőből – aktív szénszűrő, előszűrő, utántöltő szén</t>
        </is>
      </c>
      <c r="G14" s="8" t="inlineStr">
        <is>
          <t>Kategórialeírás (természetes említés)</t>
        </is>
      </c>
    </row>
    <row r="15">
      <c r="A15" s="9" t="n">
        <v>9</v>
      </c>
      <c r="B15" s="9" t="inlineStr">
        <is>
          <t>szagelszívó szűrő</t>
        </is>
      </c>
      <c r="C15" s="20" t="n">
        <v>140</v>
      </c>
      <c r="D15" s="9" t="inlineStr">
        <is>
          <t>Laza</t>
        </is>
      </c>
      <c r="E15" s="9" t="inlineStr">
        <is>
          <t>Nem</t>
        </is>
      </c>
      <c r="F15" s="9" t="inlineStr">
        <is>
          <t>Szagszűrés a termesztőtérből elszívott levegőből – aktív szénszűrő, előszűrő, utántöltő szén</t>
        </is>
      </c>
      <c r="G15" s="9" t="inlineStr">
        <is>
          <t>Nem célozni külön oldallal (max. említés)</t>
        </is>
      </c>
    </row>
    <row r="16">
      <c r="A16" s="9" t="n">
        <v>10</v>
      </c>
      <c r="B16" s="9" t="inlineStr">
        <is>
          <t>szagelszívó szénszűrő</t>
        </is>
      </c>
      <c r="C16" s="20" t="n">
        <v>140</v>
      </c>
      <c r="D16" s="9" t="inlineStr">
        <is>
          <t>Laza</t>
        </is>
      </c>
      <c r="E16" s="9" t="inlineStr">
        <is>
          <t>Nem</t>
        </is>
      </c>
      <c r="F16" s="9" t="inlineStr">
        <is>
          <t>Szagszűrés a termesztőtérből elszívott levegőből – aktív szénszűrő, előszűrő, utántöltő szén</t>
        </is>
      </c>
      <c r="G16" s="9" t="inlineStr">
        <is>
          <t>Nem célozni külön oldallal (max. említés)</t>
        </is>
      </c>
    </row>
    <row r="17">
      <c r="A17" s="4" t="n">
        <v>11</v>
      </c>
      <c r="B17" s="4" t="inlineStr">
        <is>
          <t>aktív szenes szűrő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Szagszűrés a termesztőtérből elszívott levegőből – aktív szénszűrő, előszűrő, utántöltő szén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aktív szén szűrő filter</t>
        </is>
      </c>
      <c r="C18" s="5" t="n">
        <v>50</v>
      </c>
      <c r="D18" s="4" t="inlineStr">
        <is>
          <t>Szoros</t>
        </is>
      </c>
      <c r="E18" s="4" t="inlineStr">
        <is>
          <t>Igen</t>
        </is>
      </c>
      <c r="F18" s="4" t="inlineStr">
        <is>
          <t>Szagszűrés a termesztőtérből elszívott levegőből – aktív szénszűrő, előszűrő, utántöltő szén</t>
        </is>
      </c>
      <c r="G18" s="4" t="inlineStr">
        <is>
          <t>Kategórialeírás (természetes említés)</t>
        </is>
      </c>
    </row>
    <row r="19">
      <c r="A19" s="9" t="n">
        <v>13</v>
      </c>
      <c r="B19" s="9" t="inlineStr">
        <is>
          <t>szénszűrős szagelszívó</t>
        </is>
      </c>
      <c r="C19" s="20" t="n">
        <v>50</v>
      </c>
      <c r="D19" s="9" t="inlineStr">
        <is>
          <t>Laza</t>
        </is>
      </c>
      <c r="E19" s="9" t="inlineStr">
        <is>
          <t>Nem</t>
        </is>
      </c>
      <c r="F19" s="9" t="inlineStr">
        <is>
          <t>Szagszűrés a termesztőtérből elszívott levegőből – aktív szénszűrő, előszűrő, utántöltő szén</t>
        </is>
      </c>
      <c r="G19" s="9" t="inlineStr">
        <is>
          <t>Nem célozni külön oldallal (max. említés)</t>
        </is>
      </c>
    </row>
    <row r="20">
      <c r="A20" s="8" t="n">
        <v>14</v>
      </c>
      <c r="B20" s="8" t="inlineStr">
        <is>
          <t>aktívszenes légtisztító</t>
        </is>
      </c>
      <c r="C20" s="19" t="n">
        <v>30</v>
      </c>
      <c r="D20" s="8" t="inlineStr">
        <is>
          <t>Laza</t>
        </is>
      </c>
      <c r="E20" s="8" t="inlineStr">
        <is>
          <t>Igen</t>
        </is>
      </c>
      <c r="F20" s="8" t="inlineStr">
        <is>
          <t>Szagszűrés a termesztőtérből elszívott levegőből – aktív szénszűrő, előszűrő, utántöltő szén</t>
        </is>
      </c>
      <c r="G20" s="8" t="inlineStr">
        <is>
          <t>Kategórialeírás (természetes említés)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64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GRO1044</t>
        </is>
      </c>
      <c r="C25" s="4" t="inlineStr">
        <is>
          <t>Can Filters Can-Lite 1500 aktív szénszűrő acél házzal, 1500 m3/h, 250 mm szűrővég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Aktív szénszűrő (Can-Lite, Can Original, Can-Inline, Prima Klima, DF16, AC Infinity…)</t>
        </is>
      </c>
    </row>
    <row r="26">
      <c r="A26" s="4" t="n">
        <v>2</v>
      </c>
      <c r="B26" s="4" t="inlineStr">
        <is>
          <t>GRO1075</t>
        </is>
      </c>
      <c r="C26" s="4" t="inlineStr">
        <is>
          <t>Can Filters Can-Lite 2500 aktív szénszűrő acél házzal, 2500 m3/h, 250 mm szűrővég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Aktív szénszűrő (Can-Lite, Can Original, Can-Inline, Prima Klima, DF16, AC Infinity…)</t>
        </is>
      </c>
    </row>
    <row r="27">
      <c r="A27" s="4" t="n">
        <v>3</v>
      </c>
      <c r="B27" s="4" t="inlineStr">
        <is>
          <t>GRO1077</t>
        </is>
      </c>
      <c r="C27" s="4" t="inlineStr">
        <is>
          <t>Can Filters Can-Lite 1000 aktív szénszűrő acél házzal, 1000 m3/h, 250 mm szűrővég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Aktív szénszűrő (Can-Lite, Can Original, Can-Inline, Prima Klima, DF16, AC Infinity…)</t>
        </is>
      </c>
    </row>
    <row r="28">
      <c r="A28" s="4" t="n">
        <v>4</v>
      </c>
      <c r="B28" s="4" t="inlineStr">
        <is>
          <t>GRO1078</t>
        </is>
      </c>
      <c r="C28" s="4" t="inlineStr">
        <is>
          <t>Can Filters Can-Lite 600 aktív szénszűrő acél házzal, 600 m3/h, 150 mm szűrővég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Aktív szénszűrő (Can-Lite, Can Original, Can-Inline, Prima Klima, DF16, AC Infinity…)</t>
        </is>
      </c>
    </row>
    <row r="29">
      <c r="A29" s="4" t="n">
        <v>5</v>
      </c>
      <c r="B29" s="4" t="inlineStr">
        <is>
          <t>GRO1079</t>
        </is>
      </c>
      <c r="C29" s="4" t="inlineStr">
        <is>
          <t>Can Filters Can-Lite 300 aktív szénszűrő műanyag házzal, 300 m3/h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Aktív szénszűrő (Can-Lite, Can Original, Can-Inline, Prima Klima, DF16, AC Infinity…)</t>
        </is>
      </c>
    </row>
    <row r="30">
      <c r="A30" s="4" t="n">
        <v>6</v>
      </c>
      <c r="B30" s="4" t="inlineStr">
        <is>
          <t>GRO1080</t>
        </is>
      </c>
      <c r="C30" s="4" t="inlineStr">
        <is>
          <t>Can Filters Can-Lite 150 aktív szénszűrő műanyag házzal, 150 m3/h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Aktív szénszűrő (Can-Lite, Can Original, Can-Inline, Prima Klima, DF16, AC Infinity…)</t>
        </is>
      </c>
    </row>
    <row r="31">
      <c r="A31" s="4" t="n">
        <v>7</v>
      </c>
      <c r="B31" s="4" t="inlineStr">
        <is>
          <t>GRO1081</t>
        </is>
      </c>
      <c r="C31" s="4" t="inlineStr">
        <is>
          <t>Can Filters Can-Lite 425 aktív szénszűrő műanyag házzal, 425 m3/h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Aktív szénszűrő (Can-Lite, Can Original, Can-Inline, Prima Klima, DF16, AC Infinity…)</t>
        </is>
      </c>
    </row>
    <row r="32">
      <c r="A32" s="4" t="n">
        <v>8</v>
      </c>
      <c r="B32" s="4" t="inlineStr">
        <is>
          <t>GRO1663</t>
        </is>
      </c>
      <c r="C32" s="4" t="inlineStr">
        <is>
          <t>Can Filters Can-Lite 3000 aktív szénszűrő acél házzal, 3000 m3/h, 315 mm szűrővég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Aktív szénszűrő (Can-Lite, Can Original, Can-Inline, Prima Klima, DF16, AC Infinity…)</t>
        </is>
      </c>
    </row>
    <row r="33">
      <c r="A33" s="4" t="n">
        <v>9</v>
      </c>
      <c r="B33" s="4" t="inlineStr">
        <is>
          <t>GRO2182</t>
        </is>
      </c>
      <c r="C33" s="4" t="inlineStr">
        <is>
          <t>Can Filters Can-Lite műanyag szűrővég 100 mm, Can-Lite 150, 300 és 425 szénszűrőhöz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Aktív szénszűrő (Can-Lite, Can Original, Can-Inline, Prima Klima, DF16, AC Infinity…)</t>
        </is>
      </c>
    </row>
    <row r="34">
      <c r="A34" s="4" t="n">
        <v>10</v>
      </c>
      <c r="B34" s="4" t="inlineStr">
        <is>
          <t>GRO2220</t>
        </is>
      </c>
      <c r="C34" s="4" t="inlineStr">
        <is>
          <t>Can Filters Can-Lite műanyag szűrővég 125 mm, Can-Lite 150, 300 és 425 szénszűrőhöz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Aktív szénszűrő (Can-Lite, Can Original, Can-Inline, Prima Klima, DF16, AC Infinity…)</t>
        </is>
      </c>
    </row>
    <row r="35">
      <c r="A35" s="4" t="n">
        <v>11</v>
      </c>
      <c r="B35" s="4" t="inlineStr">
        <is>
          <t>GRO2921</t>
        </is>
      </c>
      <c r="C35" s="4" t="inlineStr">
        <is>
          <t>Can Filters Can-Lite 800 aktív szénszűrő acél házzal, 800 m3/h, 200 mm szűrővég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Aktív szénszűrő (Can-Lite, Can Original, Can-Inline, Prima Klima, DF16, AC Infinity…)</t>
        </is>
      </c>
    </row>
    <row r="36">
      <c r="A36" s="4" t="n">
        <v>12</v>
      </c>
      <c r="B36" s="4" t="inlineStr">
        <is>
          <t>GRO3211</t>
        </is>
      </c>
      <c r="C36" s="4" t="inlineStr">
        <is>
          <t>CAN Original aktív szénszűrő CF 2100 m3/h, 250 mm szűrővég, pelletált szénnel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Előszűrő, utántöltő szénpellet</t>
        </is>
      </c>
    </row>
    <row r="37">
      <c r="A37" s="4" t="n">
        <v>13</v>
      </c>
      <c r="B37" s="4" t="inlineStr">
        <is>
          <t>GRO3214</t>
        </is>
      </c>
      <c r="C37" s="4" t="inlineStr">
        <is>
          <t>CAN Original aktív szénszűrő CF 700 m3/h, 150 mm szűrővég, pelletált szénnel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Előszűrő, utántöltő szénpellet</t>
        </is>
      </c>
    </row>
    <row r="38">
      <c r="A38" s="4" t="n">
        <v>14</v>
      </c>
      <c r="B38" s="4" t="inlineStr">
        <is>
          <t>GRO3247</t>
        </is>
      </c>
      <c r="C38" s="4" t="inlineStr">
        <is>
          <t>Can Filters Can-Lite 1000 aktív szénszűrő acél házzal, 1000 m3/h, 200 mm szűrővég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Aktív szénszűrő (Can-Lite, Can Original, Can-Inline, Prima Klima, DF16, AC Infinity…)</t>
        </is>
      </c>
    </row>
    <row r="39">
      <c r="A39" s="4" t="n">
        <v>15</v>
      </c>
      <c r="B39" s="4" t="inlineStr">
        <is>
          <t>GRO3248</t>
        </is>
      </c>
      <c r="C39" s="4" t="inlineStr">
        <is>
          <t>Can Filter Can Lite Szénszűrő (acél) 800 m3/h szűrővég: 160 mm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Aktív szénszűrő (Can-Lite, Can Original, Can-Inline, Prima Klima, DF16, AC Infinity…)</t>
        </is>
      </c>
    </row>
    <row r="40">
      <c r="A40" s="4" t="n">
        <v>16</v>
      </c>
      <c r="B40" s="4" t="inlineStr">
        <is>
          <t>GRO3249</t>
        </is>
      </c>
      <c r="C40" s="4" t="inlineStr">
        <is>
          <t>Can Filters Can-Lite 600 aktív szénszűrő acél házzal, 600 m3/h, 160 mm szűrővég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Aktív szénszűrő (Can-Lite, Can Original, Can-Inline, Prima Klima, DF16, AC Infinity…)</t>
        </is>
      </c>
    </row>
    <row r="41">
      <c r="A41" s="4" t="n">
        <v>17</v>
      </c>
      <c r="B41" s="4" t="inlineStr">
        <is>
          <t>GRO3276</t>
        </is>
      </c>
      <c r="C41" s="4" t="inlineStr">
        <is>
          <t>CAN Original Prémium Szénszűrő CF 350 m3/h, vég: 150 mm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Aktív szénszűrő (Can-Lite, Can Original, Can-Inline, Prima Klima, DF16, AC Infinity…)</t>
        </is>
      </c>
    </row>
    <row r="42">
      <c r="A42" s="4" t="n">
        <v>18</v>
      </c>
      <c r="B42" s="4" t="inlineStr">
        <is>
          <t>GRO3353</t>
        </is>
      </c>
      <c r="C42" s="4" t="inlineStr">
        <is>
          <t>Can Filter Can Lite Szénszűrő (acél) 425 m3/h szűrővég: 160 mm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Aktív szénszűrő (Can-Lite, Can Original, Can-Inline, Prima Klima, DF16, AC Infinity…)</t>
        </is>
      </c>
    </row>
    <row r="43">
      <c r="A43" s="4" t="n">
        <v>19</v>
      </c>
      <c r="B43" s="4" t="inlineStr">
        <is>
          <t>GRO3413</t>
        </is>
      </c>
      <c r="C43" s="4" t="inlineStr">
        <is>
          <t>Can Filters Can-Inline Szénszűrő Can-Inline 300 / 100 mm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Aktív szénszűrő (Can-Lite, Can Original, Can-Inline, Prima Klima, DF16, AC Infinity…)</t>
        </is>
      </c>
    </row>
    <row r="44">
      <c r="A44" s="4" t="n">
        <v>20</v>
      </c>
      <c r="B44" s="4" t="inlineStr">
        <is>
          <t>GRO3414</t>
        </is>
      </c>
      <c r="C44" s="4" t="inlineStr">
        <is>
          <t>Can Filters Can-Inline Szénszűrő 425 m3/h / 125 mm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Aktív szénszűrő (Can-Lite, Can Original, Can-Inline, Prima Klima, DF16, AC Infinity…)</t>
        </is>
      </c>
    </row>
    <row r="45">
      <c r="A45" s="4" t="n">
        <v>21</v>
      </c>
      <c r="B45" s="4" t="inlineStr">
        <is>
          <t>GRO3416</t>
        </is>
      </c>
      <c r="C45" s="4" t="inlineStr">
        <is>
          <t>Can Filters Can-Inline Szénszűrő 1000m3/h / 200 mm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Aktív szénszűrő (Can-Lite, Can Original, Can-Inline, Prima Klima, DF16, AC Infinity…)</t>
        </is>
      </c>
    </row>
    <row r="46">
      <c r="A46" s="4" t="n">
        <v>22</v>
      </c>
      <c r="B46" s="4" t="inlineStr">
        <is>
          <t>GRO3417</t>
        </is>
      </c>
      <c r="C46" s="4" t="inlineStr">
        <is>
          <t>Can Lite Pre filter előszűrő (szénszűrőhöz) 150 m3/h (műanyag házú szűrőhöz)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Előszűrő, utántöltő szénpellet</t>
        </is>
      </c>
    </row>
    <row r="47">
      <c r="A47" s="4" t="n">
        <v>23</v>
      </c>
      <c r="B47" s="4" t="inlineStr">
        <is>
          <t>GRO3418</t>
        </is>
      </c>
      <c r="C47" s="4" t="inlineStr">
        <is>
          <t>Can Lite Pre filter előszűrő (szénszűrőhöz) 300 m3/h (műanyag házú szűrőhöz)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Előszűrő, utántöltő szénpellet</t>
        </is>
      </c>
    </row>
    <row r="48">
      <c r="A48" s="4" t="n">
        <v>24</v>
      </c>
      <c r="B48" s="4" t="inlineStr">
        <is>
          <t>GRO3419</t>
        </is>
      </c>
      <c r="C48" s="4" t="inlineStr">
        <is>
          <t>Can Lite Pre filter előszűrő (szénszűrőhöz) 425 m3/h (műanyag házú szűrőhöz)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Előszűrő, utántöltő szénpellet</t>
        </is>
      </c>
    </row>
    <row r="49">
      <c r="A49" s="4" t="n">
        <v>25</v>
      </c>
      <c r="B49" s="4" t="inlineStr">
        <is>
          <t>GRO3425</t>
        </is>
      </c>
      <c r="C49" s="4" t="inlineStr">
        <is>
          <t>Can Lite Pre filter előszűrő (szénszűrőhöz) 2000 m3/h (acél házú szűrőhöz)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Előszűrő, utántöltő szénpellet</t>
        </is>
      </c>
    </row>
    <row r="50">
      <c r="A50" s="4" t="n">
        <v>26</v>
      </c>
      <c r="B50" s="4" t="inlineStr">
        <is>
          <t>GRO3487</t>
        </is>
      </c>
      <c r="C50" s="4" t="inlineStr">
        <is>
          <t>CKV3 szén pellet (Can Filter Original aktív szénszűrőhöz) 25 kg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Előszűrő, utántöltő szénpellet</t>
        </is>
      </c>
    </row>
    <row r="51">
      <c r="A51" s="4" t="n">
        <v>27</v>
      </c>
      <c r="B51" s="4" t="inlineStr">
        <is>
          <t>GRO3532</t>
        </is>
      </c>
      <c r="C51" s="4" t="inlineStr">
        <is>
          <t>Can-Filter Original Prémium Szénszűrő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Aktív szénszűrő (Can-Lite, Can Original, Can-Inline, Prima Klima, DF16, AC Infinity…)</t>
        </is>
      </c>
    </row>
    <row r="52">
      <c r="A52" s="4" t="n">
        <v>28</v>
      </c>
      <c r="B52" s="4" t="inlineStr">
        <is>
          <t>GRO3533</t>
        </is>
      </c>
      <c r="C52" s="4" t="inlineStr">
        <is>
          <t>Can-Filters Original Szénszűrő d: 160 mm 700 m3/h L: 50 cm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Aktív szénszűrő (Can-Lite, Can Original, Can-Inline, Prima Klima, DF16, AC Infinity…)</t>
        </is>
      </c>
    </row>
    <row r="53">
      <c r="A53" s="4" t="n">
        <v>29</v>
      </c>
      <c r="B53" s="4" t="inlineStr">
        <is>
          <t>GRO3534</t>
        </is>
      </c>
      <c r="C53" s="4" t="inlineStr">
        <is>
          <t>CAN Original Prémium Szénszűrő CF 350 m3/h, vég: 160 mm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Aktív szénszűrő (Can-Lite, Can Original, Can-Inline, Prima Klima, DF16, AC Infinity…)</t>
        </is>
      </c>
    </row>
    <row r="54">
      <c r="A54" s="4" t="n">
        <v>30</v>
      </c>
      <c r="B54" s="4" t="inlineStr">
        <is>
          <t>GRO3535</t>
        </is>
      </c>
      <c r="C54" s="4" t="inlineStr">
        <is>
          <t>CAN Original Prémium Szénszűrő CF 250 m3/h, vég: 125 mm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Aktív szénszűrő (Can-Lite, Can Original, Can-Inline, Prima Klima, DF16, AC Infinity…)</t>
        </is>
      </c>
    </row>
    <row r="55">
      <c r="A55" s="4" t="n">
        <v>31</v>
      </c>
      <c r="B55" s="4" t="inlineStr">
        <is>
          <t>GRO3536</t>
        </is>
      </c>
      <c r="C55" s="4" t="inlineStr">
        <is>
          <t>CAN Original Premium Szénszűrő CF 150 m3/h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Aktív szénszűrő (Can-Lite, Can Original, Can-Inline, Prima Klima, DF16, AC Infinity…)</t>
        </is>
      </c>
    </row>
    <row r="56">
      <c r="A56" s="4" t="n">
        <v>32</v>
      </c>
      <c r="B56" s="4" t="inlineStr">
        <is>
          <t>GRO3548</t>
        </is>
      </c>
      <c r="C56" s="4" t="inlineStr">
        <is>
          <t>Can Filter Can Lite Szénszűrő (acél) 1500 m3/h szűrővég: 200 mm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Aktív szénszűrő (Can-Lite, Can Original, Can-Inline, Prima Klima, DF16, AC Infinity…)</t>
        </is>
      </c>
    </row>
    <row r="57">
      <c r="A57" s="4" t="n">
        <v>33</v>
      </c>
      <c r="B57" s="4" t="inlineStr">
        <is>
          <t>GRO3612</t>
        </is>
      </c>
      <c r="C57" s="4" t="inlineStr">
        <is>
          <t>Secret Jardin DF16 szénszűrő 150 m3/óra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Aktív szénszűrő (Can-Lite, Can Original, Can-Inline, Prima Klima, DF16, AC Infinity…)</t>
        </is>
      </c>
    </row>
    <row r="58">
      <c r="A58" s="4" t="n">
        <v>34</v>
      </c>
      <c r="B58" s="4" t="inlineStr">
        <is>
          <t>GRO3614</t>
        </is>
      </c>
      <c r="C58" s="4" t="inlineStr">
        <is>
          <t>Secret Jardin DF16 szénszűrő 350 m3/óra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Aktív szénszűrő (Can-Lite, Can Original, Can-Inline, Prima Klima, DF16, AC Infinity…)</t>
        </is>
      </c>
    </row>
    <row r="59">
      <c r="A59" s="4" t="n">
        <v>35</v>
      </c>
      <c r="B59" s="4" t="inlineStr">
        <is>
          <t>GRO3618</t>
        </is>
      </c>
      <c r="C59" s="4" t="inlineStr">
        <is>
          <t>Prima klima Industry Line szénszűrő Industry Line K1600 d:100mm 280m3/h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Aktív szénszűrő (Can-Lite, Can Original, Can-Inline, Prima Klima, DF16, AC Infinity…)</t>
        </is>
      </c>
    </row>
    <row r="60">
      <c r="A60" s="4" t="n">
        <v>36</v>
      </c>
      <c r="B60" s="4" t="inlineStr">
        <is>
          <t>GRO3619</t>
        </is>
      </c>
      <c r="C60" s="4" t="inlineStr">
        <is>
          <t>Prima klima Industry Line szénszűrő Industry Line K1602 d:125mm 280m3/h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Aktív szénszűrő (Can-Lite, Can Original, Can-Inline, Prima Klima, DF16, AC Infinity…)</t>
        </is>
      </c>
    </row>
    <row r="61">
      <c r="A61" s="4" t="n">
        <v>37</v>
      </c>
      <c r="B61" s="4" t="inlineStr">
        <is>
          <t>GRO3620</t>
        </is>
      </c>
      <c r="C61" s="4" t="inlineStr">
        <is>
          <t>Prima klima Industry Line szénszűrő Industry Line K1603 d:125mm 460m3/h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Aktív szénszűrő (Can-Lite, Can Original, Can-Inline, Prima Klima, DF16, AC Infinity…)</t>
        </is>
      </c>
    </row>
    <row r="62">
      <c r="A62" s="4" t="n">
        <v>38</v>
      </c>
      <c r="B62" s="4" t="inlineStr">
        <is>
          <t>GRO3621</t>
        </is>
      </c>
      <c r="C62" s="4" t="inlineStr">
        <is>
          <t>Prima klima Industry Line szénszűrő Industry Line K1604 d:125mm 700m3/h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Aktív szénszűrő (Can-Lite, Can Original, Can-Inline, Prima Klima, DF16, AC Infinity…)</t>
        </is>
      </c>
    </row>
    <row r="63">
      <c r="A63" s="4" t="n">
        <v>39</v>
      </c>
      <c r="B63" s="4" t="inlineStr">
        <is>
          <t>GRO3622</t>
        </is>
      </c>
      <c r="C63" s="4" t="inlineStr">
        <is>
          <t>Prima klima Industry Line szénszűrő Industry Line K1605 d:150mm 680m3/h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Aktív szénszűrő (Can-Lite, Can Original, Can-Inline, Prima Klima, DF16, AC Infinity…)</t>
        </is>
      </c>
    </row>
    <row r="64">
      <c r="A64" s="4" t="n">
        <v>40</v>
      </c>
      <c r="B64" s="4" t="inlineStr">
        <is>
          <t>GRO3623</t>
        </is>
      </c>
      <c r="C64" s="4" t="inlineStr">
        <is>
          <t>Prima klima Industry Line szénszűrő Industry Line K1606 d:150mm 1080m3/h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Aktív szénszűrő (Can-Lite, Can Original, Can-Inline, Prima Klima, DF16, AC Infinity…)</t>
        </is>
      </c>
    </row>
    <row r="65">
      <c r="A65" s="4" t="n">
        <v>41</v>
      </c>
      <c r="B65" s="4" t="inlineStr">
        <is>
          <t>GRO3624</t>
        </is>
      </c>
      <c r="C65" s="4" t="inlineStr">
        <is>
          <t>Prima klima Industry Line szénszűrő Industry Line K1607 d:160mm 720m3/h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Aktív szénszűrő (Can-Lite, Can Original, Can-Inline, Prima Klima, DF16, AC Infinity…)</t>
        </is>
      </c>
    </row>
    <row r="66">
      <c r="A66" s="4" t="n">
        <v>42</v>
      </c>
      <c r="B66" s="4" t="inlineStr">
        <is>
          <t>GRO3626</t>
        </is>
      </c>
      <c r="C66" s="4" t="inlineStr">
        <is>
          <t>Prima klima Industry Line szénszűrő Industry Line K1609 d:200mm 1090m3/h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Aktív szénszűrő (Can-Lite, Can Original, Can-Inline, Prima Klima, DF16, AC Infinity…)</t>
        </is>
      </c>
    </row>
    <row r="67">
      <c r="A67" s="4" t="n">
        <v>43</v>
      </c>
      <c r="B67" s="4" t="inlineStr">
        <is>
          <t>GRO3628</t>
        </is>
      </c>
      <c r="C67" s="4" t="inlineStr">
        <is>
          <t>Prima klima Industry Line szénszűrő Industry Line K1611 d:250mm 1800m3/h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Aktív szénszűrő (Can-Lite, Can Original, Can-Inline, Prima Klima, DF16, AC Infinity…)</t>
        </is>
      </c>
    </row>
    <row r="68">
      <c r="A68" s="4" t="n">
        <v>44</v>
      </c>
      <c r="B68" s="4" t="inlineStr">
        <is>
          <t>GRO3630</t>
        </is>
      </c>
      <c r="C68" s="4" t="inlineStr">
        <is>
          <t>Prima klima Ecoline szénszűrő K2600-100 d:100mm 360m3/h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Aktív szénszűrő (Can-Lite, Can Original, Can-Inline, Prima Klima, DF16, AC Infinity…)</t>
        </is>
      </c>
    </row>
    <row r="69">
      <c r="A69" s="4" t="n">
        <v>45</v>
      </c>
      <c r="B69" s="4" t="inlineStr">
        <is>
          <t>GRO3631</t>
        </is>
      </c>
      <c r="C69" s="4" t="inlineStr">
        <is>
          <t>Prima klima Ecoline szénszűrő K2600-125 d:125mm 360m3/h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Aktív szénszűrő (Can-Lite, Can Original, Can-Inline, Prima Klima, DF16, AC Infinity…)</t>
        </is>
      </c>
    </row>
    <row r="70">
      <c r="A70" s="4" t="n">
        <v>46</v>
      </c>
      <c r="B70" s="4" t="inlineStr">
        <is>
          <t>GRO3632</t>
        </is>
      </c>
      <c r="C70" s="4" t="inlineStr">
        <is>
          <t>Prima klima Ecoline szénszűrő K2601-100 d:100mm 480m3/h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Aktív szénszűrő (Can-Lite, Can Original, Can-Inline, Prima Klima, DF16, AC Infinity…)</t>
        </is>
      </c>
    </row>
    <row r="71">
      <c r="A71" s="4" t="n">
        <v>47</v>
      </c>
      <c r="B71" s="4" t="inlineStr">
        <is>
          <t>GRO3633</t>
        </is>
      </c>
      <c r="C71" s="4" t="inlineStr">
        <is>
          <t>Prima klima Ecoline szénszűrő K2601-125 d:125mm 480m3/h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Aktív szénszűrő (Can-Lite, Can Original, Can-Inline, Prima Klima, DF16, AC Infinity…)</t>
        </is>
      </c>
    </row>
    <row r="72">
      <c r="A72" s="4" t="n">
        <v>48</v>
      </c>
      <c r="B72" s="4" t="inlineStr">
        <is>
          <t>GRO3635</t>
        </is>
      </c>
      <c r="C72" s="4" t="inlineStr">
        <is>
          <t>Prima klima Ecoline szénszűrő K2603-160 d:160mm 900m3/h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Aktív szénszűrő (Can-Lite, Can Original, Can-Inline, Prima Klima, DF16, AC Infinity…)</t>
        </is>
      </c>
    </row>
    <row r="73">
      <c r="A73" s="4" t="n">
        <v>49</v>
      </c>
      <c r="B73" s="4" t="inlineStr">
        <is>
          <t>GRO3812</t>
        </is>
      </c>
      <c r="C73" s="4" t="inlineStr">
        <is>
          <t>Secret Jardin DF16 szénszűrő 100 m3/óra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Aktív szénszűrő (Can-Lite, Can Original, Can-Inline, Prima Klima, DF16, AC Infinity…)</t>
        </is>
      </c>
    </row>
    <row r="74">
      <c r="A74" s="4" t="n">
        <v>50</v>
      </c>
      <c r="B74" s="4" t="inlineStr">
        <is>
          <t>GRO3946</t>
        </is>
      </c>
      <c r="C74" s="4" t="inlineStr">
        <is>
          <t>Prima Klima Industry Line K1600 280 m3/h Pre Filter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Előszűrő, utántöltő szénpellet</t>
        </is>
      </c>
    </row>
    <row r="75">
      <c r="A75" s="4" t="n">
        <v>51</v>
      </c>
      <c r="B75" s="4" t="inlineStr">
        <is>
          <t>GRO3948</t>
        </is>
      </c>
      <c r="C75" s="4" t="inlineStr">
        <is>
          <t>Prima Klima Industry Line K1603 460 m3/h Pre Filter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Előszűrő, utántöltő szénpellet</t>
        </is>
      </c>
    </row>
    <row r="76">
      <c r="A76" s="4" t="n">
        <v>52</v>
      </c>
      <c r="B76" s="4" t="inlineStr">
        <is>
          <t>GRO3949</t>
        </is>
      </c>
      <c r="C76" s="4" t="inlineStr">
        <is>
          <t>Prima Klima Industry Line K1604 700 m3/h Pre Filter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Előszűrő, utántöltő szénpellet</t>
        </is>
      </c>
    </row>
    <row r="77">
      <c r="A77" s="4" t="n">
        <v>53</v>
      </c>
      <c r="B77" s="4" t="inlineStr">
        <is>
          <t>GRO3953</t>
        </is>
      </c>
      <c r="C77" s="4" t="inlineStr">
        <is>
          <t>Prima Klima Industry Line K1610 1650 m3/h Pre Filter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Előszűrő, utántöltő szénpellet</t>
        </is>
      </c>
    </row>
    <row r="78">
      <c r="A78" s="4" t="n">
        <v>54</v>
      </c>
      <c r="B78" s="4" t="inlineStr">
        <is>
          <t>GRO4002</t>
        </is>
      </c>
      <c r="C78" s="4" t="inlineStr">
        <is>
          <t>Prima klima K1604-WHSPEC Industry line szénszűrő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Aktív szénszűrő (Can-Lite, Can Original, Can-Inline, Prima Klima, DF16, AC Infinity…)</t>
        </is>
      </c>
    </row>
    <row r="79">
      <c r="A79" s="4" t="n">
        <v>55</v>
      </c>
      <c r="B79" s="4" t="inlineStr">
        <is>
          <t>GRO4037</t>
        </is>
      </c>
      <c r="C79" s="4" t="inlineStr">
        <is>
          <t>Can Filter Can Lite Szénszűrő (acél) 2500 m3/h szűrővég: 200 mm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Aktív szénszűrő (Can-Lite, Can Original, Can-Inline, Prima Klima, DF16, AC Infinity…)</t>
        </is>
      </c>
    </row>
    <row r="80">
      <c r="A80" s="4" t="n">
        <v>56</v>
      </c>
      <c r="B80" s="4" t="inlineStr">
        <is>
          <t>GRO4111</t>
        </is>
      </c>
      <c r="C80" s="4" t="inlineStr">
        <is>
          <t>Prima Klima Industry Line for K1605 680 m3/h Pre Filter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Előszűrő, utántöltő szénpellet</t>
        </is>
      </c>
    </row>
    <row r="81">
      <c r="A81" s="4" t="n">
        <v>57</v>
      </c>
      <c r="B81" s="4" t="inlineStr">
        <is>
          <t>GRO4112</t>
        </is>
      </c>
      <c r="C81" s="4" t="inlineStr">
        <is>
          <t>Prima Klima Industry Line for K1606 1080 m3/h Pre Filter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Előszűrő, utántöltő szénpellet</t>
        </is>
      </c>
    </row>
    <row r="82">
      <c r="A82" s="4" t="n">
        <v>58</v>
      </c>
      <c r="B82" s="4" t="inlineStr">
        <is>
          <t>GRO4214</t>
        </is>
      </c>
      <c r="C82" s="4" t="inlineStr">
        <is>
          <t>Prima Klima Ecoline K2601 480 m3/h Pre Filter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Előszűrő, utántöltő szénpellet</t>
        </is>
      </c>
    </row>
    <row r="83">
      <c r="A83" s="4" t="n">
        <v>59</v>
      </c>
      <c r="B83" s="4" t="inlineStr">
        <is>
          <t>GRO4215</t>
        </is>
      </c>
      <c r="C83" s="4" t="inlineStr">
        <is>
          <t>Prima Klima Industry Line K1614 3600 m3/h Pre Filter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Előszűrő, utántöltő szénpellet</t>
        </is>
      </c>
    </row>
    <row r="84">
      <c r="A84" s="4" t="n">
        <v>60</v>
      </c>
      <c r="B84" s="4" t="inlineStr">
        <is>
          <t>GRO4216</t>
        </is>
      </c>
      <c r="C84" s="4" t="inlineStr">
        <is>
          <t>Prima Klima Industry Line K1612 2700 m3/h Pre Filter</t>
        </is>
      </c>
      <c r="D84" s="4" t="inlineStr">
        <is>
          <t>Elsődleges</t>
        </is>
      </c>
      <c r="E84" s="4" t="inlineStr">
        <is>
          <t>Erős</t>
        </is>
      </c>
      <c r="F84" s="4" t="inlineStr">
        <is>
          <t>Előszűrő, utántöltő szénpellet</t>
        </is>
      </c>
    </row>
    <row r="85">
      <c r="A85" s="4" t="n">
        <v>61</v>
      </c>
      <c r="B85" s="4" t="inlineStr">
        <is>
          <t>GRO4303</t>
        </is>
      </c>
      <c r="C85" s="4" t="inlineStr">
        <is>
          <t>AC Infinity PRO légszűrő rendszer AI+WiFi 150 mm</t>
        </is>
      </c>
      <c r="D85" s="4" t="inlineStr">
        <is>
          <t>Elsődleges</t>
        </is>
      </c>
      <c r="E85" s="4" t="inlineStr">
        <is>
          <t>Erős</t>
        </is>
      </c>
      <c r="F85" s="4" t="inlineStr">
        <is>
          <t>AC Infinity légszűrő rendszer (ventilátor + szénszűrő)</t>
        </is>
      </c>
    </row>
    <row r="86">
      <c r="A86" s="4" t="n">
        <v>62</v>
      </c>
      <c r="B86" s="4" t="inlineStr">
        <is>
          <t>GRO4322</t>
        </is>
      </c>
      <c r="C86" s="4" t="inlineStr">
        <is>
          <t>AC Infinity szénszűrő Australian Charcoal d: 100 mm 357 m3/h</t>
        </is>
      </c>
      <c r="D86" s="4" t="inlineStr">
        <is>
          <t>Elsődleges</t>
        </is>
      </c>
      <c r="E86" s="4" t="inlineStr">
        <is>
          <t>Erős</t>
        </is>
      </c>
      <c r="F86" s="4" t="inlineStr">
        <is>
          <t>Aktív szénszűrő (Can-Lite, Can Original, Can-Inline, Prima Klima, DF16, AC Infinity…)</t>
        </is>
      </c>
    </row>
    <row r="87">
      <c r="A87" s="4" t="n">
        <v>63</v>
      </c>
      <c r="B87" s="4" t="inlineStr">
        <is>
          <t>GRO4323</t>
        </is>
      </c>
      <c r="C87" s="4" t="inlineStr">
        <is>
          <t>AC Infinity szénszűrő Australian Charcoal d: 150 mm 700 m3/h</t>
        </is>
      </c>
      <c r="D87" s="4" t="inlineStr">
        <is>
          <t>Elsődleges</t>
        </is>
      </c>
      <c r="E87" s="4" t="inlineStr">
        <is>
          <t>Erős</t>
        </is>
      </c>
      <c r="F87" s="4" t="inlineStr">
        <is>
          <t>Aktív szénszűrő (Can-Lite, Can Original, Can-Inline, Prima Klima, DF16, AC Infinity…)</t>
        </is>
      </c>
    </row>
    <row r="88">
      <c r="A88" s="4" t="n">
        <v>64</v>
      </c>
      <c r="B88" s="4" t="inlineStr">
        <is>
          <t>GRO4342</t>
        </is>
      </c>
      <c r="C88" s="4" t="inlineStr">
        <is>
          <t>AC Infinity szénszűrő Australian Charcoal d: 200 mm 1308 m3/h</t>
        </is>
      </c>
      <c r="D88" s="4" t="inlineStr">
        <is>
          <t>Elsődleges</t>
        </is>
      </c>
      <c r="E88" s="4" t="inlineStr">
        <is>
          <t>Erős</t>
        </is>
      </c>
      <c r="F88" s="4" t="inlineStr">
        <is>
          <t>Aktív szénszűrő (Can-Lite, Can Original, Can-Inline, Prima Klima, DF16, AC Infinity…)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Légtechnikai cső, idom, bilincs  –  fő kulcsszó: „légtechnika cső”</t>
        </is>
      </c>
    </row>
    <row r="2">
      <c r="A2" s="2" t="inlineStr">
        <is>
          <t>Felhasználási terület: Flexibilis légcsatorna (Aluflex, Sonoflex, Combiflex), idom, bővítő / szűkítő, csőtoldó, visszacsapó szelep, bilincs, ragasztószalag, ventilátor-hangtompító</t>
        </is>
      </c>
    </row>
    <row r="3">
      <c r="A3" s="2" t="inlineStr">
        <is>
          <t>Megjegyzés: A keresők „légtechnika csövet” keresnek (880), nem légcsatornát (320); légtechnikai idom 210, légtechnika idomok 210. A „flexibilis cső” (2400), „visszacsapó szelep” (2400) és „hangtompító” (880) jórészt vízvezeték / autó – LN.</t>
        </is>
      </c>
    </row>
    <row r="4">
      <c r="A4" s="2" t="inlineStr">
        <is>
          <t>Felvett releváns kulcsszavak: 31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légtechnika cső</t>
        </is>
      </c>
      <c r="C7" s="5" t="n">
        <v>880</v>
      </c>
      <c r="D7" s="4" t="inlineStr">
        <is>
          <t>Szoros</t>
        </is>
      </c>
      <c r="E7" s="4" t="inlineStr">
        <is>
          <t>Igen</t>
        </is>
      </c>
      <c r="F7" s="4" t="inlineStr">
        <is>
          <t>Flexibilis légcsatorna (Aluflex, Sonoflex, Combiflex), idom, bővítő / szűkítő, csőtoldó, visszacsapó szelep, bilincs, ragasztószalag, ventilátor-hangtompító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flexibilis cső</t>
        </is>
      </c>
      <c r="C8" s="20" t="n">
        <v>2400</v>
      </c>
      <c r="D8" s="9" t="inlineStr">
        <is>
          <t>Laza</t>
        </is>
      </c>
      <c r="E8" s="9" t="inlineStr">
        <is>
          <t>Nem</t>
        </is>
      </c>
      <c r="F8" s="9" t="inlineStr">
        <is>
          <t>Flexibilis légcsatorna (Aluflex, Sonoflex, Combiflex), idom, bővítő / szűkítő, csőtoldó, visszacsapó szelep, bilincs, ragasztószalag, ventilátor-hangtompító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visszacsapó szelep</t>
        </is>
      </c>
      <c r="C9" s="20" t="n">
        <v>2400</v>
      </c>
      <c r="D9" s="9" t="inlineStr">
        <is>
          <t>Laza</t>
        </is>
      </c>
      <c r="E9" s="9" t="inlineStr">
        <is>
          <t>Nem</t>
        </is>
      </c>
      <c r="F9" s="9" t="inlineStr">
        <is>
          <t>Flexibilis légcsatorna (Aluflex, Sonoflex, Combiflex), idom, bővítő / szűkítő, csőtoldó, visszacsapó szelep, bilincs, ragasztószalag, ventilátor-hangtompító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csőbilincs</t>
        </is>
      </c>
      <c r="C10" s="20" t="n">
        <v>1900</v>
      </c>
      <c r="D10" s="9" t="inlineStr">
        <is>
          <t>Laza</t>
        </is>
      </c>
      <c r="E10" s="9" t="inlineStr">
        <is>
          <t>Nem</t>
        </is>
      </c>
      <c r="F10" s="9" t="inlineStr">
        <is>
          <t>Flexibilis légcsatorna (Aluflex, Sonoflex, Combiflex), idom, bővítő / szűkítő, csőtoldó, visszacsapó szelep, bilincs, ragasztószalag, ventilátor-hangtompító</t>
        </is>
      </c>
      <c r="G10" s="9" t="inlineStr">
        <is>
          <t>Nem célozni külön oldallal (max. említés)</t>
        </is>
      </c>
    </row>
    <row r="11">
      <c r="A11" s="8" t="n">
        <v>5</v>
      </c>
      <c r="B11" s="8" t="inlineStr">
        <is>
          <t>duct tape</t>
        </is>
      </c>
      <c r="C11" s="19" t="n">
        <v>1600</v>
      </c>
      <c r="D11" s="8" t="inlineStr">
        <is>
          <t>Laza</t>
        </is>
      </c>
      <c r="E11" s="8" t="inlineStr">
        <is>
          <t>Igen</t>
        </is>
      </c>
      <c r="F11" s="8" t="inlineStr">
        <is>
          <t>Flexibilis légcsatorna (Aluflex, Sonoflex, Combiflex), idom, bővítő / szűkítő, csőtoldó, visszacsapó szelep, bilincs, ragasztószalag, ventilátor-hangtompító</t>
        </is>
      </c>
      <c r="G11" s="8" t="inlineStr">
        <is>
          <t>Kategórialeírás (természetes említés)</t>
        </is>
      </c>
    </row>
    <row r="12">
      <c r="A12" s="9" t="n">
        <v>6</v>
      </c>
      <c r="B12" s="9" t="inlineStr">
        <is>
          <t>hangtompító</t>
        </is>
      </c>
      <c r="C12" s="20" t="n">
        <v>880</v>
      </c>
      <c r="D12" s="9" t="inlineStr">
        <is>
          <t>Laza</t>
        </is>
      </c>
      <c r="E12" s="9" t="inlineStr">
        <is>
          <t>Nem</t>
        </is>
      </c>
      <c r="F12" s="9" t="inlineStr">
        <is>
          <t>Flexibilis légcsatorna (Aluflex, Sonoflex, Combiflex), idom, bővítő / szűkítő, csőtoldó, visszacsapó szelep, bilincs, ragasztószalag, ventilátor-hangtompító</t>
        </is>
      </c>
      <c r="G12" s="9" t="inlineStr">
        <is>
          <t>Nem célozni külön oldallal (max. említés)</t>
        </is>
      </c>
    </row>
    <row r="13">
      <c r="A13" s="4" t="n">
        <v>7</v>
      </c>
      <c r="B13" s="4" t="inlineStr">
        <is>
          <t>alumínium ragasztószalag</t>
        </is>
      </c>
      <c r="C13" s="5" t="n">
        <v>720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Flexibilis légcsatorna (Aluflex, Sonoflex, Combiflex), idom, bővítő / szűkítő, csőtoldó, visszacsapó szelep, bilincs, ragasztószalag, ventilátor-hangtompító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alu ragasztószalag</t>
        </is>
      </c>
      <c r="C14" s="5" t="n">
        <v>720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Flexibilis légcsatorna (Aluflex, Sonoflex, Combiflex), idom, bővítő / szűkítő, csőtoldó, visszacsapó szelep, bilincs, ragasztószalag, ventilátor-hangtompító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szellőző cső</t>
        </is>
      </c>
      <c r="C15" s="5" t="n">
        <v>390</v>
      </c>
      <c r="D15" s="4" t="inlineStr">
        <is>
          <t>Szoros</t>
        </is>
      </c>
      <c r="E15" s="4" t="inlineStr">
        <is>
          <t>Igen</t>
        </is>
      </c>
      <c r="F15" s="4" t="inlineStr">
        <is>
          <t>Flexibilis légcsatorna (Aluflex, Sonoflex, Combiflex), idom, bővítő / szűkítő, csőtoldó, visszacsapó szelep, bilincs, ragasztószalag, ventilátor-hangtompító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légcsatorna</t>
        </is>
      </c>
      <c r="C16" s="5" t="n">
        <v>320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Flexibilis légcsatorna (Aluflex, Sonoflex, Combiflex), idom, bővítő / szűkítő, csőtoldó, visszacsapó szelep, bilincs, ragasztószalag, ventilátor-hangtompító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légtechnikai idom</t>
        </is>
      </c>
      <c r="C17" s="5" t="n">
        <v>210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Flexibilis légcsatorna (Aluflex, Sonoflex, Combiflex), idom, bővítő / szűkítő, csőtoldó, visszacsapó szelep, bilincs, ragasztószalag, ventilátor-hangtompító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légtechnika idomok</t>
        </is>
      </c>
      <c r="C18" s="5" t="n">
        <v>210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Flexibilis légcsatorna (Aluflex, Sonoflex, Combiflex), idom, bővítő / szűkítő, csőtoldó, visszacsapó szelep, bilincs, ragasztószalag, ventilátor-hangtompító</t>
        </is>
      </c>
      <c r="G18" s="4" t="inlineStr">
        <is>
          <t>SEO title / H1 / bevezető (másodlagos)</t>
        </is>
      </c>
    </row>
    <row r="19">
      <c r="A19" s="4" t="n">
        <v>13</v>
      </c>
      <c r="B19" s="4" t="inlineStr">
        <is>
          <t>szűkítő idom</t>
        </is>
      </c>
      <c r="C19" s="5" t="n">
        <v>90</v>
      </c>
      <c r="D19" s="4" t="inlineStr">
        <is>
          <t>Szoros</t>
        </is>
      </c>
      <c r="E19" s="4" t="inlineStr">
        <is>
          <t>Igen</t>
        </is>
      </c>
      <c r="F19" s="4" t="inlineStr">
        <is>
          <t>Flexibilis légcsatorna (Aluflex, Sonoflex, Combiflex), idom, bővítő / szűkítő, csőtoldó, visszacsapó szelep, bilincs, ragasztószalag, ventilátor-hangtompító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sonoflex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Flexibilis légcsatorna (Aluflex, Sonoflex, Combiflex), idom, bővítő / szűkítő, csőtoldó, visszacsapó szelep, bilincs, ragasztószalag, ventilátor-hangtompító</t>
        </is>
      </c>
      <c r="G20" s="4" t="inlineStr">
        <is>
          <t>Gyártóoldal / szűrő / termékoldal</t>
        </is>
      </c>
    </row>
    <row r="21">
      <c r="A21" s="4" t="n">
        <v>15</v>
      </c>
      <c r="B21" s="4" t="inlineStr">
        <is>
          <t>légcsatorna cső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Flexibilis légcsatorna (Aluflex, Sonoflex, Combiflex), idom, bővítő / szűkítő, csőtoldó, visszacsapó szelep, bilincs, ragasztószalag, ventilátor-hangtompító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légcsatorna idomok</t>
        </is>
      </c>
      <c r="C22" s="5" t="n">
        <v>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Flexibilis légcsatorna (Aluflex, Sonoflex, Combiflex), idom, bővítő / szűkítő, csőtoldó, visszacsapó szelep, bilincs, ragasztószalag, ventilátor-hangtompító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aluflex cső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Flexibilis légcsatorna (Aluflex, Sonoflex, Combiflex), idom, bővítő / szűkítő, csőtoldó, visszacsapó szelep, bilincs, ragasztószalag, ventilátor-hangtompító</t>
        </is>
      </c>
      <c r="G23" s="4" t="inlineStr">
        <is>
          <t>SEO title / H1 / bevezető (másodlagos)</t>
        </is>
      </c>
    </row>
    <row r="24">
      <c r="A24" s="4" t="n">
        <v>18</v>
      </c>
      <c r="B24" s="4" t="inlineStr">
        <is>
          <t>sonoflex cső</t>
        </is>
      </c>
      <c r="C24" s="5" t="n">
        <v>50</v>
      </c>
      <c r="D24" s="4" t="inlineStr">
        <is>
          <t>Szoros</t>
        </is>
      </c>
      <c r="E24" s="4" t="inlineStr">
        <is>
          <t>Igen</t>
        </is>
      </c>
      <c r="F24" s="4" t="inlineStr">
        <is>
          <t>Flexibilis légcsatorna (Aluflex, Sonoflex, Combiflex), idom, bővítő / szűkítő, csőtoldó, visszacsapó szelep, bilincs, ragasztószalag, ventilátor-hangtompító</t>
        </is>
      </c>
      <c r="G24" s="4" t="inlineStr">
        <is>
          <t>Gyártóoldal / szűrő / termékoldal</t>
        </is>
      </c>
    </row>
    <row r="25">
      <c r="A25" s="4" t="n">
        <v>19</v>
      </c>
      <c r="B25" s="4" t="inlineStr">
        <is>
          <t>szellőztető cső</t>
        </is>
      </c>
      <c r="C25" s="5" t="n">
        <v>50</v>
      </c>
      <c r="D25" s="4" t="inlineStr">
        <is>
          <t>Szoros</t>
        </is>
      </c>
      <c r="E25" s="4" t="inlineStr">
        <is>
          <t>Igen</t>
        </is>
      </c>
      <c r="F25" s="4" t="inlineStr">
        <is>
          <t>Flexibilis légcsatorna (Aluflex, Sonoflex, Combiflex), idom, bővítő / szűkítő, csőtoldó, visszacsapó szelep, bilincs, ragasztószalag, ventilátor-hangtompító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flexibilis szellőző cső</t>
        </is>
      </c>
      <c r="C26" s="5" t="n">
        <v>50</v>
      </c>
      <c r="D26" s="4" t="inlineStr">
        <is>
          <t>Szoros</t>
        </is>
      </c>
      <c r="E26" s="4" t="inlineStr">
        <is>
          <t>Igen</t>
        </is>
      </c>
      <c r="F26" s="4" t="inlineStr">
        <is>
          <t>Flexibilis légcsatorna (Aluflex, Sonoflex, Combiflex), idom, bővítő / szűkítő, csőtoldó, visszacsapó szelep, bilincs, ragasztószalag, ventilátor-hangtompító</t>
        </is>
      </c>
      <c r="G26" s="4" t="inlineStr">
        <is>
          <t>Kategórialeírás (természetes említés)</t>
        </is>
      </c>
    </row>
    <row r="27">
      <c r="A27" s="8" t="n">
        <v>21</v>
      </c>
      <c r="B27" s="8" t="inlineStr">
        <is>
          <t>műanyag légcsatorna</t>
        </is>
      </c>
      <c r="C27" s="19" t="n">
        <v>50</v>
      </c>
      <c r="D27" s="8" t="inlineStr">
        <is>
          <t>Laza</t>
        </is>
      </c>
      <c r="E27" s="8" t="inlineStr">
        <is>
          <t>Igen</t>
        </is>
      </c>
      <c r="F27" s="8" t="inlineStr">
        <is>
          <t>Flexibilis légcsatorna (Aluflex, Sonoflex, Combiflex), idom, bővítő / szűkítő, csőtoldó, visszacsapó szelep, bilincs, ragasztószalag, ventilátor-hangtompító</t>
        </is>
      </c>
      <c r="G27" s="8" t="inlineStr">
        <is>
          <t>Kategórialeírás (természetes említés)</t>
        </is>
      </c>
    </row>
    <row r="28">
      <c r="A28" s="4" t="n">
        <v>22</v>
      </c>
      <c r="B28" s="4" t="inlineStr">
        <is>
          <t>flexibilis légcsatorna</t>
        </is>
      </c>
      <c r="C28" s="5" t="n">
        <v>40</v>
      </c>
      <c r="D28" s="4" t="inlineStr">
        <is>
          <t>Szoros</t>
        </is>
      </c>
      <c r="E28" s="4" t="inlineStr">
        <is>
          <t>Igen</t>
        </is>
      </c>
      <c r="F28" s="4" t="inlineStr">
        <is>
          <t>Flexibilis légcsatorna (Aluflex, Sonoflex, Combiflex), idom, bővítő / szűkítő, csőtoldó, visszacsapó szelep, bilincs, ragasztószalag, ventilátor-hangtompító</t>
        </is>
      </c>
      <c r="G28" s="4" t="inlineStr">
        <is>
          <t>SEO title / H1 / bevezető (másodlagos)</t>
        </is>
      </c>
    </row>
    <row r="29">
      <c r="A29" s="4" t="n">
        <v>23</v>
      </c>
      <c r="B29" s="4" t="inlineStr">
        <is>
          <t>flexibilis alumínium cső</t>
        </is>
      </c>
      <c r="C29" s="5" t="n">
        <v>40</v>
      </c>
      <c r="D29" s="4" t="inlineStr">
        <is>
          <t>Szoros</t>
        </is>
      </c>
      <c r="E29" s="4" t="inlineStr">
        <is>
          <t>Igen</t>
        </is>
      </c>
      <c r="F29" s="4" t="inlineStr">
        <is>
          <t>Flexibilis légcsatorna (Aluflex, Sonoflex, Combiflex), idom, bővítő / szűkítő, csőtoldó, visszacsapó szelep, bilincs, ragasztószalag, ventilátor-hangtompító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flexibilis alumínium cső 150 mm</t>
        </is>
      </c>
      <c r="C30" s="5" t="n">
        <v>30</v>
      </c>
      <c r="D30" s="4" t="inlineStr">
        <is>
          <t>Szoros</t>
        </is>
      </c>
      <c r="E30" s="4" t="inlineStr">
        <is>
          <t>Igen</t>
        </is>
      </c>
      <c r="F30" s="4" t="inlineStr">
        <is>
          <t>Flexibilis légcsatorna (Aluflex, Sonoflex, Combiflex), idom, bővítő / szűkítő, csőtoldó, visszacsapó szelep, bilincs, ragasztószalag, ventilátor-hangtompító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aluminium flexibilis cső</t>
        </is>
      </c>
      <c r="C31" s="5" t="n">
        <v>30</v>
      </c>
      <c r="D31" s="4" t="inlineStr">
        <is>
          <t>Szoros</t>
        </is>
      </c>
      <c r="E31" s="4" t="inlineStr">
        <is>
          <t>Igen</t>
        </is>
      </c>
      <c r="F31" s="4" t="inlineStr">
        <is>
          <t>Flexibilis légcsatorna (Aluflex, Sonoflex, Combiflex), idom, bővítő / szűkítő, csőtoldó, visszacsapó szelep, bilincs, ragasztószalag, ventilátor-hangtompító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szigetelt szellőző cső</t>
        </is>
      </c>
      <c r="C32" s="5" t="n">
        <v>30</v>
      </c>
      <c r="D32" s="4" t="inlineStr">
        <is>
          <t>Szoros</t>
        </is>
      </c>
      <c r="E32" s="4" t="inlineStr">
        <is>
          <t>Igen</t>
        </is>
      </c>
      <c r="F32" s="4" t="inlineStr">
        <is>
          <t>Flexibilis légcsatorna (Aluflex, Sonoflex, Combiflex), idom, bővítő / szűkítő, csőtoldó, visszacsapó szelep, bilincs, ragasztószalag, ventilátor-hangtompító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alu flexibilis cső</t>
        </is>
      </c>
      <c r="C33" s="5" t="n">
        <v>20</v>
      </c>
      <c r="D33" s="4" t="inlineStr">
        <is>
          <t>Szoros</t>
        </is>
      </c>
      <c r="E33" s="4" t="inlineStr">
        <is>
          <t>Igen</t>
        </is>
      </c>
      <c r="F33" s="4" t="inlineStr">
        <is>
          <t>Flexibilis légcsatorna (Aluflex, Sonoflex, Combiflex), idom, bővítő / szűkítő, csőtoldó, visszacsapó szelep, bilincs, ragasztószalag, ventilátor-hangtompító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hőszigetelt légcsatorna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Flexibilis légcsatorna (Aluflex, Sonoflex, Combiflex), idom, bővítő / szűkítő, csőtoldó, visszacsapó szelep, bilincs, ragasztószalag, ventilátor-hangtompító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szigetelt légcsatorna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Flexibilis légcsatorna (Aluflex, Sonoflex, Combiflex), idom, bővítő / szűkítő, csőtoldó, visszacsapó szelep, bilincs, ragasztószalag, ventilátor-hangtompító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szellőzőcső idomok</t>
        </is>
      </c>
      <c r="C36" s="5" t="n">
        <v>20</v>
      </c>
      <c r="D36" s="4" t="inlineStr">
        <is>
          <t>Szoros</t>
        </is>
      </c>
      <c r="E36" s="4" t="inlineStr">
        <is>
          <t>Igen</t>
        </is>
      </c>
      <c r="F36" s="4" t="inlineStr">
        <is>
          <t>Flexibilis légcsatorna (Aluflex, Sonoflex, Combiflex), idom, bővítő / szűkítő, csőtoldó, visszacsapó szelep, bilincs, ragasztószalag, ventilátor-hangtompító</t>
        </is>
      </c>
      <c r="G36" s="4" t="inlineStr">
        <is>
          <t>Kategórialeírás (természetes említés)</t>
        </is>
      </c>
    </row>
    <row r="37">
      <c r="A37" s="4" t="n">
        <v>31</v>
      </c>
      <c r="B37" s="4" t="inlineStr">
        <is>
          <t>légtechnikai bilincs</t>
        </is>
      </c>
      <c r="C37" s="5" t="n">
        <v>20</v>
      </c>
      <c r="D37" s="4" t="inlineStr">
        <is>
          <t>Szoros</t>
        </is>
      </c>
      <c r="E37" s="4" t="inlineStr">
        <is>
          <t>Igen</t>
        </is>
      </c>
      <c r="F37" s="4" t="inlineStr">
        <is>
          <t>Flexibilis légcsatorna (Aluflex, Sonoflex, Combiflex), idom, bővítő / szűkítő, csőtoldó, visszacsapó szelep, bilincs, ragasztószalag, ventilátor-hangtompító</t>
        </is>
      </c>
      <c r="G37" s="4" t="inlineStr">
        <is>
          <t>Kategórialeírás (természetes említés)</t>
        </is>
      </c>
    </row>
    <row r="38">
      <c r="B38" s="7" t="inlineStr">
        <is>
          <t>Összesen (érdemes rá oldal = Igen):</t>
        </is>
      </c>
      <c r="C38" s="22">
        <f>SUMIFS(C7:C37,E7:E37,"Igen")</f>
        <v/>
      </c>
    </row>
    <row r="40">
      <c r="A40" s="7" t="inlineStr">
        <is>
          <t>Termékek a jelenlegi kínálatból: 114 db (elsődleges + másodlagos hozzárendelés; egy termék több kategóriában is szerepelhet)</t>
        </is>
      </c>
    </row>
    <row r="41">
      <c r="A41" s="3" t="inlineStr">
        <is>
          <t>#</t>
        </is>
      </c>
      <c r="B41" s="3" t="inlineStr">
        <is>
          <t>Termékkód</t>
        </is>
      </c>
      <c r="C41" s="3" t="inlineStr">
        <is>
          <t>Terméknév</t>
        </is>
      </c>
      <c r="D41" s="3" t="inlineStr">
        <is>
          <t>Hozzárendelés</t>
        </is>
      </c>
      <c r="E41" s="3" t="inlineStr">
        <is>
          <t>Illeszkedés</t>
        </is>
      </c>
      <c r="F41" s="3" t="inlineStr">
        <is>
          <t>Megjegyzés</t>
        </is>
      </c>
    </row>
    <row r="42">
      <c r="A42" s="4" t="n">
        <v>1</v>
      </c>
      <c r="B42" s="4" t="inlineStr">
        <is>
          <t>GRO0306</t>
        </is>
      </c>
      <c r="C42" s="4" t="inlineStr">
        <is>
          <t>Flexibilis alumínium légcsatorna cső Aluflex 102 mm, 10 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Flexibilis légcsatorna cső (Aluflex, Sonoflex, Combiflex)</t>
        </is>
      </c>
    </row>
    <row r="43">
      <c r="A43" s="4" t="n">
        <v>2</v>
      </c>
      <c r="B43" s="4" t="inlineStr">
        <is>
          <t>GRO0307</t>
        </is>
      </c>
      <c r="C43" s="4" t="inlineStr">
        <is>
          <t>Flexibilis alumínium légcsatorna cső Aluflex 127 mm, 10 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Flexibilis légcsatorna cső (Aluflex, Sonoflex, Combiflex)</t>
        </is>
      </c>
    </row>
    <row r="44">
      <c r="A44" s="4" t="n">
        <v>3</v>
      </c>
      <c r="B44" s="4" t="inlineStr">
        <is>
          <t>GRO0308</t>
        </is>
      </c>
      <c r="C44" s="4" t="inlineStr">
        <is>
          <t>Flexibilis alumínium légcsatorna cső Aluflex 152 mm, 10 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Flexibilis légcsatorna cső (Aluflex, Sonoflex, Combiflex)</t>
        </is>
      </c>
    </row>
    <row r="45">
      <c r="A45" s="4" t="n">
        <v>4</v>
      </c>
      <c r="B45" s="4" t="inlineStr">
        <is>
          <t>GRO0310</t>
        </is>
      </c>
      <c r="C45" s="4" t="inlineStr">
        <is>
          <t>Flexibilis alumínium légcsatorna cső Aluflex 203 mm, 10 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Flexibilis légcsatorna cső (Aluflex, Sonoflex, Combiflex)</t>
        </is>
      </c>
    </row>
    <row r="46">
      <c r="A46" s="4" t="n">
        <v>5</v>
      </c>
      <c r="B46" s="4" t="inlineStr">
        <is>
          <t>GRO0312</t>
        </is>
      </c>
      <c r="C46" s="4" t="inlineStr">
        <is>
          <t>Flexibilis alumínium légcsatorna cső Aluflex 315 mm, 10 m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Flexibilis légcsatorna cső (Aluflex, Sonoflex, Combiflex)</t>
        </is>
      </c>
    </row>
    <row r="47">
      <c r="A47" s="4" t="n">
        <v>6</v>
      </c>
      <c r="B47" s="4" t="inlineStr">
        <is>
          <t>GRO0317</t>
        </is>
      </c>
      <c r="C47" s="4" t="inlineStr">
        <is>
          <t>Sonoflex hang- és hőszigetelt flexibilis légcsatorna cső 102 mm, 10 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Flexibilis légcsatorna cső (Aluflex, Sonoflex, Combiflex)</t>
        </is>
      </c>
    </row>
    <row r="48">
      <c r="A48" s="4" t="n">
        <v>7</v>
      </c>
      <c r="B48" s="4" t="inlineStr">
        <is>
          <t>GRO0318</t>
        </is>
      </c>
      <c r="C48" s="4" t="inlineStr">
        <is>
          <t>Sonoflex hang- és hőszigetelt flexibilis légcsatorna cső 127 mm, 10 m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Flexibilis légcsatorna cső (Aluflex, Sonoflex, Combiflex)</t>
        </is>
      </c>
    </row>
    <row r="49">
      <c r="A49" s="4" t="n">
        <v>8</v>
      </c>
      <c r="B49" s="4" t="inlineStr">
        <is>
          <t>GRO0319</t>
        </is>
      </c>
      <c r="C49" s="4" t="inlineStr">
        <is>
          <t>Sonoflex hang- és hőszigetelt flexibilis légcsatorna cső 152 mm, 10 m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Flexibilis légcsatorna cső (Aluflex, Sonoflex, Combiflex)</t>
        </is>
      </c>
    </row>
    <row r="50">
      <c r="A50" s="4" t="n">
        <v>9</v>
      </c>
      <c r="B50" s="4" t="inlineStr">
        <is>
          <t>GRO0321</t>
        </is>
      </c>
      <c r="C50" s="4" t="inlineStr">
        <is>
          <t>Sonoflex hang- és hőszigetelt flexibilis légcsatorna cső 203 mm, 10 m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Flexibilis légcsatorna cső (Aluflex, Sonoflex, Combiflex)</t>
        </is>
      </c>
    </row>
    <row r="51">
      <c r="A51" s="4" t="n">
        <v>10</v>
      </c>
      <c r="B51" s="4" t="inlineStr">
        <is>
          <t>GRO0322</t>
        </is>
      </c>
      <c r="C51" s="4" t="inlineStr">
        <is>
          <t>Sonoflex hang- és hőszigetelt flexibilis légcsatorna cső 254 mm, 10 m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Flexibilis légcsatorna cső (Aluflex, Sonoflex, Combiflex)</t>
        </is>
      </c>
    </row>
    <row r="52">
      <c r="A52" s="4" t="n">
        <v>11</v>
      </c>
      <c r="B52" s="4" t="inlineStr">
        <is>
          <t>GRO0330</t>
        </is>
      </c>
      <c r="C52" s="4" t="inlineStr">
        <is>
          <t>Combiflex 6 rétegű flexibilis alumínium légcsatorna cső 102 mm, 10 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Flexibilis légcsatorna cső (Aluflex, Sonoflex, Combiflex)</t>
        </is>
      </c>
    </row>
    <row r="53">
      <c r="A53" s="4" t="n">
        <v>12</v>
      </c>
      <c r="B53" s="4" t="inlineStr">
        <is>
          <t>GRO0331</t>
        </is>
      </c>
      <c r="C53" s="4" t="inlineStr">
        <is>
          <t>Combiflex 6 rétegű flexibilis alumínium légcsatorna cső 127 mm, 10 m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Flexibilis légcsatorna cső (Aluflex, Sonoflex, Combiflex)</t>
        </is>
      </c>
    </row>
    <row r="54">
      <c r="A54" s="4" t="n">
        <v>13</v>
      </c>
      <c r="B54" s="4" t="inlineStr">
        <is>
          <t>GRO0332</t>
        </is>
      </c>
      <c r="C54" s="4" t="inlineStr">
        <is>
          <t>Combiflex 6 rétegű flexibilis alumínium légcsatorna cső 152 mm, 10 m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Flexibilis légcsatorna cső (Aluflex, Sonoflex, Combiflex)</t>
        </is>
      </c>
    </row>
    <row r="55">
      <c r="A55" s="4" t="n">
        <v>14</v>
      </c>
      <c r="B55" s="4" t="inlineStr">
        <is>
          <t>GRO0334</t>
        </is>
      </c>
      <c r="C55" s="4" t="inlineStr">
        <is>
          <t>Combiflex 6 rétegű flexibilis alumínium légcsatorna cső 203 mm, 10 m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Flexibilis légcsatorna cső (Aluflex, Sonoflex, Combiflex)</t>
        </is>
      </c>
    </row>
    <row r="56">
      <c r="A56" s="4" t="n">
        <v>15</v>
      </c>
      <c r="B56" s="4" t="inlineStr">
        <is>
          <t>GRO0335</t>
        </is>
      </c>
      <c r="C56" s="4" t="inlineStr">
        <is>
          <t>Combiflex 6 rétegű flexibilis alumínium légcsatorna cső 254 mm, 10 m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Flexibilis légcsatorna cső (Aluflex, Sonoflex, Combiflex)</t>
        </is>
      </c>
    </row>
    <row r="57">
      <c r="A57" s="4" t="n">
        <v>16</v>
      </c>
      <c r="B57" s="4" t="inlineStr">
        <is>
          <t>GRO0336</t>
        </is>
      </c>
      <c r="C57" s="4" t="inlineStr">
        <is>
          <t>Combiflex 6 rétegű flexibilis alumínium légcsatorna cső 315 mm, 10 m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Flexibilis légcsatorna cső (Aluflex, Sonoflex, Combiflex)</t>
        </is>
      </c>
    </row>
    <row r="58">
      <c r="A58" s="4" t="n">
        <v>17</v>
      </c>
      <c r="B58" s="4" t="inlineStr">
        <is>
          <t>GRO0355</t>
        </is>
      </c>
      <c r="C58" s="4" t="inlineStr">
        <is>
          <t>Bővítő cső 100–125 mm légcsatornához, szellőzőrendszerekhez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Idom, bővítő / szűkítő, csőtoldó, visszacsapó szelep, csőkapcsoló</t>
        </is>
      </c>
    </row>
    <row r="59">
      <c r="A59" s="4" t="n">
        <v>18</v>
      </c>
      <c r="B59" s="4" t="inlineStr">
        <is>
          <t>GRO0358</t>
        </is>
      </c>
      <c r="C59" s="4" t="inlineStr">
        <is>
          <t>Bővítő cső 125–150 mm légcsatornához, szellőzőrendszerekhez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Idom, bővítő / szűkítő, csőtoldó, visszacsapó szelep, csőkapcsoló</t>
        </is>
      </c>
    </row>
    <row r="60">
      <c r="A60" s="4" t="n">
        <v>19</v>
      </c>
      <c r="B60" s="4" t="inlineStr">
        <is>
          <t>GRO0361</t>
        </is>
      </c>
      <c r="C60" s="4" t="inlineStr">
        <is>
          <t>Bővítő cső 160–200 mm légcsatornához, szellőzőrendszerekhez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Idom, bővítő / szűkítő, csőtoldó, visszacsapó szelep, csőkapcsoló</t>
        </is>
      </c>
    </row>
    <row r="61">
      <c r="A61" s="4" t="n">
        <v>20</v>
      </c>
      <c r="B61" s="4" t="inlineStr">
        <is>
          <t>GRO0604</t>
        </is>
      </c>
      <c r="C61" s="4" t="inlineStr">
        <is>
          <t>Lépcsős bővítő cső 80/100/120/125/150 mm légcsatornához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Idom, bővítő / szűkítő, csőtoldó, visszacsapó szelep, csőkapcsoló</t>
        </is>
      </c>
    </row>
    <row r="62">
      <c r="A62" s="4" t="n">
        <v>21</v>
      </c>
      <c r="B62" s="4" t="inlineStr">
        <is>
          <t>GRO1056</t>
        </is>
      </c>
      <c r="C62" s="4" t="inlineStr">
        <is>
          <t>Bővítő cső 250–315 mm légcsatornához, szellőzőrendszerekhez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Idom, bővítő / szűkítő, csőtoldó, visszacsapó szelep, csőkapcsoló</t>
        </is>
      </c>
    </row>
    <row r="63">
      <c r="A63" s="4" t="n">
        <v>22</v>
      </c>
      <c r="B63" s="4" t="inlineStr">
        <is>
          <t>GRO1060</t>
        </is>
      </c>
      <c r="C63" s="4" t="inlineStr">
        <is>
          <t>Bővítő cső 200–250 mm légcsatornához, szellőzőrendszerekhez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Idom, bővítő / szűkítő, csőtoldó, visszacsapó szelep, csőkapcsoló</t>
        </is>
      </c>
    </row>
    <row r="64">
      <c r="A64" s="4" t="n">
        <v>23</v>
      </c>
      <c r="B64" s="4" t="inlineStr">
        <is>
          <t>GRO1062</t>
        </is>
      </c>
      <c r="C64" s="4" t="inlineStr">
        <is>
          <t>Bővítő cső 150–160 mm légcsatornához, szellőzőrendszerekhez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Idom, bővítő / szűkítő, csőtoldó, visszacsapó szelep, csőkapcsoló</t>
        </is>
      </c>
    </row>
    <row r="65">
      <c r="A65" s="4" t="n">
        <v>24</v>
      </c>
      <c r="B65" s="4" t="inlineStr">
        <is>
          <t>GRO1436</t>
        </is>
      </c>
      <c r="C65" s="4" t="inlineStr">
        <is>
          <t>Can Filters Silencer CFS02 ventilátor hangtompító 125 mm, 45 cm, ásványgyapot szigeteléssel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Ventilátor hangtompító (Can Filters Silencer)</t>
        </is>
      </c>
    </row>
    <row r="66">
      <c r="A66" s="4" t="n">
        <v>25</v>
      </c>
      <c r="B66" s="4" t="inlineStr">
        <is>
          <t>GRO1664</t>
        </is>
      </c>
      <c r="C66" s="4" t="inlineStr">
        <is>
          <t>Can Filters Silencer CFS06 ventilátor hangtompító 200 mm, 45 cm, ásványgyapot szigeteléssel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Ventilátor hangtompító (Can Filters Silencer)</t>
        </is>
      </c>
    </row>
    <row r="67">
      <c r="A67" s="4" t="n">
        <v>26</v>
      </c>
      <c r="B67" s="4" t="inlineStr">
        <is>
          <t>GRO1668</t>
        </is>
      </c>
      <c r="C67" s="4" t="inlineStr">
        <is>
          <t>Keskeny légtechnikai bilincs 110–130 mm, horganyzott acél, Vents C 125 Zn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Légtechnikai bilincs</t>
        </is>
      </c>
    </row>
    <row r="68">
      <c r="A68" s="4" t="n">
        <v>27</v>
      </c>
      <c r="B68" s="4" t="inlineStr">
        <is>
          <t>GRO1669</t>
        </is>
      </c>
      <c r="C68" s="4" t="inlineStr">
        <is>
          <t>Keskeny légtechnikai bilincs 140–160 mm, horganyzott acél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Légtechnikai bilincs</t>
        </is>
      </c>
    </row>
    <row r="69">
      <c r="A69" s="4" t="n">
        <v>28</v>
      </c>
      <c r="B69" s="4" t="inlineStr">
        <is>
          <t>GRO1834</t>
        </is>
      </c>
      <c r="C69" s="4" t="inlineStr">
        <is>
          <t>Can Filters Silencer CFS04 ventilátor hangtompító 150 mm, 45 cm, ásványgyapot szigeteléssel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Ventilátor hangtompító (Can Filters Silencer)</t>
        </is>
      </c>
    </row>
    <row r="70">
      <c r="A70" s="4" t="n">
        <v>29</v>
      </c>
      <c r="B70" s="4" t="inlineStr">
        <is>
          <t>GRO1934</t>
        </is>
      </c>
      <c r="C70" s="4" t="inlineStr">
        <is>
          <t>Bővítő cső 125–160 mm légcsatornához, szellőzőrendszerekhez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Idom, bővítő / szűkítő, csőtoldó, visszacsapó szelep, csőkapcsoló</t>
        </is>
      </c>
    </row>
    <row r="71">
      <c r="A71" s="4" t="n">
        <v>30</v>
      </c>
      <c r="B71" s="4" t="inlineStr">
        <is>
          <t>GRO1935</t>
        </is>
      </c>
      <c r="C71" s="4" t="inlineStr">
        <is>
          <t>Bővítő cső 150–200 mm légcsatornához, szellőzőrendszerekhez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Idom, bővítő / szűkítő, csőtoldó, visszacsapó szelep, csőkapcsoló</t>
        </is>
      </c>
    </row>
    <row r="72">
      <c r="A72" s="4" t="n">
        <v>31</v>
      </c>
      <c r="B72" s="4" t="inlineStr">
        <is>
          <t>GRO1941</t>
        </is>
      </c>
      <c r="C72" s="4" t="inlineStr">
        <is>
          <t>Fém visszacsapó szelep 100 mm légcsatornába, rozsdamentes acélrugókkal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Idom, bővítő / szűkítő, csőtoldó, visszacsapó szelep, csőkapcsoló</t>
        </is>
      </c>
    </row>
    <row r="73">
      <c r="A73" s="4" t="n">
        <v>32</v>
      </c>
      <c r="B73" s="4" t="inlineStr">
        <is>
          <t>GRO1959</t>
        </is>
      </c>
      <c r="C73" s="4" t="inlineStr">
        <is>
          <t>Műanyag csőtoldó visszacsapószeleppel 100 mm légcsatornához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Idom, bővítő / szűkítő, csőtoldó, visszacsapó szelep, csőkapcsoló</t>
        </is>
      </c>
    </row>
    <row r="74">
      <c r="A74" s="4" t="n">
        <v>33</v>
      </c>
      <c r="B74" s="4" t="inlineStr">
        <is>
          <t>GRO1960</t>
        </is>
      </c>
      <c r="C74" s="4" t="inlineStr">
        <is>
          <t>Műanyag csőtoldó visszacsapószeleppel 125 mm légcsatornához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Idom, bővítő / szűkítő, csőtoldó, visszacsapó szelep, csőkapcsoló</t>
        </is>
      </c>
    </row>
    <row r="75">
      <c r="A75" s="4" t="n">
        <v>34</v>
      </c>
      <c r="B75" s="4" t="inlineStr">
        <is>
          <t>GRO1961</t>
        </is>
      </c>
      <c r="C75" s="4" t="inlineStr">
        <is>
          <t>Műanyag csőtoldó visszacsapószeleppel 150 mm légcsatornához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Idom, bővítő / szűkítő, csőtoldó, visszacsapó szelep, csőkapcsoló</t>
        </is>
      </c>
    </row>
    <row r="76">
      <c r="A76" s="4" t="n">
        <v>35</v>
      </c>
      <c r="B76" s="4" t="inlineStr">
        <is>
          <t>GRO1962</t>
        </is>
      </c>
      <c r="C76" s="4" t="inlineStr">
        <is>
          <t>Műanyag csőtoldó visszacsapószeleppel 200 mm légcsatornához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Idom, bővítő / szűkítő, csőtoldó, visszacsapó szelep, csőkapcsoló</t>
        </is>
      </c>
    </row>
    <row r="77">
      <c r="A77" s="4" t="n">
        <v>36</v>
      </c>
      <c r="B77" s="4" t="inlineStr">
        <is>
          <t>GRO1967</t>
        </is>
      </c>
      <c r="C77" s="4" t="inlineStr">
        <is>
          <t>Műanyag csőtoldó 100 mm azonos átmérőjű légcsatornák összekötéséhez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Idom, bővítő / szűkítő, csőtoldó, visszacsapó szelep, csőkapcsoló</t>
        </is>
      </c>
    </row>
    <row r="78">
      <c r="A78" s="4" t="n">
        <v>37</v>
      </c>
      <c r="B78" s="4" t="inlineStr">
        <is>
          <t>GRO1968</t>
        </is>
      </c>
      <c r="C78" s="4" t="inlineStr">
        <is>
          <t>Műanyag csőtoldó 125 mm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Idom, bővítő / szűkítő, csőtoldó, visszacsapó szelep, csőkapcsoló</t>
        </is>
      </c>
    </row>
    <row r="79">
      <c r="A79" s="4" t="n">
        <v>38</v>
      </c>
      <c r="B79" s="4" t="inlineStr">
        <is>
          <t>GRO1969</t>
        </is>
      </c>
      <c r="C79" s="4" t="inlineStr">
        <is>
          <t>Műanyag csőtoldó 150 mm azonos átmérőjű légcsatornák összekötéséhez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Idom, bővítő / szűkítő, csőtoldó, visszacsapó szelep, csőkapcsoló</t>
        </is>
      </c>
    </row>
    <row r="80">
      <c r="A80" s="4" t="n">
        <v>39</v>
      </c>
      <c r="B80" s="4" t="inlineStr">
        <is>
          <t>GRO1970</t>
        </is>
      </c>
      <c r="C80" s="4" t="inlineStr">
        <is>
          <t>Műanyag csőtoldó 200 mm azonos átmérőjű légcsatornák összekötéséhez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Idom, bővítő / szűkítő, csőtoldó, visszacsapó szelep, csőkapcsoló</t>
        </is>
      </c>
    </row>
    <row r="81">
      <c r="A81" s="4" t="n">
        <v>40</v>
      </c>
      <c r="B81" s="4" t="inlineStr">
        <is>
          <t>GRO1971</t>
        </is>
      </c>
      <c r="C81" s="4" t="inlineStr">
        <is>
          <t>Műanyag szűkítő / bővítő cső 80–100 mm légcsatornákhoz, szellőzőrendszerekhez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Idom, bővítő / szűkítő, csőtoldó, visszacsapó szelep, csőkapcsoló</t>
        </is>
      </c>
    </row>
    <row r="82">
      <c r="A82" s="4" t="n">
        <v>41</v>
      </c>
      <c r="B82" s="4" t="inlineStr">
        <is>
          <t>GRO1972</t>
        </is>
      </c>
      <c r="C82" s="4" t="inlineStr">
        <is>
          <t>Műanyag szűkítő / bővítő cső 100–125 mm légcsatornákhoz, szellőzőrendszerekhez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Idom, bővítő / szűkítő, csőtoldó, visszacsapó szelep, csőkapcsoló</t>
        </is>
      </c>
    </row>
    <row r="83">
      <c r="A83" s="4" t="n">
        <v>42</v>
      </c>
      <c r="B83" s="4" t="inlineStr">
        <is>
          <t>GRO1973</t>
        </is>
      </c>
      <c r="C83" s="4" t="inlineStr">
        <is>
          <t>Műanyag szűkítő / bővítő cső 125–150 mm légcsatornákhoz, szellőzőrendszerekhez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Idom, bővítő / szűkítő, csőtoldó, visszacsapó szelep, csőkapcsoló</t>
        </is>
      </c>
    </row>
    <row r="84">
      <c r="A84" s="4" t="n">
        <v>43</v>
      </c>
      <c r="B84" s="4" t="inlineStr">
        <is>
          <t>GRO1974</t>
        </is>
      </c>
      <c r="C84" s="4" t="inlineStr">
        <is>
          <t>Műanyag szűkítő / bővítő cső 150–200 mm légcsatornákhoz, szellőzőrendszerekhez</t>
        </is>
      </c>
      <c r="D84" s="4" t="inlineStr">
        <is>
          <t>Elsődleges</t>
        </is>
      </c>
      <c r="E84" s="4" t="inlineStr">
        <is>
          <t>Erős</t>
        </is>
      </c>
      <c r="F84" s="4" t="inlineStr">
        <is>
          <t>Idom, bővítő / szűkítő, csőtoldó, visszacsapó szelep, csőkapcsoló</t>
        </is>
      </c>
    </row>
    <row r="85">
      <c r="A85" s="4" t="n">
        <v>44</v>
      </c>
      <c r="B85" s="4" t="inlineStr">
        <is>
          <t>GRO1975</t>
        </is>
      </c>
      <c r="C85" s="4" t="inlineStr">
        <is>
          <t>Fém visszacsapó szelep 125 mm légcsatornába, rozsdamentes acélrugókkal</t>
        </is>
      </c>
      <c r="D85" s="4" t="inlineStr">
        <is>
          <t>Elsődleges</t>
        </is>
      </c>
      <c r="E85" s="4" t="inlineStr">
        <is>
          <t>Erős</t>
        </is>
      </c>
      <c r="F85" s="4" t="inlineStr">
        <is>
          <t>Idom, bővítő / szűkítő, csőtoldó, visszacsapó szelep, csőkapcsoló</t>
        </is>
      </c>
    </row>
    <row r="86">
      <c r="A86" s="4" t="n">
        <v>45</v>
      </c>
      <c r="B86" s="4" t="inlineStr">
        <is>
          <t>GRO1978</t>
        </is>
      </c>
      <c r="C86" s="4" t="inlineStr">
        <is>
          <t>Fém visszacsapó szelep 250 mm légcsatornába, rozsdamentes acélrugókkal</t>
        </is>
      </c>
      <c r="D86" s="4" t="inlineStr">
        <is>
          <t>Elsődleges</t>
        </is>
      </c>
      <c r="E86" s="4" t="inlineStr">
        <is>
          <t>Erős</t>
        </is>
      </c>
      <c r="F86" s="4" t="inlineStr">
        <is>
          <t>Idom, bővítő / szűkítő, csőtoldó, visszacsapó szelep, csőkapcsoló</t>
        </is>
      </c>
    </row>
    <row r="87">
      <c r="A87" s="4" t="n">
        <v>46</v>
      </c>
      <c r="B87" s="4" t="inlineStr">
        <is>
          <t>GRO2094</t>
        </is>
      </c>
      <c r="C87" s="4" t="inlineStr">
        <is>
          <t>Can Filters Silencer CFS07 ventilátor hangtompító 250 mm, 45 cm, ásványgyapot szigeteléssel</t>
        </is>
      </c>
      <c r="D87" s="4" t="inlineStr">
        <is>
          <t>Elsődleges</t>
        </is>
      </c>
      <c r="E87" s="4" t="inlineStr">
        <is>
          <t>Erős</t>
        </is>
      </c>
      <c r="F87" s="4" t="inlineStr">
        <is>
          <t>Ventilátor hangtompító (Can Filters Silencer)</t>
        </is>
      </c>
    </row>
    <row r="88">
      <c r="A88" s="4" t="n">
        <v>47</v>
      </c>
      <c r="B88" s="4" t="inlineStr">
        <is>
          <t>GRO2140</t>
        </is>
      </c>
      <c r="C88" s="4" t="inlineStr">
        <is>
          <t>Duct Tape szürke ragasztószalag 50 mm, 10 m, légcsövekhez és javításokhoz</t>
        </is>
      </c>
      <c r="D88" s="4" t="inlineStr">
        <is>
          <t>Elsődleges</t>
        </is>
      </c>
      <c r="E88" s="4" t="inlineStr">
        <is>
          <t>Erős</t>
        </is>
      </c>
      <c r="F88" s="4" t="inlineStr">
        <is>
          <t>Alumínium / Duct Tape ragasztószalag</t>
        </is>
      </c>
    </row>
    <row r="89">
      <c r="A89" s="4" t="n">
        <v>48</v>
      </c>
      <c r="B89" s="4" t="inlineStr">
        <is>
          <t>GRO2141</t>
        </is>
      </c>
      <c r="C89" s="4" t="inlineStr">
        <is>
          <t>Duct Tape PVC ragasztószalag 50 mm, 30 m, légcsövekhez és javításokhoz</t>
        </is>
      </c>
      <c r="D89" s="4" t="inlineStr">
        <is>
          <t>Elsődleges</t>
        </is>
      </c>
      <c r="E89" s="4" t="inlineStr">
        <is>
          <t>Erős</t>
        </is>
      </c>
      <c r="F89" s="4" t="inlineStr">
        <is>
          <t>Alumínium / Duct Tape ragasztószalag</t>
        </is>
      </c>
    </row>
    <row r="90">
      <c r="A90" s="4" t="n">
        <v>49</v>
      </c>
      <c r="B90" s="4" t="inlineStr">
        <is>
          <t>GRO2142</t>
        </is>
      </c>
      <c r="C90" s="4" t="inlineStr">
        <is>
          <t>Duct Tape PVC ragasztószalag 50 mm, 10 m, légcsövekhez és javításokhoz</t>
        </is>
      </c>
      <c r="D90" s="4" t="inlineStr">
        <is>
          <t>Elsődleges</t>
        </is>
      </c>
      <c r="E90" s="4" t="inlineStr">
        <is>
          <t>Erős</t>
        </is>
      </c>
      <c r="F90" s="4" t="inlineStr">
        <is>
          <t>Alumínium / Duct Tape ragasztószalag</t>
        </is>
      </c>
    </row>
    <row r="91">
      <c r="A91" s="4" t="n">
        <v>50</v>
      </c>
      <c r="B91" s="4" t="inlineStr">
        <is>
          <t>GRO2144</t>
        </is>
      </c>
      <c r="C91" s="4" t="inlineStr">
        <is>
          <t>Fém keresztidom 150 mm légcsatornák négyirányú összekötéséhez</t>
        </is>
      </c>
      <c r="D91" s="4" t="inlineStr">
        <is>
          <t>Elsődleges</t>
        </is>
      </c>
      <c r="E91" s="4" t="inlineStr">
        <is>
          <t>Erős</t>
        </is>
      </c>
      <c r="F91" s="4" t="inlineStr">
        <is>
          <t>Idom, bővítő / szűkítő, csőtoldó, visszacsapó szelep, csőkapcsoló</t>
        </is>
      </c>
    </row>
    <row r="92">
      <c r="A92" s="4" t="n">
        <v>51</v>
      </c>
      <c r="B92" s="4" t="inlineStr">
        <is>
          <t>GRO2153</t>
        </is>
      </c>
      <c r="C92" s="4" t="inlineStr">
        <is>
          <t>Keskeny légtechnikai bilincs 190–210 mm, horganyzott acél, Vents C 200 Zn</t>
        </is>
      </c>
      <c r="D92" s="4" t="inlineStr">
        <is>
          <t>Elsődleges</t>
        </is>
      </c>
      <c r="E92" s="4" t="inlineStr">
        <is>
          <t>Erős</t>
        </is>
      </c>
      <c r="F92" s="4" t="inlineStr">
        <is>
          <t>Légtechnikai bilincs</t>
        </is>
      </c>
    </row>
    <row r="93">
      <c r="A93" s="4" t="n">
        <v>52</v>
      </c>
      <c r="B93" s="4" t="inlineStr">
        <is>
          <t>GRO2154</t>
        </is>
      </c>
      <c r="C93" s="4" t="inlineStr">
        <is>
          <t>Keskeny légtechnikai bilincs 240–260 mm, horganyzott acél, Vents C 250 Zn</t>
        </is>
      </c>
      <c r="D93" s="4" t="inlineStr">
        <is>
          <t>Elsődleges</t>
        </is>
      </c>
      <c r="E93" s="4" t="inlineStr">
        <is>
          <t>Erős</t>
        </is>
      </c>
      <c r="F93" s="4" t="inlineStr">
        <is>
          <t>Légtechnikai bilincs</t>
        </is>
      </c>
    </row>
    <row r="94">
      <c r="A94" s="4" t="n">
        <v>53</v>
      </c>
      <c r="B94" s="4" t="inlineStr">
        <is>
          <t>GRO2155</t>
        </is>
      </c>
      <c r="C94" s="4" t="inlineStr">
        <is>
          <t>Keskeny légtechnikai bilincs 300–330 mm, horganyzott acél, Vents C 315 Zn</t>
        </is>
      </c>
      <c r="D94" s="4" t="inlineStr">
        <is>
          <t>Elsődleges</t>
        </is>
      </c>
      <c r="E94" s="4" t="inlineStr">
        <is>
          <t>Erős</t>
        </is>
      </c>
      <c r="F94" s="4" t="inlineStr">
        <is>
          <t>Légtechnikai bilincs</t>
        </is>
      </c>
    </row>
    <row r="95">
      <c r="A95" s="4" t="n">
        <v>54</v>
      </c>
      <c r="B95" s="4" t="inlineStr">
        <is>
          <t>GRO2156</t>
        </is>
      </c>
      <c r="C95" s="4" t="inlineStr">
        <is>
          <t>Csatos széles légtechnikai bilincs 250 mm, rezgéscsillapító, légcsövekhez</t>
        </is>
      </c>
      <c r="D95" s="4" t="inlineStr">
        <is>
          <t>Elsődleges</t>
        </is>
      </c>
      <c r="E95" s="4" t="inlineStr">
        <is>
          <t>Erős</t>
        </is>
      </c>
      <c r="F95" s="4" t="inlineStr">
        <is>
          <t>Légtechnikai bilincs</t>
        </is>
      </c>
    </row>
    <row r="96">
      <c r="A96" s="4" t="n">
        <v>55</v>
      </c>
      <c r="B96" s="4" t="inlineStr">
        <is>
          <t>GRO2157</t>
        </is>
      </c>
      <c r="C96" s="4" t="inlineStr">
        <is>
          <t>Csatos széles légtechnikai bilincs 315 mm, rezgéscsillapító, légcsövekhez</t>
        </is>
      </c>
      <c r="D96" s="4" t="inlineStr">
        <is>
          <t>Elsődleges</t>
        </is>
      </c>
      <c r="E96" s="4" t="inlineStr">
        <is>
          <t>Erős</t>
        </is>
      </c>
      <c r="F96" s="4" t="inlineStr">
        <is>
          <t>Légtechnikai bilincs</t>
        </is>
      </c>
    </row>
    <row r="97">
      <c r="A97" s="4" t="n">
        <v>56</v>
      </c>
      <c r="B97" s="4" t="inlineStr">
        <is>
          <t>GRO2164</t>
        </is>
      </c>
      <c r="C97" s="4" t="inlineStr">
        <is>
          <t>Vents horganyzott fém T idom 100 mm légcsatorna elágaztatásához</t>
        </is>
      </c>
      <c r="D97" s="4" t="inlineStr">
        <is>
          <t>Elsődleges</t>
        </is>
      </c>
      <c r="E97" s="4" t="inlineStr">
        <is>
          <t>Erős</t>
        </is>
      </c>
      <c r="F97" s="4" t="inlineStr">
        <is>
          <t>Idom, bővítő / szűkítő, csőtoldó, visszacsapó szelep, csőkapcsoló</t>
        </is>
      </c>
    </row>
    <row r="98">
      <c r="A98" s="4" t="n">
        <v>57</v>
      </c>
      <c r="B98" s="4" t="inlineStr">
        <is>
          <t>GRO2168</t>
        </is>
      </c>
      <c r="C98" s="4" t="inlineStr">
        <is>
          <t>Fém légtechnikai csatlakozó csonk 315 mm légcsatornákhoz és ventilátorokhoz</t>
        </is>
      </c>
      <c r="D98" s="4" t="inlineStr">
        <is>
          <t>Elsődleges</t>
        </is>
      </c>
      <c r="E98" s="4" t="inlineStr">
        <is>
          <t>Erős</t>
        </is>
      </c>
      <c r="F98" s="4" t="inlineStr">
        <is>
          <t>Idom, bővítő / szűkítő, csőtoldó, visszacsapó szelep, csőkapcsoló</t>
        </is>
      </c>
    </row>
    <row r="99">
      <c r="A99" s="4" t="n">
        <v>58</v>
      </c>
      <c r="B99" s="4" t="inlineStr">
        <is>
          <t>GRO2382</t>
        </is>
      </c>
      <c r="C99" s="4" t="inlineStr">
        <is>
          <t>Aluflex cső 254mm 3m</t>
        </is>
      </c>
      <c r="D99" s="4" t="inlineStr">
        <is>
          <t>Elsődleges</t>
        </is>
      </c>
      <c r="E99" s="4" t="inlineStr">
        <is>
          <t>Erős</t>
        </is>
      </c>
      <c r="F99" s="4" t="inlineStr">
        <is>
          <t>Flexibilis légcsatorna cső (Aluflex, Sonoflex, Combiflex)</t>
        </is>
      </c>
    </row>
    <row r="100">
      <c r="A100" s="4" t="n">
        <v>59</v>
      </c>
      <c r="B100" s="4" t="inlineStr">
        <is>
          <t>GRO2383</t>
        </is>
      </c>
      <c r="C100" s="4" t="inlineStr">
        <is>
          <t>Flexibilis alumínium légcsatorna cső Aluflex 315 mm, 3 m</t>
        </is>
      </c>
      <c r="D100" s="4" t="inlineStr">
        <is>
          <t>Elsődleges</t>
        </is>
      </c>
      <c r="E100" s="4" t="inlineStr">
        <is>
          <t>Erős</t>
        </is>
      </c>
      <c r="F100" s="4" t="inlineStr">
        <is>
          <t>Flexibilis légcsatorna cső (Aluflex, Sonoflex, Combiflex)</t>
        </is>
      </c>
    </row>
    <row r="101">
      <c r="A101" s="4" t="n">
        <v>60</v>
      </c>
      <c r="B101" s="4" t="inlineStr">
        <is>
          <t>GRO2390</t>
        </is>
      </c>
      <c r="C101" s="4" t="inlineStr">
        <is>
          <t>Műanyag szűkítő / bővítő cső 120–129 mm légcsatornákhoz, szellőzőrendszerekhez</t>
        </is>
      </c>
      <c r="D101" s="4" t="inlineStr">
        <is>
          <t>Elsődleges</t>
        </is>
      </c>
      <c r="E101" s="4" t="inlineStr">
        <is>
          <t>Erős</t>
        </is>
      </c>
      <c r="F101" s="4" t="inlineStr">
        <is>
          <t>Idom, bővítő / szűkítő, csőtoldó, visszacsapó szelep, csőkapcsoló</t>
        </is>
      </c>
    </row>
    <row r="102">
      <c r="A102" s="4" t="n">
        <v>61</v>
      </c>
      <c r="B102" s="4" t="inlineStr">
        <is>
          <t>GRO2391</t>
        </is>
      </c>
      <c r="C102" s="4" t="inlineStr">
        <is>
          <t>Duct Tape szürke ragasztószalag 50 mm, 30 m, légcsövekhez és javításokhoz</t>
        </is>
      </c>
      <c r="D102" s="4" t="inlineStr">
        <is>
          <t>Elsődleges</t>
        </is>
      </c>
      <c r="E102" s="4" t="inlineStr">
        <is>
          <t>Erős</t>
        </is>
      </c>
      <c r="F102" s="4" t="inlineStr">
        <is>
          <t>Alumínium / Duct Tape ragasztószalag</t>
        </is>
      </c>
    </row>
    <row r="103">
      <c r="A103" s="4" t="n">
        <v>62</v>
      </c>
      <c r="B103" s="4" t="inlineStr">
        <is>
          <t>GRO2587</t>
        </is>
      </c>
      <c r="C103" s="4" t="inlineStr">
        <is>
          <t>Műanyag csőtoldó és idomkapcsoló beépítőkerettel 100 mm légcsatornához</t>
        </is>
      </c>
      <c r="D103" s="4" t="inlineStr">
        <is>
          <t>Elsődleges</t>
        </is>
      </c>
      <c r="E103" s="4" t="inlineStr">
        <is>
          <t>Erős</t>
        </is>
      </c>
      <c r="F103" s="4" t="inlineStr">
        <is>
          <t>Idom, bővítő / szűkítő, csőtoldó, visszacsapó szelep, csőkapcsoló</t>
        </is>
      </c>
    </row>
    <row r="104">
      <c r="A104" s="4" t="n">
        <v>63</v>
      </c>
      <c r="B104" s="4" t="inlineStr">
        <is>
          <t>GRO2588</t>
        </is>
      </c>
      <c r="C104" s="4" t="inlineStr">
        <is>
          <t>Műanyag csőtoldó visszacsapószeleppel és beépítőkerettel 100 mm légcsatornához</t>
        </is>
      </c>
      <c r="D104" s="4" t="inlineStr">
        <is>
          <t>Elsődleges</t>
        </is>
      </c>
      <c r="E104" s="4" t="inlineStr">
        <is>
          <t>Erős</t>
        </is>
      </c>
      <c r="F104" s="4" t="inlineStr">
        <is>
          <t>Idom, bővítő / szűkítő, csőtoldó, visszacsapó szelep, csőkapcsoló</t>
        </is>
      </c>
    </row>
    <row r="105">
      <c r="A105" s="4" t="n">
        <v>64</v>
      </c>
      <c r="B105" s="4" t="inlineStr">
        <is>
          <t>GRO2589</t>
        </is>
      </c>
      <c r="C105" s="4" t="inlineStr">
        <is>
          <t>Műanyag csőtoldó és idomkapcsoló beépítőkerettel 125 mm légcsatornához</t>
        </is>
      </c>
      <c r="D105" s="4" t="inlineStr">
        <is>
          <t>Elsődleges</t>
        </is>
      </c>
      <c r="E105" s="4" t="inlineStr">
        <is>
          <t>Erős</t>
        </is>
      </c>
      <c r="F105" s="4" t="inlineStr">
        <is>
          <t>Idom, bővítő / szűkítő, csőtoldó, visszacsapó szelep, csőkapcsoló</t>
        </is>
      </c>
    </row>
    <row r="106">
      <c r="A106" s="4" t="n">
        <v>65</v>
      </c>
      <c r="B106" s="4" t="inlineStr">
        <is>
          <t>GRO2590</t>
        </is>
      </c>
      <c r="C106" s="4" t="inlineStr">
        <is>
          <t>Műanyag csőtoldó visszacsapószeleppel és beépítőkerettel 125 mm légcsatornához</t>
        </is>
      </c>
      <c r="D106" s="4" t="inlineStr">
        <is>
          <t>Elsődleges</t>
        </is>
      </c>
      <c r="E106" s="4" t="inlineStr">
        <is>
          <t>Erős</t>
        </is>
      </c>
      <c r="F106" s="4" t="inlineStr">
        <is>
          <t>Idom, bővítő / szűkítő, csőtoldó, visszacsapó szelep, csőkapcsoló</t>
        </is>
      </c>
    </row>
    <row r="107">
      <c r="A107" s="4" t="n">
        <v>66</v>
      </c>
      <c r="B107" s="4" t="inlineStr">
        <is>
          <t>GRO2591</t>
        </is>
      </c>
      <c r="C107" s="4" t="inlineStr">
        <is>
          <t>Műanyag csőtoldó és idomkapcsoló beépítőkerettel 150 mm légcsatornához</t>
        </is>
      </c>
      <c r="D107" s="4" t="inlineStr">
        <is>
          <t>Elsődleges</t>
        </is>
      </c>
      <c r="E107" s="4" t="inlineStr">
        <is>
          <t>Erős</t>
        </is>
      </c>
      <c r="F107" s="4" t="inlineStr">
        <is>
          <t>Idom, bővítő / szűkítő, csőtoldó, visszacsapó szelep, csőkapcsoló</t>
        </is>
      </c>
    </row>
    <row r="108">
      <c r="A108" s="4" t="n">
        <v>67</v>
      </c>
      <c r="B108" s="4" t="inlineStr">
        <is>
          <t>GRO2592</t>
        </is>
      </c>
      <c r="C108" s="4" t="inlineStr">
        <is>
          <t>Műanyag csőtoldó visszacsapószeleppel és beépítőkerettel 150 mm légcsatornához</t>
        </is>
      </c>
      <c r="D108" s="4" t="inlineStr">
        <is>
          <t>Elsődleges</t>
        </is>
      </c>
      <c r="E108" s="4" t="inlineStr">
        <is>
          <t>Erős</t>
        </is>
      </c>
      <c r="F108" s="4" t="inlineStr">
        <is>
          <t>Idom, bővítő / szűkítő, csőtoldó, visszacsapó szelep, csőkapcsoló</t>
        </is>
      </c>
    </row>
    <row r="109">
      <c r="A109" s="4" t="n">
        <v>68</v>
      </c>
      <c r="B109" s="4" t="inlineStr">
        <is>
          <t>GRO2593</t>
        </is>
      </c>
      <c r="C109" s="4" t="inlineStr">
        <is>
          <t>Műanyag csőtoldó és idomkapcsoló beépítőkerettel 200 mm légcsatornához</t>
        </is>
      </c>
      <c r="D109" s="4" t="inlineStr">
        <is>
          <t>Elsődleges</t>
        </is>
      </c>
      <c r="E109" s="4" t="inlineStr">
        <is>
          <t>Erős</t>
        </is>
      </c>
      <c r="F109" s="4" t="inlineStr">
        <is>
          <t>Idom, bővítő / szűkítő, csőtoldó, visszacsapó szelep, csőkapcsoló</t>
        </is>
      </c>
    </row>
    <row r="110">
      <c r="A110" s="4" t="n">
        <v>69</v>
      </c>
      <c r="B110" s="4" t="inlineStr">
        <is>
          <t>GRO2594</t>
        </is>
      </c>
      <c r="C110" s="4" t="inlineStr">
        <is>
          <t>Műanyag csőtoldó visszacsapószeleppel és beépítőkerettel 200 mm légcsatornához</t>
        </is>
      </c>
      <c r="D110" s="4" t="inlineStr">
        <is>
          <t>Elsődleges</t>
        </is>
      </c>
      <c r="E110" s="4" t="inlineStr">
        <is>
          <t>Erős</t>
        </is>
      </c>
      <c r="F110" s="4" t="inlineStr">
        <is>
          <t>Idom, bővítő / szűkítő, csőtoldó, visszacsapó szelep, csőkapcsoló</t>
        </is>
      </c>
    </row>
    <row r="111">
      <c r="A111" s="4" t="n">
        <v>70</v>
      </c>
      <c r="B111" s="4" t="inlineStr">
        <is>
          <t>GRO2596</t>
        </is>
      </c>
      <c r="C111" s="4" t="inlineStr">
        <is>
          <t>Üvegszál erősítésű alumínium ragasztószalag 50 mm, 50 m, légcsatornákhoz</t>
        </is>
      </c>
      <c r="D111" s="4" t="inlineStr">
        <is>
          <t>Elsődleges</t>
        </is>
      </c>
      <c r="E111" s="4" t="inlineStr">
        <is>
          <t>Erős</t>
        </is>
      </c>
      <c r="F111" s="4" t="inlineStr">
        <is>
          <t>Alumínium / Duct Tape ragasztószalag</t>
        </is>
      </c>
    </row>
    <row r="112">
      <c r="A112" s="4" t="n">
        <v>71</v>
      </c>
      <c r="B112" s="4" t="inlineStr">
        <is>
          <t>GRO2597</t>
        </is>
      </c>
      <c r="C112" s="4" t="inlineStr">
        <is>
          <t>Duct Tape PVC ragasztószalag 50 mm, 50 m, légcsövekhez és javításokhoz</t>
        </is>
      </c>
      <c r="D112" s="4" t="inlineStr">
        <is>
          <t>Elsődleges</t>
        </is>
      </c>
      <c r="E112" s="4" t="inlineStr">
        <is>
          <t>Erős</t>
        </is>
      </c>
      <c r="F112" s="4" t="inlineStr">
        <is>
          <t>Alumínium / Duct Tape ragasztószalag</t>
        </is>
      </c>
    </row>
    <row r="113">
      <c r="A113" s="4" t="n">
        <v>72</v>
      </c>
      <c r="B113" s="4" t="inlineStr">
        <is>
          <t>GRO2598</t>
        </is>
      </c>
      <c r="C113" s="4" t="inlineStr">
        <is>
          <t>Bővítő cső 100–150 mm légcsatornához, szellőzőrendszerekhez</t>
        </is>
      </c>
      <c r="D113" s="4" t="inlineStr">
        <is>
          <t>Elsődleges</t>
        </is>
      </c>
      <c r="E113" s="4" t="inlineStr">
        <is>
          <t>Erős</t>
        </is>
      </c>
      <c r="F113" s="4" t="inlineStr">
        <is>
          <t>Idom, bővítő / szűkítő, csőtoldó, visszacsapó szelep, csőkapcsoló</t>
        </is>
      </c>
    </row>
    <row r="114">
      <c r="A114" s="4" t="n">
        <v>73</v>
      </c>
      <c r="B114" s="4" t="inlineStr">
        <is>
          <t>GRO2601</t>
        </is>
      </c>
      <c r="C114" s="4" t="inlineStr">
        <is>
          <t>Keskeny légtechnikai bilincs 90–110 mm, horganyzott acél, Vents C 100 Zn</t>
        </is>
      </c>
      <c r="D114" s="4" t="inlineStr">
        <is>
          <t>Elsődleges</t>
        </is>
      </c>
      <c r="E114" s="4" t="inlineStr">
        <is>
          <t>Erős</t>
        </is>
      </c>
      <c r="F114" s="4" t="inlineStr">
        <is>
          <t>Légtechnikai bilincs</t>
        </is>
      </c>
    </row>
    <row r="115">
      <c r="A115" s="4" t="n">
        <v>74</v>
      </c>
      <c r="B115" s="4" t="inlineStr">
        <is>
          <t>GRO2602</t>
        </is>
      </c>
      <c r="C115" s="4" t="inlineStr">
        <is>
          <t>Csatos széles légtechnikai bilincs 200 mm, rezgéscsillapító, légcsövekhez</t>
        </is>
      </c>
      <c r="D115" s="4" t="inlineStr">
        <is>
          <t>Elsődleges</t>
        </is>
      </c>
      <c r="E115" s="4" t="inlineStr">
        <is>
          <t>Erős</t>
        </is>
      </c>
      <c r="F115" s="4" t="inlineStr">
        <is>
          <t>Légtechnikai bilincs</t>
        </is>
      </c>
    </row>
    <row r="116">
      <c r="A116" s="4" t="n">
        <v>75</v>
      </c>
      <c r="B116" s="4" t="inlineStr">
        <is>
          <t>GRO2603</t>
        </is>
      </c>
      <c r="C116" s="4" t="inlineStr">
        <is>
          <t>Falhoz rögzíthető csatos légtechnikai bilincs 315 mm, galvanizált acél</t>
        </is>
      </c>
      <c r="D116" s="4" t="inlineStr">
        <is>
          <t>Elsődleges</t>
        </is>
      </c>
      <c r="E116" s="4" t="inlineStr">
        <is>
          <t>Erős</t>
        </is>
      </c>
      <c r="F116" s="4" t="inlineStr">
        <is>
          <t>Légtechnikai bilincs</t>
        </is>
      </c>
    </row>
    <row r="117">
      <c r="A117" s="4" t="n">
        <v>76</v>
      </c>
      <c r="B117" s="4" t="inlineStr">
        <is>
          <t>GRO2736</t>
        </is>
      </c>
      <c r="C117" s="4" t="inlineStr">
        <is>
          <t>Can Filters Silencer CFS08 ventilátor hangtompító 200 mm, 50 cm, ásványgyapot szigeteléssel</t>
        </is>
      </c>
      <c r="D117" s="4" t="inlineStr">
        <is>
          <t>Elsődleges</t>
        </is>
      </c>
      <c r="E117" s="4" t="inlineStr">
        <is>
          <t>Erős</t>
        </is>
      </c>
      <c r="F117" s="4" t="inlineStr">
        <is>
          <t>Ventilátor hangtompító (Can Filters Silencer)</t>
        </is>
      </c>
    </row>
    <row r="118">
      <c r="A118" s="4" t="n">
        <v>77</v>
      </c>
      <c r="B118" s="4" t="inlineStr">
        <is>
          <t>GRO2756</t>
        </is>
      </c>
      <c r="C118" s="4" t="inlineStr">
        <is>
          <t>Keskeny csatos légtechnikai bilincs 60–165 mm, állítható fém csőbilincs</t>
        </is>
      </c>
      <c r="D118" s="4" t="inlineStr">
        <is>
          <t>Elsődleges</t>
        </is>
      </c>
      <c r="E118" s="4" t="inlineStr">
        <is>
          <t>Erős</t>
        </is>
      </c>
      <c r="F118" s="4" t="inlineStr">
        <is>
          <t>Légtechnikai bilincs</t>
        </is>
      </c>
    </row>
    <row r="119">
      <c r="A119" s="4" t="n">
        <v>78</v>
      </c>
      <c r="B119" s="4" t="inlineStr">
        <is>
          <t>GRO2889</t>
        </is>
      </c>
      <c r="C119" s="4" t="inlineStr">
        <is>
          <t>Alumínium ragasztószalag 50 mm, 50 m, légzáró, UV-álló, légcsatornákhoz</t>
        </is>
      </c>
      <c r="D119" s="4" t="inlineStr">
        <is>
          <t>Elsődleges</t>
        </is>
      </c>
      <c r="E119" s="4" t="inlineStr">
        <is>
          <t>Erős</t>
        </is>
      </c>
      <c r="F119" s="4" t="inlineStr">
        <is>
          <t>Alumínium / Duct Tape ragasztószalag</t>
        </is>
      </c>
    </row>
    <row r="120">
      <c r="A120" s="4" t="n">
        <v>79</v>
      </c>
      <c r="B120" s="4" t="inlineStr">
        <is>
          <t>GRO2890</t>
        </is>
      </c>
      <c r="C120" s="4" t="inlineStr">
        <is>
          <t>Alumínium ragasztószalag 50 mm, 30 m, légzáró, UV-álló, légcsatornákhoz</t>
        </is>
      </c>
      <c r="D120" s="4" t="inlineStr">
        <is>
          <t>Elsődleges</t>
        </is>
      </c>
      <c r="E120" s="4" t="inlineStr">
        <is>
          <t>Erős</t>
        </is>
      </c>
      <c r="F120" s="4" t="inlineStr">
        <is>
          <t>Alumínium / Duct Tape ragasztószalag</t>
        </is>
      </c>
    </row>
    <row r="121">
      <c r="A121" s="4" t="n">
        <v>80</v>
      </c>
      <c r="B121" s="4" t="inlineStr">
        <is>
          <t>GRO2891</t>
        </is>
      </c>
      <c r="C121" s="4" t="inlineStr">
        <is>
          <t>Alumínium ragasztószalag 50 mm, 10 m, légzáró, UV-álló, légcsatornákhoz</t>
        </is>
      </c>
      <c r="D121" s="4" t="inlineStr">
        <is>
          <t>Elsődleges</t>
        </is>
      </c>
      <c r="E121" s="4" t="inlineStr">
        <is>
          <t>Erős</t>
        </is>
      </c>
      <c r="F121" s="4" t="inlineStr">
        <is>
          <t>Alumínium / Duct Tape ragasztószalag</t>
        </is>
      </c>
    </row>
    <row r="122">
      <c r="A122" s="4" t="n">
        <v>81</v>
      </c>
      <c r="B122" s="4" t="inlineStr">
        <is>
          <t>GRO3028</t>
        </is>
      </c>
      <c r="C122" s="4" t="inlineStr">
        <is>
          <t>Flexibilis alumínium légcsatorna cső Aluflex 315 mm, 5 m</t>
        </is>
      </c>
      <c r="D122" s="4" t="inlineStr">
        <is>
          <t>Elsődleges</t>
        </is>
      </c>
      <c r="E122" s="4" t="inlineStr">
        <is>
          <t>Erős</t>
        </is>
      </c>
      <c r="F122" s="4" t="inlineStr">
        <is>
          <t>Flexibilis légcsatorna cső (Aluflex, Sonoflex, Combiflex)</t>
        </is>
      </c>
    </row>
    <row r="123">
      <c r="A123" s="4" t="n">
        <v>82</v>
      </c>
      <c r="B123" s="4" t="inlineStr">
        <is>
          <t>GRO3059</t>
        </is>
      </c>
      <c r="C123" s="4" t="inlineStr">
        <is>
          <t>Can Filters Silencer CFS10 ventilátor hangtompító 315 mm, 50 cm, ásványgyapot szigeteléssel</t>
        </is>
      </c>
      <c r="D123" s="4" t="inlineStr">
        <is>
          <t>Elsődleges</t>
        </is>
      </c>
      <c r="E123" s="4" t="inlineStr">
        <is>
          <t>Erős</t>
        </is>
      </c>
      <c r="F123" s="4" t="inlineStr">
        <is>
          <t>Ventilátor hangtompító (Can Filters Silencer)</t>
        </is>
      </c>
    </row>
    <row r="124">
      <c r="A124" s="8" t="n">
        <v>83</v>
      </c>
      <c r="B124" s="8" t="inlineStr">
        <is>
          <t>GRO3109</t>
        </is>
      </c>
      <c r="C124" s="8" t="inlineStr">
        <is>
          <t>Secret Jardin DF16 csatlakozó sátor kivágáshoz, Ø125 mm, DF16 kerethez</t>
        </is>
      </c>
      <c r="D124" s="8" t="inlineStr">
        <is>
          <t>Elsődleges</t>
        </is>
      </c>
      <c r="E124" s="8" t="inlineStr">
        <is>
          <t>Laza</t>
        </is>
      </c>
      <c r="F124" s="8" t="inlineStr">
        <is>
          <t>Secret Jardin DF16 csatlakozó sátor kivágáshoz</t>
        </is>
      </c>
    </row>
    <row r="125">
      <c r="A125" s="8" t="n">
        <v>84</v>
      </c>
      <c r="B125" s="8" t="inlineStr">
        <is>
          <t>GRO3110</t>
        </is>
      </c>
      <c r="C125" s="8" t="inlineStr">
        <is>
          <t>Secret Jardin DF16 csatlakozó sátor kivágáshoz, Ø150 mm, DF16 kerethez</t>
        </is>
      </c>
      <c r="D125" s="8" t="inlineStr">
        <is>
          <t>Elsődleges</t>
        </is>
      </c>
      <c r="E125" s="8" t="inlineStr">
        <is>
          <t>Laza</t>
        </is>
      </c>
      <c r="F125" s="8" t="inlineStr">
        <is>
          <t>Secret Jardin DF16 csatlakozó sátor kivágáshoz</t>
        </is>
      </c>
    </row>
    <row r="126">
      <c r="A126" s="4" t="n">
        <v>85</v>
      </c>
      <c r="B126" s="4" t="inlineStr">
        <is>
          <t>GRO3275</t>
        </is>
      </c>
      <c r="C126" s="4" t="inlineStr">
        <is>
          <t>Műanyag szűkítő / bővítő cső 150-160</t>
        </is>
      </c>
      <c r="D126" s="4" t="inlineStr">
        <is>
          <t>Elsődleges</t>
        </is>
      </c>
      <c r="E126" s="4" t="inlineStr">
        <is>
          <t>Erős</t>
        </is>
      </c>
      <c r="F126" s="4" t="inlineStr">
        <is>
          <t>Idom, bővítő / szűkítő, csőtoldó, visszacsapó szelep, csőkapcsoló</t>
        </is>
      </c>
    </row>
    <row r="127">
      <c r="A127" s="8" t="n">
        <v>86</v>
      </c>
      <c r="B127" s="8" t="inlineStr">
        <is>
          <t>GRO3530</t>
        </is>
      </c>
      <c r="C127" s="8" t="inlineStr">
        <is>
          <t>Secret Jardin sátor kivágáshoz csatlakozó (DF16 keret) Ø100 mm</t>
        </is>
      </c>
      <c r="D127" s="8" t="inlineStr">
        <is>
          <t>Elsődleges</t>
        </is>
      </c>
      <c r="E127" s="8" t="inlineStr">
        <is>
          <t>Laza</t>
        </is>
      </c>
      <c r="F127" s="8" t="inlineStr">
        <is>
          <t>Secret Jardin DF16 csatlakozó sátor kivágáshoz</t>
        </is>
      </c>
    </row>
    <row r="128">
      <c r="A128" s="4" t="n">
        <v>87</v>
      </c>
      <c r="B128" s="4" t="inlineStr">
        <is>
          <t>GRO3543</t>
        </is>
      </c>
      <c r="C128" s="4" t="inlineStr">
        <is>
          <t>Can Filter Silencer (Ventilátor hangtompító) CFS09</t>
        </is>
      </c>
      <c r="D128" s="4" t="inlineStr">
        <is>
          <t>Elsődleges</t>
        </is>
      </c>
      <c r="E128" s="4" t="inlineStr">
        <is>
          <t>Erős</t>
        </is>
      </c>
      <c r="F128" s="4" t="inlineStr">
        <is>
          <t>Ventilátor hangtompító (Can Filters Silencer)</t>
        </is>
      </c>
    </row>
    <row r="129">
      <c r="A129" s="4" t="n">
        <v>88</v>
      </c>
      <c r="B129" s="4" t="inlineStr">
        <is>
          <t>GRO3545</t>
        </is>
      </c>
      <c r="C129" s="4" t="inlineStr">
        <is>
          <t>Can Filter Silencer (Ventilátor hangtompító) CFS03</t>
        </is>
      </c>
      <c r="D129" s="4" t="inlineStr">
        <is>
          <t>Elsődleges</t>
        </is>
      </c>
      <c r="E129" s="4" t="inlineStr">
        <is>
          <t>Erős</t>
        </is>
      </c>
      <c r="F129" s="4" t="inlineStr">
        <is>
          <t>Ventilátor hangtompító (Can Filters Silencer)</t>
        </is>
      </c>
    </row>
    <row r="130">
      <c r="A130" s="4" t="n">
        <v>89</v>
      </c>
      <c r="B130" s="4" t="inlineStr">
        <is>
          <t>GRO3546</t>
        </is>
      </c>
      <c r="C130" s="4" t="inlineStr">
        <is>
          <t>Can Filter Silencer (Ventilátor hangtompító CFS01</t>
        </is>
      </c>
      <c r="D130" s="4" t="inlineStr">
        <is>
          <t>Elsődleges</t>
        </is>
      </c>
      <c r="E130" s="4" t="inlineStr">
        <is>
          <t>Erős</t>
        </is>
      </c>
      <c r="F130" s="4" t="inlineStr">
        <is>
          <t>Ventilátor hangtompító (Can Filters Silencer)</t>
        </is>
      </c>
    </row>
    <row r="131">
      <c r="A131" s="4" t="n">
        <v>90</v>
      </c>
      <c r="B131" s="4" t="inlineStr">
        <is>
          <t>GRO3580</t>
        </is>
      </c>
      <c r="C131" s="4" t="inlineStr">
        <is>
          <t>Légtechnikai csőkapcsoló Ø200 mm</t>
        </is>
      </c>
      <c r="D131" s="4" t="inlineStr">
        <is>
          <t>Elsődleges</t>
        </is>
      </c>
      <c r="E131" s="4" t="inlineStr">
        <is>
          <t>Erős</t>
        </is>
      </c>
      <c r="F131" s="4" t="inlineStr">
        <is>
          <t>Idom, bővítő / szűkítő, csőtoldó, visszacsapó szelep, csőkapcsoló</t>
        </is>
      </c>
    </row>
    <row r="132">
      <c r="A132" s="4" t="n">
        <v>91</v>
      </c>
      <c r="B132" s="4" t="inlineStr">
        <is>
          <t>GRO3581</t>
        </is>
      </c>
      <c r="C132" s="4" t="inlineStr">
        <is>
          <t>Légtechnikai csőkapcsoló Ø250 mm</t>
        </is>
      </c>
      <c r="D132" s="4" t="inlineStr">
        <is>
          <t>Elsődleges</t>
        </is>
      </c>
      <c r="E132" s="4" t="inlineStr">
        <is>
          <t>Erős</t>
        </is>
      </c>
      <c r="F132" s="4" t="inlineStr">
        <is>
          <t>Idom, bővítő / szűkítő, csőtoldó, visszacsapó szelep, csőkapcsoló</t>
        </is>
      </c>
    </row>
    <row r="133">
      <c r="A133" s="4" t="n">
        <v>92</v>
      </c>
      <c r="B133" s="4" t="inlineStr">
        <is>
          <t>GRO3582</t>
        </is>
      </c>
      <c r="C133" s="4" t="inlineStr">
        <is>
          <t>Légtechnikai csőkapcsoló Ø315 mm</t>
        </is>
      </c>
      <c r="D133" s="4" t="inlineStr">
        <is>
          <t>Elsődleges</t>
        </is>
      </c>
      <c r="E133" s="4" t="inlineStr">
        <is>
          <t>Erős</t>
        </is>
      </c>
      <c r="F133" s="4" t="inlineStr">
        <is>
          <t>Idom, bővítő / szűkítő, csőtoldó, visszacsapó szelep, csőkapcsoló</t>
        </is>
      </c>
    </row>
    <row r="134">
      <c r="A134" s="4" t="n">
        <v>93</v>
      </c>
      <c r="B134" s="4" t="inlineStr">
        <is>
          <t>GRO3588</t>
        </is>
      </c>
      <c r="C134" s="4" t="inlineStr">
        <is>
          <t>Légtechnikai idomkapcsoló Ø200 mm</t>
        </is>
      </c>
      <c r="D134" s="4" t="inlineStr">
        <is>
          <t>Elsődleges</t>
        </is>
      </c>
      <c r="E134" s="4" t="inlineStr">
        <is>
          <t>Erős</t>
        </is>
      </c>
      <c r="F134" s="4" t="inlineStr">
        <is>
          <t>Idom, bővítő / szűkítő, csőtoldó, visszacsapó szelep, csőkapcsoló</t>
        </is>
      </c>
    </row>
    <row r="135">
      <c r="A135" s="4" t="n">
        <v>94</v>
      </c>
      <c r="B135" s="4" t="inlineStr">
        <is>
          <t>GRO3590</t>
        </is>
      </c>
      <c r="C135" s="4" t="inlineStr">
        <is>
          <t>Légtechnikai idomkapcsoló Ø315 mm</t>
        </is>
      </c>
      <c r="D135" s="4" t="inlineStr">
        <is>
          <t>Elsődleges</t>
        </is>
      </c>
      <c r="E135" s="4" t="inlineStr">
        <is>
          <t>Erős</t>
        </is>
      </c>
      <c r="F135" s="4" t="inlineStr">
        <is>
          <t>Idom, bővítő / szűkítő, csőtoldó, visszacsapó szelep, csőkapcsoló</t>
        </is>
      </c>
    </row>
    <row r="136">
      <c r="A136" s="4" t="n">
        <v>95</v>
      </c>
      <c r="B136" s="4" t="inlineStr">
        <is>
          <t>GRO3591</t>
        </is>
      </c>
      <c r="C136" s="4" t="inlineStr">
        <is>
          <t>Légtechnikai idomkapcsoló Ø350 mm</t>
        </is>
      </c>
      <c r="D136" s="4" t="inlineStr">
        <is>
          <t>Elsődleges</t>
        </is>
      </c>
      <c r="E136" s="4" t="inlineStr">
        <is>
          <t>Erős</t>
        </is>
      </c>
      <c r="F136" s="4" t="inlineStr">
        <is>
          <t>Idom, bővítő / szűkítő, csőtoldó, visszacsapó szelep, csőkapcsoló</t>
        </is>
      </c>
    </row>
    <row r="137">
      <c r="A137" s="4" t="n">
        <v>96</v>
      </c>
      <c r="B137" s="4" t="inlineStr">
        <is>
          <t>GRO3718</t>
        </is>
      </c>
      <c r="C137" s="4" t="inlineStr">
        <is>
          <t>Secret Jardin légtechnika bilincs (gumi) RD100</t>
        </is>
      </c>
      <c r="D137" s="4" t="inlineStr">
        <is>
          <t>Elsődleges</t>
        </is>
      </c>
      <c r="E137" s="4" t="inlineStr">
        <is>
          <t>Erős</t>
        </is>
      </c>
      <c r="F137" s="4" t="inlineStr">
        <is>
          <t>Légtechnikai bilincs</t>
        </is>
      </c>
    </row>
    <row r="138">
      <c r="A138" s="4" t="n">
        <v>97</v>
      </c>
      <c r="B138" s="4" t="inlineStr">
        <is>
          <t>GRO3719</t>
        </is>
      </c>
      <c r="C138" s="4" t="inlineStr">
        <is>
          <t>Secret Jardin légtechnika bilincs (gumi) RD125</t>
        </is>
      </c>
      <c r="D138" s="4" t="inlineStr">
        <is>
          <t>Elsődleges</t>
        </is>
      </c>
      <c r="E138" s="4" t="inlineStr">
        <is>
          <t>Erős</t>
        </is>
      </c>
      <c r="F138" s="4" t="inlineStr">
        <is>
          <t>Légtechnikai bilincs</t>
        </is>
      </c>
    </row>
    <row r="139">
      <c r="A139" s="4" t="n">
        <v>98</v>
      </c>
      <c r="B139" s="4" t="inlineStr">
        <is>
          <t>GRO3720</t>
        </is>
      </c>
      <c r="C139" s="4" t="inlineStr">
        <is>
          <t>Secret Jardin légtechnika bilincs (gumi) RD150</t>
        </is>
      </c>
      <c r="D139" s="4" t="inlineStr">
        <is>
          <t>Elsődleges</t>
        </is>
      </c>
      <c r="E139" s="4" t="inlineStr">
        <is>
          <t>Erős</t>
        </is>
      </c>
      <c r="F139" s="4" t="inlineStr">
        <is>
          <t>Légtechnikai bilincs</t>
        </is>
      </c>
    </row>
    <row r="140">
      <c r="A140" s="4" t="n">
        <v>99</v>
      </c>
      <c r="B140" s="4" t="inlineStr">
        <is>
          <t>GRO3721</t>
        </is>
      </c>
      <c r="C140" s="4" t="inlineStr">
        <is>
          <t>Secret Jardin légtechnika bilincs (gumi) RD200</t>
        </is>
      </c>
      <c r="D140" s="4" t="inlineStr">
        <is>
          <t>Elsődleges</t>
        </is>
      </c>
      <c r="E140" s="4" t="inlineStr">
        <is>
          <t>Erős</t>
        </is>
      </c>
      <c r="F140" s="4" t="inlineStr">
        <is>
          <t>Légtechnikai bilincs</t>
        </is>
      </c>
    </row>
    <row r="141">
      <c r="A141" s="4" t="n">
        <v>100</v>
      </c>
      <c r="B141" s="4" t="inlineStr">
        <is>
          <t>GRO3722</t>
        </is>
      </c>
      <c r="C141" s="4" t="inlineStr">
        <is>
          <t>Secret Jardin légtechnika bilincs (gumi) RD250</t>
        </is>
      </c>
      <c r="D141" s="4" t="inlineStr">
        <is>
          <t>Elsődleges</t>
        </is>
      </c>
      <c r="E141" s="4" t="inlineStr">
        <is>
          <t>Erős</t>
        </is>
      </c>
      <c r="F141" s="4" t="inlineStr">
        <is>
          <t>Légtechnikai bilincs</t>
        </is>
      </c>
    </row>
    <row r="142">
      <c r="A142" s="4" t="n">
        <v>101</v>
      </c>
      <c r="B142" s="4" t="inlineStr">
        <is>
          <t>GRO3778</t>
        </is>
      </c>
      <c r="C142" s="4" t="inlineStr">
        <is>
          <t>Ona szövetszálas ragasztószalag 50 mm</t>
        </is>
      </c>
      <c r="D142" s="4" t="inlineStr">
        <is>
          <t>Elsődleges</t>
        </is>
      </c>
      <c r="E142" s="4" t="inlineStr">
        <is>
          <t>Erős</t>
        </is>
      </c>
      <c r="F142" s="4" t="inlineStr">
        <is>
          <t>ONA ragasztószalag légcsatornához</t>
        </is>
      </c>
    </row>
    <row r="143">
      <c r="A143" s="4" t="n">
        <v>102</v>
      </c>
      <c r="B143" s="4" t="inlineStr">
        <is>
          <t>GRO3779</t>
        </is>
      </c>
      <c r="C143" s="4" t="inlineStr">
        <is>
          <t>ONA fémezett fólia-ragasztószalag 75 mm</t>
        </is>
      </c>
      <c r="D143" s="4" t="inlineStr">
        <is>
          <t>Elsődleges</t>
        </is>
      </c>
      <c r="E143" s="4" t="inlineStr">
        <is>
          <t>Erős</t>
        </is>
      </c>
      <c r="F143" s="4" t="inlineStr">
        <is>
          <t>ONA ragasztószalag légcsatornához</t>
        </is>
      </c>
    </row>
    <row r="144">
      <c r="A144" s="4" t="n">
        <v>103</v>
      </c>
      <c r="B144" s="4" t="inlineStr">
        <is>
          <t>GRO4304</t>
        </is>
      </c>
      <c r="C144" s="4" t="inlineStr">
        <is>
          <t>AC Infinity Zajcsökkentő bilincs rozsdamentes acél 100mm</t>
        </is>
      </c>
      <c r="D144" s="4" t="inlineStr">
        <is>
          <t>Elsődleges</t>
        </is>
      </c>
      <c r="E144" s="4" t="inlineStr">
        <is>
          <t>Erős</t>
        </is>
      </c>
      <c r="F144" s="4" t="inlineStr">
        <is>
          <t>Légtechnikai bilincs</t>
        </is>
      </c>
    </row>
    <row r="145">
      <c r="A145" s="4" t="n">
        <v>104</v>
      </c>
      <c r="B145" s="4" t="inlineStr">
        <is>
          <t>GRO4305</t>
        </is>
      </c>
      <c r="C145" s="4" t="inlineStr">
        <is>
          <t>AC Infinity aluflex flexibilis cső d: 100 mm 2,44 m</t>
        </is>
      </c>
      <c r="D145" s="4" t="inlineStr">
        <is>
          <t>Elsődleges</t>
        </is>
      </c>
      <c r="E145" s="4" t="inlineStr">
        <is>
          <t>Erős</t>
        </is>
      </c>
      <c r="F145" s="4" t="inlineStr">
        <is>
          <t>Flexibilis légcsatorna cső (Aluflex, Sonoflex, Combiflex)</t>
        </is>
      </c>
    </row>
    <row r="146">
      <c r="A146" s="4" t="n">
        <v>105</v>
      </c>
      <c r="B146" s="4" t="inlineStr">
        <is>
          <t>GRO4501</t>
        </is>
      </c>
      <c r="C146" s="4" t="inlineStr">
        <is>
          <t>Flexibilis alumínium légcsatorna cső AC Infinity 150 mm, 2,4 m, 2 bilinccsel</t>
        </is>
      </c>
      <c r="D146" s="4" t="inlineStr">
        <is>
          <t>Elsődleges</t>
        </is>
      </c>
      <c r="E146" s="4" t="inlineStr">
        <is>
          <t>Erős</t>
        </is>
      </c>
      <c r="F146" s="4" t="inlineStr">
        <is>
          <t>Flexibilis légcsatorna cső (Aluflex, Sonoflex, Combiflex)</t>
        </is>
      </c>
    </row>
    <row r="147">
      <c r="A147" s="4" t="n">
        <v>106</v>
      </c>
      <c r="B147" s="4" t="inlineStr">
        <is>
          <t>GRO4529</t>
        </is>
      </c>
      <c r="C147" s="4" t="inlineStr">
        <is>
          <t>AC Infinity Aluflex négyrétegű flexibilis légcsatorna cső 200 mm, 7,6 m</t>
        </is>
      </c>
      <c r="D147" s="4" t="inlineStr">
        <is>
          <t>Elsődleges</t>
        </is>
      </c>
      <c r="E147" s="4" t="inlineStr">
        <is>
          <t>Erős</t>
        </is>
      </c>
      <c r="F147" s="4" t="inlineStr">
        <is>
          <t>Flexibilis légcsatorna cső (Aluflex, Sonoflex, Combiflex)</t>
        </is>
      </c>
    </row>
    <row r="148">
      <c r="A148" s="4" t="n">
        <v>107</v>
      </c>
      <c r="B148" s="4" t="inlineStr">
        <is>
          <t>GRO4703</t>
        </is>
      </c>
      <c r="C148" s="4" t="inlineStr">
        <is>
          <t>Aluflex flexibilis légcső 102 mm, 3 m</t>
        </is>
      </c>
      <c r="D148" s="4" t="inlineStr">
        <is>
          <t>Elsődleges</t>
        </is>
      </c>
      <c r="E148" s="4" t="inlineStr">
        <is>
          <t>Erős</t>
        </is>
      </c>
      <c r="F148" s="4" t="inlineStr">
        <is>
          <t>Flexibilis légcsatorna cső (Aluflex, Sonoflex, Combiflex)</t>
        </is>
      </c>
    </row>
    <row r="149">
      <c r="A149" s="4" t="n">
        <v>108</v>
      </c>
      <c r="B149" s="4" t="inlineStr">
        <is>
          <t>GRO4705</t>
        </is>
      </c>
      <c r="C149" s="4" t="inlineStr">
        <is>
          <t>Aluflex flexibilis légcső 152 mm, 3 m</t>
        </is>
      </c>
      <c r="D149" s="4" t="inlineStr">
        <is>
          <t>Elsődleges</t>
        </is>
      </c>
      <c r="E149" s="4" t="inlineStr">
        <is>
          <t>Erős</t>
        </is>
      </c>
      <c r="F149" s="4" t="inlineStr">
        <is>
          <t>Flexibilis légcsatorna cső (Aluflex, Sonoflex, Combiflex)</t>
        </is>
      </c>
    </row>
    <row r="150">
      <c r="A150" s="4" t="n">
        <v>109</v>
      </c>
      <c r="B150" s="4" t="inlineStr">
        <is>
          <t>GRO2485</t>
        </is>
      </c>
      <c r="C150" s="4" t="inlineStr">
        <is>
          <t>ONA Air Filter beépíthető szagtalanító ONA Block tömbökhöz, 100 mm-es légcsatornába</t>
        </is>
      </c>
      <c r="D150" s="4" t="inlineStr">
        <is>
          <t>Másodlagos</t>
        </is>
      </c>
      <c r="E150" s="4" t="inlineStr">
        <is>
          <t>Erős</t>
        </is>
      </c>
      <c r="F150" s="4" t="inlineStr">
        <is>
          <t>ONA Air Filter – légcsatornába építhető</t>
        </is>
      </c>
    </row>
    <row r="151">
      <c r="A151" s="4" t="n">
        <v>110</v>
      </c>
      <c r="B151" s="4" t="inlineStr">
        <is>
          <t>GRO2486</t>
        </is>
      </c>
      <c r="C151" s="4" t="inlineStr">
        <is>
          <t>ONA Air Filter beépíthető szagtalanító ONA Block tömbökhöz, 125 mm-es légcsatornába</t>
        </is>
      </c>
      <c r="D151" s="4" t="inlineStr">
        <is>
          <t>Másodlagos</t>
        </is>
      </c>
      <c r="E151" s="4" t="inlineStr">
        <is>
          <t>Erős</t>
        </is>
      </c>
      <c r="F151" s="4" t="inlineStr">
        <is>
          <t>ONA Air Filter – légcsatornába építhető</t>
        </is>
      </c>
    </row>
    <row r="152">
      <c r="A152" s="4" t="n">
        <v>111</v>
      </c>
      <c r="B152" s="4" t="inlineStr">
        <is>
          <t>GRO2487</t>
        </is>
      </c>
      <c r="C152" s="4" t="inlineStr">
        <is>
          <t>ONA Air Filter beépíthető szagtalanító ONA Block tömbökhöz, 150 mm-es légcsatornába</t>
        </is>
      </c>
      <c r="D152" s="4" t="inlineStr">
        <is>
          <t>Másodlagos</t>
        </is>
      </c>
      <c r="E152" s="4" t="inlineStr">
        <is>
          <t>Erős</t>
        </is>
      </c>
      <c r="F152" s="4" t="inlineStr">
        <is>
          <t>ONA Air Filter – légcsatornába építhető</t>
        </is>
      </c>
    </row>
    <row r="153">
      <c r="A153" s="4" t="n">
        <v>112</v>
      </c>
      <c r="B153" s="4" t="inlineStr">
        <is>
          <t>GRO2488</t>
        </is>
      </c>
      <c r="C153" s="4" t="inlineStr">
        <is>
          <t>ONA Air Filter beépíthető szagtalanító ONA Block tömbökhöz, 200 mm-es légcsatornába</t>
        </is>
      </c>
      <c r="D153" s="4" t="inlineStr">
        <is>
          <t>Másodlagos</t>
        </is>
      </c>
      <c r="E153" s="4" t="inlineStr">
        <is>
          <t>Erős</t>
        </is>
      </c>
      <c r="F153" s="4" t="inlineStr">
        <is>
          <t>ONA Air Filter – légcsatornába építhető</t>
        </is>
      </c>
    </row>
    <row r="154">
      <c r="A154" s="4" t="n">
        <v>113</v>
      </c>
      <c r="B154" s="4" t="inlineStr">
        <is>
          <t>GRO2489</t>
        </is>
      </c>
      <c r="C154" s="4" t="inlineStr">
        <is>
          <t>ONA Air Filter beépíthető szagtalanító ONA Block tömbökhöz, 250 mm-es légcsatornába</t>
        </is>
      </c>
      <c r="D154" s="4" t="inlineStr">
        <is>
          <t>Másodlagos</t>
        </is>
      </c>
      <c r="E154" s="4" t="inlineStr">
        <is>
          <t>Erős</t>
        </is>
      </c>
      <c r="F154" s="4" t="inlineStr">
        <is>
          <t>ONA Air Filter – légcsatornába építhető</t>
        </is>
      </c>
    </row>
    <row r="155">
      <c r="A155" s="4" t="n">
        <v>114</v>
      </c>
      <c r="B155" s="4" t="inlineStr">
        <is>
          <t>GRO2653</t>
        </is>
      </c>
      <c r="C155" s="4" t="inlineStr">
        <is>
          <t>ONA Air Filter beépíthető szagtalanító ONA Block tömbökhöz, 315 mm-es légcsatornába</t>
        </is>
      </c>
      <c r="D155" s="4" t="inlineStr">
        <is>
          <t>Másodlagos</t>
        </is>
      </c>
      <c r="E155" s="4" t="inlineStr">
        <is>
          <t>Erős</t>
        </is>
      </c>
      <c r="F155" s="4" t="inlineStr">
        <is>
          <t>ONA Air Filter – légcsatornába építhető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Szagsemlegesítő, ózongenerátor  –  fő kulcsszó: „szagsemlegesítő”</t>
        </is>
      </c>
    </row>
    <row r="2">
      <c r="A2" s="2" t="inlineStr">
        <is>
          <t>Felhasználási terület: Szagkezelés szénszűrő mellett / helyett – ONA gél, tömb, spray, légcsatornába építhető ONA szűrő, ózongenerátor</t>
        </is>
      </c>
    </row>
    <row r="3">
      <c r="A3" s="2" t="inlineStr">
        <is>
          <t>Megjegyzés: Az „ózongenerátor” (6600) a legnagyobb szó az egész ágban, de csak 1 ózongenerátor termékünk van – a fő kulcsszó a „szagsemlegesítő” (260) legyen, az ózongenerátor H2 / szűrő. Ha bővül az ózongenerátor-kínálat, külön 3. szintű kategóriát érdemel. A „szagtalanító spray” (390) jó az ONA spray-re.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szagsemlegesítő</t>
        </is>
      </c>
      <c r="C7" s="5" t="n">
        <v>260</v>
      </c>
      <c r="D7" s="4" t="inlineStr">
        <is>
          <t>Szoros</t>
        </is>
      </c>
      <c r="E7" s="4" t="inlineStr">
        <is>
          <t>Igen</t>
        </is>
      </c>
      <c r="F7" s="4" t="inlineStr">
        <is>
          <t>Szagkezelés szénszűrő mellett / helyett – ONA gél, tömb, spray, légcsatornába építhető ONA szűrő, ózongenerátor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ózongenerátor</t>
        </is>
      </c>
      <c r="C8" s="5" t="n">
        <v>6600</v>
      </c>
      <c r="D8" s="4" t="inlineStr">
        <is>
          <t>Szoros</t>
        </is>
      </c>
      <c r="E8" s="4" t="inlineStr">
        <is>
          <t>Igen</t>
        </is>
      </c>
      <c r="F8" s="4" t="inlineStr">
        <is>
          <t>Szagkezelés szénszűrő mellett / helyett – ONA gél, tömb, spray, légcsatornába építhető ONA szűrő, ózongenerátor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ozon generátor</t>
        </is>
      </c>
      <c r="C9" s="5" t="n">
        <v>1000</v>
      </c>
      <c r="D9" s="4" t="inlineStr">
        <is>
          <t>Szoros</t>
        </is>
      </c>
      <c r="E9" s="4" t="inlineStr">
        <is>
          <t>Igen</t>
        </is>
      </c>
      <c r="F9" s="4" t="inlineStr">
        <is>
          <t>Szagkezelés szénszűrő mellett / helyett – ONA gél, tömb, spray, légcsatornába építhető ONA szűrő, ózongenerátor</t>
        </is>
      </c>
      <c r="G9" s="4" t="inlineStr">
        <is>
          <t>Kategórialeírás (természetes említés)</t>
        </is>
      </c>
    </row>
    <row r="10">
      <c r="A10" s="4" t="n">
        <v>4</v>
      </c>
      <c r="B10" s="4" t="inlineStr">
        <is>
          <t>ózon generator</t>
        </is>
      </c>
      <c r="C10" s="5" t="n">
        <v>1000</v>
      </c>
      <c r="D10" s="4" t="inlineStr">
        <is>
          <t>Szoros</t>
        </is>
      </c>
      <c r="E10" s="4" t="inlineStr">
        <is>
          <t>Igen</t>
        </is>
      </c>
      <c r="F10" s="4" t="inlineStr">
        <is>
          <t>Szagkezelés szénszűrő mellett / helyett – ONA gél, tömb, spray, légcsatornába építhető ONA szűrő, ózongenerátor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ózóngenerátor</t>
        </is>
      </c>
      <c r="C11" s="5" t="n">
        <v>720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Szagkezelés szénszűrő mellett / helyett – ONA gél, tömb, spray, légcsatornába építhető ONA szűrő, ózongenerátor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ózongenerátor használata</t>
        </is>
      </c>
      <c r="C12" s="5" t="n">
        <v>720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Szagkezelés szénszűrő mellett / helyett – ONA gél, tömb, spray, légcsatornába építhető ONA szűrő, ózongenerátor</t>
        </is>
      </c>
      <c r="G12" s="4" t="inlineStr">
        <is>
          <t>Leírás alsó része, GYIK vagy blog</t>
        </is>
      </c>
    </row>
    <row r="13">
      <c r="A13" s="8" t="n">
        <v>7</v>
      </c>
      <c r="B13" s="8" t="inlineStr">
        <is>
          <t>ózongenerátor fertőtlenítés</t>
        </is>
      </c>
      <c r="C13" s="19" t="n">
        <v>590</v>
      </c>
      <c r="D13" s="8" t="inlineStr">
        <is>
          <t>Laza</t>
        </is>
      </c>
      <c r="E13" s="8" t="inlineStr">
        <is>
          <t>Igen</t>
        </is>
      </c>
      <c r="F13" s="8" t="inlineStr">
        <is>
          <t>Szagkezelés szénszűrő mellett / helyett – ONA gél, tömb, spray, légcsatornába építhető ONA szűrő, ózongenerátor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ózongenerátor ár</t>
        </is>
      </c>
      <c r="C14" s="5" t="n">
        <v>480</v>
      </c>
      <c r="D14" s="4" t="inlineStr">
        <is>
          <t>Szoros</t>
        </is>
      </c>
      <c r="E14" s="4" t="inlineStr">
        <is>
          <t>Igen</t>
        </is>
      </c>
      <c r="F14" s="4" t="inlineStr">
        <is>
          <t>Szagkezelés szénszűrő mellett / helyett – ONA gél, tömb, spray, légcsatornába építhető ONA szűrő, ózongenerátor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szagtalanító spray</t>
        </is>
      </c>
      <c r="C15" s="5" t="n">
        <v>390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Szagkezelés szénszűrő mellett / helyett – ONA gél, tömb, spray, légcsatornába építhető ONA szűrő, ózongenerátor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ózón generátor</t>
        </is>
      </c>
      <c r="C16" s="5" t="n">
        <v>390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Szagkezelés szénszűrő mellett / helyett – ONA gél, tömb, spray, légcsatornába építhető ONA szűrő, ózongenerátor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ózongenerátor mire jó</t>
        </is>
      </c>
      <c r="C17" s="5" t="n">
        <v>390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Szagkezelés szénszűrő mellett / helyett – ONA gél, tömb, spray, légcsatornába építhető ONA szűrő, ózongenerátor</t>
        </is>
      </c>
      <c r="G17" s="4" t="inlineStr">
        <is>
          <t>Leírás alsó része, GYIK vagy blog</t>
        </is>
      </c>
    </row>
    <row r="18">
      <c r="A18" s="8" t="n">
        <v>12</v>
      </c>
      <c r="B18" s="8" t="inlineStr">
        <is>
          <t>ózongenerátor tisztítás</t>
        </is>
      </c>
      <c r="C18" s="19" t="n">
        <v>320</v>
      </c>
      <c r="D18" s="8" t="inlineStr">
        <is>
          <t>Laza</t>
        </is>
      </c>
      <c r="E18" s="8" t="inlineStr">
        <is>
          <t>Igen</t>
        </is>
      </c>
      <c r="F18" s="8" t="inlineStr">
        <is>
          <t>Szagkezelés szénszűrő mellett / helyett – ONA gél, tömb, spray, légcsatornába építhető ONA szűrő, ózongenerátor</t>
        </is>
      </c>
      <c r="G18" s="8" t="inlineStr">
        <is>
          <t>Leírás alsó része, GYIK vagy blog</t>
        </is>
      </c>
    </row>
    <row r="19">
      <c r="A19" s="4" t="n">
        <v>13</v>
      </c>
      <c r="B19" s="4" t="inlineStr">
        <is>
          <t>szagsemlegesítő spray</t>
        </is>
      </c>
      <c r="C19" s="5" t="n">
        <v>210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Szagkezelés szénszűrő mellett / helyett – ONA gél, tömb, spray, légcsatornába építhető ONA szűrő, ózongenerátor</t>
        </is>
      </c>
      <c r="G19" s="4" t="inlineStr">
        <is>
          <t>SEO title / H1 / bevezető (másodlagos)</t>
        </is>
      </c>
    </row>
    <row r="20">
      <c r="A20" s="8" t="n">
        <v>14</v>
      </c>
      <c r="B20" s="8" t="inlineStr">
        <is>
          <t>ionizátor</t>
        </is>
      </c>
      <c r="C20" s="19" t="n">
        <v>210</v>
      </c>
      <c r="D20" s="8" t="inlineStr">
        <is>
          <t>Laza</t>
        </is>
      </c>
      <c r="E20" s="8" t="inlineStr">
        <is>
          <t>Igen</t>
        </is>
      </c>
      <c r="F20" s="8" t="inlineStr">
        <is>
          <t>Szagkezelés szénszűrő mellett / helyett – ONA gél, tömb, spray, légcsatornába építhető ONA szűrő, ózongenerátor</t>
        </is>
      </c>
      <c r="G20" s="8" t="inlineStr">
        <is>
          <t>Kategórialeírás (természetes említés)</t>
        </is>
      </c>
    </row>
    <row r="21">
      <c r="A21" s="4" t="n">
        <v>15</v>
      </c>
      <c r="B21" s="4" t="inlineStr">
        <is>
          <t>szagtalanító</t>
        </is>
      </c>
      <c r="C21" s="5" t="n">
        <v>170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Szagkezelés szénszűrő mellett / helyett – ONA gél, tömb, spray, légcsatornába építhető ONA szűrő, ózongenerátor</t>
        </is>
      </c>
      <c r="G21" s="4" t="inlineStr">
        <is>
          <t>SEO title / H1 / bevezető (másodlagos)</t>
        </is>
      </c>
    </row>
    <row r="22">
      <c r="A22" s="4" t="n">
        <v>16</v>
      </c>
      <c r="B22" s="4" t="inlineStr">
        <is>
          <t>legjobb ózongenerátor</t>
        </is>
      </c>
      <c r="C22" s="5" t="n">
        <v>170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Szagkezelés szénszűrő mellett / helyett – ONA gél, tömb, spray, légcsatornába építhető ONA szűrő, ózongenerátor</t>
        </is>
      </c>
      <c r="G22" s="4" t="inlineStr">
        <is>
          <t>Kategórialeírás (természetes említés)</t>
        </is>
      </c>
    </row>
    <row r="23">
      <c r="A23" s="8" t="n">
        <v>17</v>
      </c>
      <c r="B23" s="8" t="inlineStr">
        <is>
          <t>ózongenerátor autóba</t>
        </is>
      </c>
      <c r="C23" s="19" t="n">
        <v>170</v>
      </c>
      <c r="D23" s="8" t="inlineStr">
        <is>
          <t>Laza</t>
        </is>
      </c>
      <c r="E23" s="8" t="inlineStr">
        <is>
          <t>Igen</t>
        </is>
      </c>
      <c r="F23" s="8" t="inlineStr">
        <is>
          <t>Szagkezelés szénszűrő mellett / helyett – ONA gél, tömb, spray, légcsatornába építhető ONA szűrő, ózongenerátor</t>
        </is>
      </c>
      <c r="G23" s="8" t="inlineStr">
        <is>
          <t>Kategórialeírás (természetes említés)</t>
        </is>
      </c>
    </row>
    <row r="24">
      <c r="A24" s="4" t="n">
        <v>18</v>
      </c>
      <c r="B24" s="4" t="inlineStr">
        <is>
          <t>mire jó az ózongenerátor</t>
        </is>
      </c>
      <c r="C24" s="5" t="n">
        <v>170</v>
      </c>
      <c r="D24" s="4" t="inlineStr">
        <is>
          <t>Szoros</t>
        </is>
      </c>
      <c r="E24" s="4" t="inlineStr">
        <is>
          <t>Igen</t>
        </is>
      </c>
      <c r="F24" s="4" t="inlineStr">
        <is>
          <t>Szagkezelés szénszűrő mellett / helyett – ONA gél, tömb, spray, légcsatornába építhető ONA szűrő, ózongenerátor</t>
        </is>
      </c>
      <c r="G24" s="4" t="inlineStr">
        <is>
          <t>Leírás alsó része, GYIK vagy blog</t>
        </is>
      </c>
    </row>
    <row r="25">
      <c r="A25" s="10" t="n">
        <v>19</v>
      </c>
      <c r="B25" s="10" t="inlineStr">
        <is>
          <t>dm szagtalanító spray</t>
        </is>
      </c>
      <c r="C25" s="21" t="n">
        <v>140</v>
      </c>
      <c r="D25" s="10" t="inlineStr">
        <is>
          <t>Nincs (áruházi / nem vásárlási szándék)</t>
        </is>
      </c>
      <c r="E25" s="10" t="inlineStr">
        <is>
          <t>Nem – kizárandó</t>
        </is>
      </c>
      <c r="F25" s="10" t="inlineStr">
        <is>
          <t>Szagkezelés szénszűrő mellett / helyett – ONA gél, tömb, spray, légcsatornába építhető ONA szűrő, ózongenerátor</t>
        </is>
      </c>
      <c r="G25" s="10" t="inlineStr">
        <is>
          <t>Nem használni (áruházi/nem vásárlási szándék)</t>
        </is>
      </c>
    </row>
    <row r="26">
      <c r="A26" s="10" t="n">
        <v>20</v>
      </c>
      <c r="B26" s="10" t="inlineStr">
        <is>
          <t>sanytol szagtalanító</t>
        </is>
      </c>
      <c r="C26" s="21" t="n">
        <v>140</v>
      </c>
      <c r="D26" s="10" t="inlineStr">
        <is>
          <t>Nincs (áruházi / nem vásárlási szándék)</t>
        </is>
      </c>
      <c r="E26" s="10" t="inlineStr">
        <is>
          <t>Nem – kizárandó</t>
        </is>
      </c>
      <c r="F26" s="10" t="inlineStr">
        <is>
          <t>Szagkezelés szénszűrő mellett / helyett – ONA gél, tömb, spray, légcsatornába építhető ONA szűrő, ózongenerátor</t>
        </is>
      </c>
      <c r="G26" s="10" t="inlineStr">
        <is>
          <t>Nem használni (áruházi/nem vásárlási szándék)</t>
        </is>
      </c>
    </row>
    <row r="27">
      <c r="A27" s="4" t="n">
        <v>21</v>
      </c>
      <c r="B27" s="4" t="inlineStr">
        <is>
          <t>ózongenerátor lakásba</t>
        </is>
      </c>
      <c r="C27" s="5" t="n">
        <v>110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Szagkezelés szénszűrő mellett / helyett – ONA gél, tömb, spray, légcsatornába építhető ONA szűrő, ózongenerátor</t>
        </is>
      </c>
      <c r="G27" s="4" t="inlineStr">
        <is>
          <t>Kategórialeírás (természetes említés)</t>
        </is>
      </c>
    </row>
    <row r="28">
      <c r="A28" s="8" t="n">
        <v>22</v>
      </c>
      <c r="B28" s="8" t="inlineStr">
        <is>
          <t>ózongenerátor penész ellen</t>
        </is>
      </c>
      <c r="C28" s="19" t="n">
        <v>110</v>
      </c>
      <c r="D28" s="8" t="inlineStr">
        <is>
          <t>Laza</t>
        </is>
      </c>
      <c r="E28" s="8" t="inlineStr">
        <is>
          <t>Igen</t>
        </is>
      </c>
      <c r="F28" s="8" t="inlineStr">
        <is>
          <t>Szagkezelés szénszűrő mellett / helyett – ONA gél, tömb, spray, légcsatornába építhető ONA szűrő, ózongenerátor</t>
        </is>
      </c>
      <c r="G28" s="8" t="inlineStr">
        <is>
          <t>Kategórialeírás (természetes említés)</t>
        </is>
      </c>
    </row>
    <row r="29">
      <c r="A29" s="4" t="n">
        <v>23</v>
      </c>
      <c r="B29" s="4" t="inlineStr">
        <is>
          <t>szagtalanító készülék</t>
        </is>
      </c>
      <c r="C29" s="5" t="n">
        <v>90</v>
      </c>
      <c r="D29" s="4" t="inlineStr">
        <is>
          <t>Szoros</t>
        </is>
      </c>
      <c r="E29" s="4" t="inlineStr">
        <is>
          <t>Igen</t>
        </is>
      </c>
      <c r="F29" s="4" t="inlineStr">
        <is>
          <t>Szagkezelés szénszűrő mellett / helyett – ONA gél, tömb, spray, légcsatornába építhető ONA szűrő, ózongenerátor</t>
        </is>
      </c>
      <c r="G29" s="4" t="inlineStr">
        <is>
          <t>Kategórialeírás (természetes említés)</t>
        </is>
      </c>
    </row>
    <row r="30">
      <c r="A30" s="8" t="n">
        <v>24</v>
      </c>
      <c r="B30" s="8" t="inlineStr">
        <is>
          <t>levegő ionizátor</t>
        </is>
      </c>
      <c r="C30" s="19" t="n">
        <v>70</v>
      </c>
      <c r="D30" s="8" t="inlineStr">
        <is>
          <t>Laza</t>
        </is>
      </c>
      <c r="E30" s="8" t="inlineStr">
        <is>
          <t>Igen</t>
        </is>
      </c>
      <c r="F30" s="8" t="inlineStr">
        <is>
          <t>Szagkezelés szénszűrő mellett / helyett – ONA gél, tömb, spray, légcsatornába építhető ONA szűrő, ózongenerátor</t>
        </is>
      </c>
      <c r="G30" s="8" t="inlineStr">
        <is>
          <t>Kategórialeírás (természetes említés)</t>
        </is>
      </c>
    </row>
    <row r="31">
      <c r="A31" s="4" t="n">
        <v>25</v>
      </c>
      <c r="B31" s="4" t="inlineStr">
        <is>
          <t>levegő szagtalanító</t>
        </is>
      </c>
      <c r="C31" s="5" t="n">
        <v>50</v>
      </c>
      <c r="D31" s="4" t="inlineStr">
        <is>
          <t>Szoros</t>
        </is>
      </c>
      <c r="E31" s="4" t="inlineStr">
        <is>
          <t>Igen</t>
        </is>
      </c>
      <c r="F31" s="4" t="inlineStr">
        <is>
          <t>Szagkezelés szénszűrő mellett / helyett – ONA gél, tömb, spray, légcsatornába építhető ONA szűrő, ózongenerátor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ózonos szagtalanítás</t>
        </is>
      </c>
      <c r="C32" s="5" t="n">
        <v>40</v>
      </c>
      <c r="D32" s="4" t="inlineStr">
        <is>
          <t>Szoros</t>
        </is>
      </c>
      <c r="E32" s="4" t="inlineStr">
        <is>
          <t>Igen</t>
        </is>
      </c>
      <c r="F32" s="4" t="inlineStr">
        <is>
          <t>Szagkezelés szénszűrő mellett / helyett – ONA gél, tömb, spray, légcsatornába építhető ONA szűrő, ózongenerátor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mini ózongenerátor</t>
        </is>
      </c>
      <c r="C33" s="5" t="n">
        <v>30</v>
      </c>
      <c r="D33" s="4" t="inlineStr">
        <is>
          <t>Szoros</t>
        </is>
      </c>
      <c r="E33" s="4" t="inlineStr">
        <is>
          <t>Igen</t>
        </is>
      </c>
      <c r="F33" s="4" t="inlineStr">
        <is>
          <t>Szagkezelés szénszűrő mellett / helyett – ONA gél, tömb, spray, légcsatornába építhető ONA szűrő, ózongenerátor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hordozható ózongenerátor</t>
        </is>
      </c>
      <c r="C34" s="5" t="n">
        <v>30</v>
      </c>
      <c r="D34" s="4" t="inlineStr">
        <is>
          <t>Szoros</t>
        </is>
      </c>
      <c r="E34" s="4" t="inlineStr">
        <is>
          <t>Igen</t>
        </is>
      </c>
      <c r="F34" s="4" t="inlineStr">
        <is>
          <t>Szagkezelés szénszűrő mellett / helyett – ONA gél, tömb, spray, légcsatornába építhető ONA szűrő, ózongenerátor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szagelnyelő</t>
        </is>
      </c>
      <c r="C35" s="5" t="n">
        <v>20</v>
      </c>
      <c r="D35" s="4" t="inlineStr">
        <is>
          <t>Szoros</t>
        </is>
      </c>
      <c r="E35" s="4" t="inlineStr">
        <is>
          <t>Igen</t>
        </is>
      </c>
      <c r="F35" s="4" t="inlineStr">
        <is>
          <t>Szagkezelés szénszűrő mellett / helyett – ONA gél, tömb, spray, légcsatornába építhető ONA szűrő, ózongenerátor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ona gel</t>
        </is>
      </c>
      <c r="C36" s="5" t="n">
        <v>20</v>
      </c>
      <c r="D36" s="4" t="inlineStr">
        <is>
          <t>Szoros</t>
        </is>
      </c>
      <c r="E36" s="4" t="inlineStr">
        <is>
          <t>Igen</t>
        </is>
      </c>
      <c r="F36" s="4" t="inlineStr">
        <is>
          <t>Szagkezelés szénszűrő mellett / helyett – ONA gél, tömb, spray, légcsatornába építhető ONA szűrő, ózongenerátor</t>
        </is>
      </c>
      <c r="G36" s="4" t="inlineStr">
        <is>
          <t>Gyártóoldal / szűrő / termékoldal</t>
        </is>
      </c>
    </row>
    <row r="37">
      <c r="B37" s="7" t="inlineStr">
        <is>
          <t>Összesen (érdemes rá oldal = Igen):</t>
        </is>
      </c>
      <c r="C37" s="22">
        <f>SUMIFS(C7:C36,E7:E36,"Igen")</f>
        <v/>
      </c>
    </row>
    <row r="39">
      <c r="A39" s="7" t="inlineStr">
        <is>
          <t>Termékek a jelenlegi kínálatból: 49 db (elsődleges + másodlagos hozzárendelés; egy termék több kategóriában is szerepelhet)</t>
        </is>
      </c>
    </row>
    <row r="40">
      <c r="A40" s="3" t="inlineStr">
        <is>
          <t>#</t>
        </is>
      </c>
      <c r="B40" s="3" t="inlineStr">
        <is>
          <t>Termékkód</t>
        </is>
      </c>
      <c r="C40" s="3" t="inlineStr">
        <is>
          <t>Terméknév</t>
        </is>
      </c>
      <c r="D40" s="3" t="inlineStr">
        <is>
          <t>Hozzárendelés</t>
        </is>
      </c>
      <c r="E40" s="3" t="inlineStr">
        <is>
          <t>Illeszkedés</t>
        </is>
      </c>
      <c r="F40" s="3" t="inlineStr">
        <is>
          <t>Megjegyzés</t>
        </is>
      </c>
    </row>
    <row r="41">
      <c r="A41" s="4" t="n">
        <v>1</v>
      </c>
      <c r="B41" s="4" t="inlineStr">
        <is>
          <t>GRO0797</t>
        </is>
      </c>
      <c r="C41" s="4" t="inlineStr">
        <is>
          <t>Ozonizátor, ózongenerátor szagtalanításhoz 200 mg/h, 7 W, időzítővel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Ózongenerátor</t>
        </is>
      </c>
    </row>
    <row r="42">
      <c r="A42" s="4" t="n">
        <v>2</v>
      </c>
      <c r="B42" s="4" t="inlineStr">
        <is>
          <t>GRO2472</t>
        </is>
      </c>
      <c r="C42" s="4" t="inlineStr">
        <is>
          <t>ONA Block szagsemlegesítő tömb Pro illat, 170 g, kis helyekre és légcsatornába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ONA gél, tömb, spray, folyadék</t>
        </is>
      </c>
    </row>
    <row r="43">
      <c r="A43" s="4" t="n">
        <v>3</v>
      </c>
      <c r="B43" s="4" t="inlineStr">
        <is>
          <t>GRO2473</t>
        </is>
      </c>
      <c r="C43" s="4" t="inlineStr">
        <is>
          <t>ONA Block szagsemlegesítő tömb Polar Crystal illat, 170 g, kis helyekre és légcsatornába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ONA gél, tömb, spray, folyadék</t>
        </is>
      </c>
    </row>
    <row r="44">
      <c r="A44" s="4" t="n">
        <v>4</v>
      </c>
      <c r="B44" s="4" t="inlineStr">
        <is>
          <t>GRO2474</t>
        </is>
      </c>
      <c r="C44" s="4" t="inlineStr">
        <is>
          <t>ONA Block szagsemlegesítő tömb Fresh Linen illat, 170 g, kis helyekre és légcsatornába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ONA gél, tömb, spray, folyadék</t>
        </is>
      </c>
    </row>
    <row r="45">
      <c r="A45" s="4" t="n">
        <v>5</v>
      </c>
      <c r="B45" s="4" t="inlineStr">
        <is>
          <t>GRO2475</t>
        </is>
      </c>
      <c r="C45" s="4" t="inlineStr">
        <is>
          <t>ONA Gel szagsemlegesítő zselé Pro illat, 500 ml (400 g)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ONA gél, tömb, spray, folyadék</t>
        </is>
      </c>
    </row>
    <row r="46">
      <c r="A46" s="4" t="n">
        <v>6</v>
      </c>
      <c r="B46" s="4" t="inlineStr">
        <is>
          <t>GRO2476</t>
        </is>
      </c>
      <c r="C46" s="4" t="inlineStr">
        <is>
          <t>ONA Gel szagsemlegesítő zselé (Pro) 1 liter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ONA gél, tömb, spray, folyadék</t>
        </is>
      </c>
    </row>
    <row r="47">
      <c r="A47" s="4" t="n">
        <v>7</v>
      </c>
      <c r="B47" s="4" t="inlineStr">
        <is>
          <t>GRO2477</t>
        </is>
      </c>
      <c r="C47" s="4" t="inlineStr">
        <is>
          <t>ONA Gel szagsemlegesítő zselé (Pro) 4 liter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ONA gél, tömb, spray, folyadék</t>
        </is>
      </c>
    </row>
    <row r="48">
      <c r="A48" s="4" t="n">
        <v>8</v>
      </c>
      <c r="B48" s="4" t="inlineStr">
        <is>
          <t>GRO2478</t>
        </is>
      </c>
      <c r="C48" s="4" t="inlineStr">
        <is>
          <t>ONA Gel szagsemlegesítő zselé Polar Crystal illat, 500 ml (400 g)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ONA gél, tömb, spray, folyadék</t>
        </is>
      </c>
    </row>
    <row r="49">
      <c r="A49" s="4" t="n">
        <v>9</v>
      </c>
      <c r="B49" s="4" t="inlineStr">
        <is>
          <t>GRO2479</t>
        </is>
      </c>
      <c r="C49" s="4" t="inlineStr">
        <is>
          <t>ONA Gel szagsemlegesítő zselé Polar Crystal illat, 1 liter (732 g)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ONA gél, tömb, spray, folyadék</t>
        </is>
      </c>
    </row>
    <row r="50">
      <c r="A50" s="4" t="n">
        <v>10</v>
      </c>
      <c r="B50" s="4" t="inlineStr">
        <is>
          <t>GRO2480</t>
        </is>
      </c>
      <c r="C50" s="4" t="inlineStr">
        <is>
          <t>ONA Gel szagsemlegesítő zselé (Polar Crystal) 4 liter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ONA gél, tömb, spray, folyadék</t>
        </is>
      </c>
    </row>
    <row r="51">
      <c r="A51" s="4" t="n">
        <v>11</v>
      </c>
      <c r="B51" s="4" t="inlineStr">
        <is>
          <t>GRO2481</t>
        </is>
      </c>
      <c r="C51" s="4" t="inlineStr">
        <is>
          <t>ONA Gel szagsemlegesítő zselé Fresh Linen illat, 500 ml (400 g)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ONA gél, tömb, spray, folyadék</t>
        </is>
      </c>
    </row>
    <row r="52">
      <c r="A52" s="4" t="n">
        <v>12</v>
      </c>
      <c r="B52" s="4" t="inlineStr">
        <is>
          <t>GRO2483</t>
        </is>
      </c>
      <c r="C52" s="4" t="inlineStr">
        <is>
          <t>ONA Gel szagsemlegesítő zselé Fresh Linen illat, 4 liter (3,8 kg)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ONA gél, tömb, spray, folyadék</t>
        </is>
      </c>
    </row>
    <row r="53">
      <c r="A53" s="4" t="n">
        <v>13</v>
      </c>
      <c r="B53" s="4" t="inlineStr">
        <is>
          <t>GRO2485</t>
        </is>
      </c>
      <c r="C53" s="4" t="inlineStr">
        <is>
          <t>ONA Air Filter beépíthető szagtalanító ONA Block tömbökhöz, 100 mm-es légcsatornába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ONA Air Filter – légcsatornába építhető</t>
        </is>
      </c>
    </row>
    <row r="54">
      <c r="A54" s="4" t="n">
        <v>14</v>
      </c>
      <c r="B54" s="4" t="inlineStr">
        <is>
          <t>GRO2486</t>
        </is>
      </c>
      <c r="C54" s="4" t="inlineStr">
        <is>
          <t>ONA Air Filter beépíthető szagtalanító ONA Block tömbökhöz, 125 mm-es légcsatornába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ONA Air Filter – légcsatornába építhető</t>
        </is>
      </c>
    </row>
    <row r="55">
      <c r="A55" s="4" t="n">
        <v>15</v>
      </c>
      <c r="B55" s="4" t="inlineStr">
        <is>
          <t>GRO2487</t>
        </is>
      </c>
      <c r="C55" s="4" t="inlineStr">
        <is>
          <t>ONA Air Filter beépíthető szagtalanító ONA Block tömbökhöz, 150 mm-es légcsatornába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ONA Air Filter – légcsatornába építhető</t>
        </is>
      </c>
    </row>
    <row r="56">
      <c r="A56" s="4" t="n">
        <v>16</v>
      </c>
      <c r="B56" s="4" t="inlineStr">
        <is>
          <t>GRO2488</t>
        </is>
      </c>
      <c r="C56" s="4" t="inlineStr">
        <is>
          <t>ONA Air Filter beépíthető szagtalanító ONA Block tömbökhöz, 200 mm-es légcsatornába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ONA Air Filter – légcsatornába építhető</t>
        </is>
      </c>
    </row>
    <row r="57">
      <c r="A57" s="4" t="n">
        <v>17</v>
      </c>
      <c r="B57" s="4" t="inlineStr">
        <is>
          <t>GRO2489</t>
        </is>
      </c>
      <c r="C57" s="4" t="inlineStr">
        <is>
          <t>ONA Air Filter beépíthető szagtalanító ONA Block tömbökhöz, 250 mm-es légcsatornába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ONA Air Filter – légcsatornába építhető</t>
        </is>
      </c>
    </row>
    <row r="58">
      <c r="A58" s="4" t="n">
        <v>18</v>
      </c>
      <c r="B58" s="4" t="inlineStr">
        <is>
          <t>GRO2653</t>
        </is>
      </c>
      <c r="C58" s="4" t="inlineStr">
        <is>
          <t>ONA Air Filter beépíthető szagtalanító ONA Block tömbökhöz, 315 mm-es légcsatornába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ONA Air Filter – légcsatornába építhető</t>
        </is>
      </c>
    </row>
    <row r="59">
      <c r="A59" s="4" t="n">
        <v>19</v>
      </c>
      <c r="B59" s="4" t="inlineStr">
        <is>
          <t>GRO2781</t>
        </is>
      </c>
      <c r="C59" s="4" t="inlineStr">
        <is>
          <t>ONA Card sprayer zsebméretű szagsemlegesítő spray Apple Crumble illat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ONA gél, tömb, spray, folyadék</t>
        </is>
      </c>
    </row>
    <row r="60">
      <c r="A60" s="4" t="n">
        <v>20</v>
      </c>
      <c r="B60" s="4" t="inlineStr">
        <is>
          <t>GRO2785</t>
        </is>
      </c>
      <c r="C60" s="4" t="inlineStr">
        <is>
          <t>ONA Liquid szagsemlegesítő folyadék Fresh Linen illat, 1 liter (922 ml)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ONA gél, tömb, spray, folyadék</t>
        </is>
      </c>
    </row>
    <row r="61">
      <c r="A61" s="4" t="n">
        <v>21</v>
      </c>
      <c r="B61" s="4" t="inlineStr">
        <is>
          <t>GRO2786</t>
        </is>
      </c>
      <c r="C61" s="4" t="inlineStr">
        <is>
          <t>ONA Liquid szagsemlegesítő folyadék Fresh Linen illat, 4 liter (3,27 l)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ONA gél, tömb, spray, folyadék</t>
        </is>
      </c>
    </row>
    <row r="62">
      <c r="A62" s="4" t="n">
        <v>22</v>
      </c>
      <c r="B62" s="4" t="inlineStr">
        <is>
          <t>GRO2802</t>
        </is>
      </c>
      <c r="C62" s="4" t="inlineStr">
        <is>
          <t>ONA Gel szagsemlegesítő zselé (Fresh Linen) 20 liter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ONA gél, tömb, spray, folyadék</t>
        </is>
      </c>
    </row>
    <row r="63">
      <c r="A63" s="4" t="n">
        <v>23</v>
      </c>
      <c r="B63" s="4" t="inlineStr">
        <is>
          <t>GRO3159</t>
        </is>
      </c>
      <c r="C63" s="4" t="inlineStr">
        <is>
          <t>ONA Block szagsemlegesítő tömb Apple Crumble illat, 170 g, kis helyekre és légcsatornába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ONA gél, tömb, spray, folyadék</t>
        </is>
      </c>
    </row>
    <row r="64">
      <c r="A64" s="4" t="n">
        <v>24</v>
      </c>
      <c r="B64" s="4" t="inlineStr">
        <is>
          <t>GRO3160</t>
        </is>
      </c>
      <c r="C64" s="4" t="inlineStr">
        <is>
          <t>ONA Gel szagsemlegesítő zselé Apple Crumble illat, 1 liter (732 g)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ONA gél, tömb, spray, folyadék</t>
        </is>
      </c>
    </row>
    <row r="65">
      <c r="A65" s="4" t="n">
        <v>25</v>
      </c>
      <c r="B65" s="4" t="inlineStr">
        <is>
          <t>GRO3161</t>
        </is>
      </c>
      <c r="C65" s="4" t="inlineStr">
        <is>
          <t>ONA Gel szagsemlegesítő zselé Apple Crumble illat, 20 literes vödör (20 kg)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ONA gél, tömb, spray, folyadék</t>
        </is>
      </c>
    </row>
    <row r="66">
      <c r="A66" s="4" t="n">
        <v>26</v>
      </c>
      <c r="B66" s="4" t="inlineStr">
        <is>
          <t>GRO3162</t>
        </is>
      </c>
      <c r="C66" s="4" t="inlineStr">
        <is>
          <t>ONA Gel szagsemlegesítő zselé Apple Crumble illat, 4 liter (3,8 kg)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ONA gél, tömb, spray, folyadék</t>
        </is>
      </c>
    </row>
    <row r="67">
      <c r="A67" s="4" t="n">
        <v>27</v>
      </c>
      <c r="B67" s="4" t="inlineStr">
        <is>
          <t>GRO3163</t>
        </is>
      </c>
      <c r="C67" s="4" t="inlineStr">
        <is>
          <t>ONA Gel szagsemlegesítő zselé Apple Crumble illat, 500 ml (400 g)</t>
        </is>
      </c>
      <c r="D67" s="4" t="inlineStr">
        <is>
          <t>Elsődleges</t>
        </is>
      </c>
      <c r="E67" s="4" t="inlineStr">
        <is>
          <t>Erős</t>
        </is>
      </c>
      <c r="F67" s="4" t="inlineStr">
        <is>
          <t>ONA gél, tömb, spray, folyadék</t>
        </is>
      </c>
    </row>
    <row r="68">
      <c r="A68" s="4" t="n">
        <v>28</v>
      </c>
      <c r="B68" s="4" t="inlineStr">
        <is>
          <t>GRO3168</t>
        </is>
      </c>
      <c r="C68" s="4" t="inlineStr">
        <is>
          <t>ONA Spray Pumpás Szagsemlegesítő ONA Spray Apple Crumble</t>
        </is>
      </c>
      <c r="D68" s="4" t="inlineStr">
        <is>
          <t>Elsődleges</t>
        </is>
      </c>
      <c r="E68" s="4" t="inlineStr">
        <is>
          <t>Erős</t>
        </is>
      </c>
      <c r="F68" s="4" t="inlineStr">
        <is>
          <t>ONA gél, tömb, spray, folyadék</t>
        </is>
      </c>
    </row>
    <row r="69">
      <c r="A69" s="4" t="n">
        <v>29</v>
      </c>
      <c r="B69" s="4" t="inlineStr">
        <is>
          <t>GRO3169</t>
        </is>
      </c>
      <c r="C69" s="4" t="inlineStr">
        <is>
          <t>ONA Spray Pumpás Szagsemlegesítő ONA Spray Pro</t>
        </is>
      </c>
      <c r="D69" s="4" t="inlineStr">
        <is>
          <t>Elsődleges</t>
        </is>
      </c>
      <c r="E69" s="4" t="inlineStr">
        <is>
          <t>Erős</t>
        </is>
      </c>
      <c r="F69" s="4" t="inlineStr">
        <is>
          <t>ONA gél, tömb, spray, folyadék</t>
        </is>
      </c>
    </row>
    <row r="70">
      <c r="A70" s="4" t="n">
        <v>30</v>
      </c>
      <c r="B70" s="4" t="inlineStr">
        <is>
          <t>GRO3397</t>
        </is>
      </c>
      <c r="C70" s="4" t="inlineStr">
        <is>
          <t>ONA Block szagsemlegesítő tömb Tropics</t>
        </is>
      </c>
      <c r="D70" s="4" t="inlineStr">
        <is>
          <t>Elsődleges</t>
        </is>
      </c>
      <c r="E70" s="4" t="inlineStr">
        <is>
          <t>Erős</t>
        </is>
      </c>
      <c r="F70" s="4" t="inlineStr">
        <is>
          <t>ONA gél, tömb, spray, folyadék</t>
        </is>
      </c>
    </row>
    <row r="71">
      <c r="A71" s="4" t="n">
        <v>31</v>
      </c>
      <c r="B71" s="4" t="inlineStr">
        <is>
          <t>GRO3399</t>
        </is>
      </c>
      <c r="C71" s="4" t="inlineStr">
        <is>
          <t>ONA Gel szagsemlegesítő zselé (Tropics) 1 liter</t>
        </is>
      </c>
      <c r="D71" s="4" t="inlineStr">
        <is>
          <t>Elsődleges</t>
        </is>
      </c>
      <c r="E71" s="4" t="inlineStr">
        <is>
          <t>Erős</t>
        </is>
      </c>
      <c r="F71" s="4" t="inlineStr">
        <is>
          <t>ONA gél, tömb, spray, folyadék</t>
        </is>
      </c>
    </row>
    <row r="72">
      <c r="A72" s="4" t="n">
        <v>32</v>
      </c>
      <c r="B72" s="4" t="inlineStr">
        <is>
          <t>GRO3400</t>
        </is>
      </c>
      <c r="C72" s="4" t="inlineStr">
        <is>
          <t>ONA Gel szagsemlegesítő zselé (Tropics) 500 ml</t>
        </is>
      </c>
      <c r="D72" s="4" t="inlineStr">
        <is>
          <t>Elsődleges</t>
        </is>
      </c>
      <c r="E72" s="4" t="inlineStr">
        <is>
          <t>Erős</t>
        </is>
      </c>
      <c r="F72" s="4" t="inlineStr">
        <is>
          <t>ONA gél, tömb, spray, folyadék</t>
        </is>
      </c>
    </row>
    <row r="73">
      <c r="A73" s="4" t="n">
        <v>33</v>
      </c>
      <c r="B73" s="4" t="inlineStr">
        <is>
          <t>GRO3401</t>
        </is>
      </c>
      <c r="C73" s="4" t="inlineStr">
        <is>
          <t>ONA Gel szagsemlegesítő zselé (Tropics) 4 liter</t>
        </is>
      </c>
      <c r="D73" s="4" t="inlineStr">
        <is>
          <t>Elsődleges</t>
        </is>
      </c>
      <c r="E73" s="4" t="inlineStr">
        <is>
          <t>Erős</t>
        </is>
      </c>
      <c r="F73" s="4" t="inlineStr">
        <is>
          <t>ONA gél, tömb, spray, folyadék</t>
        </is>
      </c>
    </row>
    <row r="74">
      <c r="A74" s="4" t="n">
        <v>34</v>
      </c>
      <c r="B74" s="4" t="inlineStr">
        <is>
          <t>GRO3402</t>
        </is>
      </c>
      <c r="C74" s="4" t="inlineStr">
        <is>
          <t>ONA Gel szagsemlegesítő zselé (Tropics) 20 liter</t>
        </is>
      </c>
      <c r="D74" s="4" t="inlineStr">
        <is>
          <t>Elsődleges</t>
        </is>
      </c>
      <c r="E74" s="4" t="inlineStr">
        <is>
          <t>Erős</t>
        </is>
      </c>
      <c r="F74" s="4" t="inlineStr">
        <is>
          <t>ONA gél, tömb, spray, folyadék</t>
        </is>
      </c>
    </row>
    <row r="75">
      <c r="A75" s="4" t="n">
        <v>35</v>
      </c>
      <c r="B75" s="4" t="inlineStr">
        <is>
          <t>GRO3403</t>
        </is>
      </c>
      <c r="C75" s="4" t="inlineStr">
        <is>
          <t>ONA Spray Pumpás Szagsemlegesítő ONA Spray Tropics</t>
        </is>
      </c>
      <c r="D75" s="4" t="inlineStr">
        <is>
          <t>Elsődleges</t>
        </is>
      </c>
      <c r="E75" s="4" t="inlineStr">
        <is>
          <t>Erős</t>
        </is>
      </c>
      <c r="F75" s="4" t="inlineStr">
        <is>
          <t>ONA gél, tömb, spray, folyadék</t>
        </is>
      </c>
    </row>
    <row r="76">
      <c r="A76" s="4" t="n">
        <v>36</v>
      </c>
      <c r="B76" s="4" t="inlineStr">
        <is>
          <t>GRO3404</t>
        </is>
      </c>
      <c r="C76" s="4" t="inlineStr">
        <is>
          <t>ONA Block szagsemlegesítő tömb Fruit Fusion</t>
        </is>
      </c>
      <c r="D76" s="4" t="inlineStr">
        <is>
          <t>Elsődleges</t>
        </is>
      </c>
      <c r="E76" s="4" t="inlineStr">
        <is>
          <t>Erős</t>
        </is>
      </c>
      <c r="F76" s="4" t="inlineStr">
        <is>
          <t>ONA gél, tömb, spray, folyadék</t>
        </is>
      </c>
    </row>
    <row r="77">
      <c r="A77" s="4" t="n">
        <v>37</v>
      </c>
      <c r="B77" s="4" t="inlineStr">
        <is>
          <t>GRO3405</t>
        </is>
      </c>
      <c r="C77" s="4" t="inlineStr">
        <is>
          <t>ONA Gel szagsemlegesítő zselé (Fruit Fusion) 1 liter</t>
        </is>
      </c>
      <c r="D77" s="4" t="inlineStr">
        <is>
          <t>Elsődleges</t>
        </is>
      </c>
      <c r="E77" s="4" t="inlineStr">
        <is>
          <t>Erős</t>
        </is>
      </c>
      <c r="F77" s="4" t="inlineStr">
        <is>
          <t>ONA gél, tömb, spray, folyadék</t>
        </is>
      </c>
    </row>
    <row r="78">
      <c r="A78" s="4" t="n">
        <v>38</v>
      </c>
      <c r="B78" s="4" t="inlineStr">
        <is>
          <t>GRO3406</t>
        </is>
      </c>
      <c r="C78" s="4" t="inlineStr">
        <is>
          <t>ONA Gel szagsemlegesítő zselé (Fruit Fusion) 500 ml</t>
        </is>
      </c>
      <c r="D78" s="4" t="inlineStr">
        <is>
          <t>Elsődleges</t>
        </is>
      </c>
      <c r="E78" s="4" t="inlineStr">
        <is>
          <t>Erős</t>
        </is>
      </c>
      <c r="F78" s="4" t="inlineStr">
        <is>
          <t>ONA gél, tömb, spray, folyadék</t>
        </is>
      </c>
    </row>
    <row r="79">
      <c r="A79" s="4" t="n">
        <v>39</v>
      </c>
      <c r="B79" s="4" t="inlineStr">
        <is>
          <t>GRO3407</t>
        </is>
      </c>
      <c r="C79" s="4" t="inlineStr">
        <is>
          <t>ONA Gel szagsemlegesítő zselé (Fruit Fusion) 4 liter</t>
        </is>
      </c>
      <c r="D79" s="4" t="inlineStr">
        <is>
          <t>Elsődleges</t>
        </is>
      </c>
      <c r="E79" s="4" t="inlineStr">
        <is>
          <t>Erős</t>
        </is>
      </c>
      <c r="F79" s="4" t="inlineStr">
        <is>
          <t>ONA gél, tömb, spray, folyadék</t>
        </is>
      </c>
    </row>
    <row r="80">
      <c r="A80" s="4" t="n">
        <v>40</v>
      </c>
      <c r="B80" s="4" t="inlineStr">
        <is>
          <t>GRO3408</t>
        </is>
      </c>
      <c r="C80" s="4" t="inlineStr">
        <is>
          <t>ONA Gel szagsemlegesítő zselé (Fruit Fusion) 20 liter</t>
        </is>
      </c>
      <c r="D80" s="4" t="inlineStr">
        <is>
          <t>Elsődleges</t>
        </is>
      </c>
      <c r="E80" s="4" t="inlineStr">
        <is>
          <t>Erős</t>
        </is>
      </c>
      <c r="F80" s="4" t="inlineStr">
        <is>
          <t>ONA gél, tömb, spray, folyadék</t>
        </is>
      </c>
    </row>
    <row r="81">
      <c r="A81" s="4" t="n">
        <v>41</v>
      </c>
      <c r="B81" s="4" t="inlineStr">
        <is>
          <t>GRO3409</t>
        </is>
      </c>
      <c r="C81" s="4" t="inlineStr">
        <is>
          <t>ONA Spray Pumpás Szagsemlegesítő ONA Spray Fruit Fusion</t>
        </is>
      </c>
      <c r="D81" s="4" t="inlineStr">
        <is>
          <t>Elsődleges</t>
        </is>
      </c>
      <c r="E81" s="4" t="inlineStr">
        <is>
          <t>Erős</t>
        </is>
      </c>
      <c r="F81" s="4" t="inlineStr">
        <is>
          <t>ONA gél, tömb, spray, folyadék</t>
        </is>
      </c>
    </row>
    <row r="82">
      <c r="A82" s="4" t="n">
        <v>42</v>
      </c>
      <c r="B82" s="4" t="inlineStr">
        <is>
          <t>GRO3571</t>
        </is>
      </c>
      <c r="C82" s="4" t="inlineStr">
        <is>
          <t>Ona ventilátor Ona Cyclone</t>
        </is>
      </c>
      <c r="D82" s="4" t="inlineStr">
        <is>
          <t>Elsődleges</t>
        </is>
      </c>
      <c r="E82" s="4" t="inlineStr">
        <is>
          <t>Erős</t>
        </is>
      </c>
      <c r="F82" s="4" t="inlineStr">
        <is>
          <t>ONA ventilátor (szagsemlegesítő-párologtató)</t>
        </is>
      </c>
    </row>
    <row r="83">
      <c r="A83" s="4" t="n">
        <v>43</v>
      </c>
      <c r="B83" s="4" t="inlineStr">
        <is>
          <t>GRO3572</t>
        </is>
      </c>
      <c r="C83" s="4" t="inlineStr">
        <is>
          <t>Ona ventilátor Ona Breeze</t>
        </is>
      </c>
      <c r="D83" s="4" t="inlineStr">
        <is>
          <t>Elsődleges</t>
        </is>
      </c>
      <c r="E83" s="4" t="inlineStr">
        <is>
          <t>Erős</t>
        </is>
      </c>
      <c r="F83" s="4" t="inlineStr">
        <is>
          <t>ONA ventilátor (szagsemlegesítő-párologtató)</t>
        </is>
      </c>
    </row>
    <row r="84">
      <c r="A84" s="4" t="n">
        <v>44</v>
      </c>
      <c r="B84" s="4" t="inlineStr">
        <is>
          <t>GRO3693</t>
        </is>
      </c>
      <c r="C84" s="4" t="inlineStr">
        <is>
          <t>ONA Card sprayer szagsemlegesítő Fresh Linen</t>
        </is>
      </c>
      <c r="D84" s="4" t="inlineStr">
        <is>
          <t>Elsődleges</t>
        </is>
      </c>
      <c r="E84" s="4" t="inlineStr">
        <is>
          <t>Erős</t>
        </is>
      </c>
      <c r="F84" s="4" t="inlineStr">
        <is>
          <t>ONA gél, tömb, spray, folyadék</t>
        </is>
      </c>
    </row>
    <row r="85">
      <c r="A85" s="4" t="n">
        <v>45</v>
      </c>
      <c r="B85" s="4" t="inlineStr">
        <is>
          <t>GRO3694</t>
        </is>
      </c>
      <c r="C85" s="4" t="inlineStr">
        <is>
          <t>ONA Card sprayer szagsemlegesítő PRO</t>
        </is>
      </c>
      <c r="D85" s="4" t="inlineStr">
        <is>
          <t>Elsődleges</t>
        </is>
      </c>
      <c r="E85" s="4" t="inlineStr">
        <is>
          <t>Erős</t>
        </is>
      </c>
      <c r="F85" s="4" t="inlineStr">
        <is>
          <t>ONA gél, tömb, spray, folyadék</t>
        </is>
      </c>
    </row>
    <row r="86">
      <c r="A86" s="4" t="n">
        <v>46</v>
      </c>
      <c r="B86" s="4" t="inlineStr">
        <is>
          <t>GRO3845</t>
        </is>
      </c>
      <c r="C86" s="4" t="inlineStr">
        <is>
          <t>ONA Liquid Pro szagsemlegesítő folyadék</t>
        </is>
      </c>
      <c r="D86" s="4" t="inlineStr">
        <is>
          <t>Elsődleges</t>
        </is>
      </c>
      <c r="E86" s="4" t="inlineStr">
        <is>
          <t>Erős</t>
        </is>
      </c>
      <c r="F86" s="4" t="inlineStr">
        <is>
          <t>ONA gél, tömb, spray, folyadék</t>
        </is>
      </c>
    </row>
    <row r="87">
      <c r="A87" s="4" t="n">
        <v>47</v>
      </c>
      <c r="B87" s="4" t="inlineStr">
        <is>
          <t>GRO3937</t>
        </is>
      </c>
      <c r="C87" s="4" t="inlineStr">
        <is>
          <t>ONA Gel szagsemlegesítő zselé (Lemongrass) 4 liter</t>
        </is>
      </c>
      <c r="D87" s="4" t="inlineStr">
        <is>
          <t>Elsődleges</t>
        </is>
      </c>
      <c r="E87" s="4" t="inlineStr">
        <is>
          <t>Erős</t>
        </is>
      </c>
      <c r="F87" s="4" t="inlineStr">
        <is>
          <t>ONA gél, tömb, spray, folyadék</t>
        </is>
      </c>
    </row>
    <row r="88">
      <c r="A88" s="4" t="n">
        <v>48</v>
      </c>
      <c r="B88" s="4" t="inlineStr">
        <is>
          <t>GRO3938</t>
        </is>
      </c>
      <c r="C88" s="4" t="inlineStr">
        <is>
          <t>ONA Gel szagsemlegesítő zselé (Lemongrass) 500 ml</t>
        </is>
      </c>
      <c r="D88" s="4" t="inlineStr">
        <is>
          <t>Elsődleges</t>
        </is>
      </c>
      <c r="E88" s="4" t="inlineStr">
        <is>
          <t>Erős</t>
        </is>
      </c>
      <c r="F88" s="4" t="inlineStr">
        <is>
          <t>ONA gél, tömb, spray, folyadék</t>
        </is>
      </c>
    </row>
    <row r="89">
      <c r="A89" s="4" t="n">
        <v>49</v>
      </c>
      <c r="B89" s="4" t="inlineStr">
        <is>
          <t>GRO3939</t>
        </is>
      </c>
      <c r="C89" s="4" t="inlineStr">
        <is>
          <t>ONA Gel szagsemlegesítő zselé (Lemongrass) 1 liter</t>
        </is>
      </c>
      <c r="D89" s="4" t="inlineStr">
        <is>
          <t>Elsődleges</t>
        </is>
      </c>
      <c r="E89" s="4" t="inlineStr">
        <is>
          <t>Erős</t>
        </is>
      </c>
      <c r="F89" s="4" t="inlineStr">
        <is>
          <t>ONA gél, tömb, spray, folyadék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Keringető ventilátor  –  fő kulcsszó: „padlóventilátor”</t>
        </is>
      </c>
    </row>
    <row r="2">
      <c r="A2" s="2" t="inlineStr">
        <is>
          <t>Felhasználási terület: Légmozgatás a növények között – csíptetős (Monkey Fan, Cloudray), padló-, álló- és fali ventilátor</t>
        </is>
      </c>
    </row>
    <row r="3">
      <c r="A3" s="2" t="inlineStr">
        <is>
          <t>Megjegyzés: A „keringető ventilátor” és a „csíptetős ventilátor” 20 alatti. A forgalmat a háztartási típusszavak hozzák (padlóventilátor 1300, fali ventilátor 880, ipari ventilátor 1000) – ezek laza kötődésűek, de ugyanaz a termékkör. A „ventilátor” (18100) és az „álló ventilátor” (4400) túl általános (LN).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padlóventilátor</t>
        </is>
      </c>
      <c r="C7" s="5" t="n">
        <v>1300</v>
      </c>
      <c r="D7" s="4" t="inlineStr">
        <is>
          <t>Szoros</t>
        </is>
      </c>
      <c r="E7" s="4" t="inlineStr">
        <is>
          <t>Igen</t>
        </is>
      </c>
      <c r="F7" s="4" t="inlineStr">
        <is>
          <t>Légmozgatás a növények között – csíptetős (Monkey Fan, Cloudray), padló-, álló- és fali ventilátor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ventilátor</t>
        </is>
      </c>
      <c r="C8" s="20" t="n">
        <v>18100</v>
      </c>
      <c r="D8" s="9" t="inlineStr">
        <is>
          <t>Laza</t>
        </is>
      </c>
      <c r="E8" s="9" t="inlineStr">
        <is>
          <t>Nem</t>
        </is>
      </c>
      <c r="F8" s="9" t="inlineStr">
        <is>
          <t>Légmozgatás a növények között – csíptetős (Monkey Fan, Cloudray), padló-, álló- és fali ventilátor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álló ventilátor</t>
        </is>
      </c>
      <c r="C9" s="20" t="n">
        <v>4400</v>
      </c>
      <c r="D9" s="9" t="inlineStr">
        <is>
          <t>Laza</t>
        </is>
      </c>
      <c r="E9" s="9" t="inlineStr">
        <is>
          <t>Nem</t>
        </is>
      </c>
      <c r="F9" s="9" t="inlineStr">
        <is>
          <t>Légmozgatás a növények között – csíptetős (Monkey Fan, Cloudray), padló-, álló- és fali ventilátor</t>
        </is>
      </c>
      <c r="G9" s="9" t="inlineStr">
        <is>
          <t>Nem célozni külön oldallal (max. említés)</t>
        </is>
      </c>
    </row>
    <row r="10">
      <c r="A10" s="9" t="n">
        <v>4</v>
      </c>
      <c r="B10" s="9" t="inlineStr">
        <is>
          <t>asztali ventilátor</t>
        </is>
      </c>
      <c r="C10" s="20" t="n">
        <v>2400</v>
      </c>
      <c r="D10" s="9" t="inlineStr">
        <is>
          <t>Laza</t>
        </is>
      </c>
      <c r="E10" s="9" t="inlineStr">
        <is>
          <t>Nem</t>
        </is>
      </c>
      <c r="F10" s="9" t="inlineStr">
        <is>
          <t>Légmozgatás a növények között – csíptetős (Monkey Fan, Cloudray), padló-, álló- és fali ventilátor</t>
        </is>
      </c>
      <c r="G10" s="9" t="inlineStr">
        <is>
          <t>Nem célozni külön oldallal (max. említés)</t>
        </is>
      </c>
    </row>
    <row r="11">
      <c r="A11" s="4" t="n">
        <v>5</v>
      </c>
      <c r="B11" s="4" t="inlineStr">
        <is>
          <t>padló ventilátor</t>
        </is>
      </c>
      <c r="C11" s="5" t="n">
        <v>1300</v>
      </c>
      <c r="D11" s="4" t="inlineStr">
        <is>
          <t>Szoros</t>
        </is>
      </c>
      <c r="E11" s="4" t="inlineStr">
        <is>
          <t>Igen</t>
        </is>
      </c>
      <c r="F11" s="4" t="inlineStr">
        <is>
          <t>Légmozgatás a növények között – csíptetős (Monkey Fan, Cloudray), padló-, álló- és fali ventilátor</t>
        </is>
      </c>
      <c r="G11" s="4" t="inlineStr">
        <is>
          <t>SEO title / H1 / bevezető (másodlagos)</t>
        </is>
      </c>
    </row>
    <row r="12">
      <c r="A12" s="8" t="n">
        <v>6</v>
      </c>
      <c r="B12" s="8" t="inlineStr">
        <is>
          <t>szellőztető ventilátor</t>
        </is>
      </c>
      <c r="C12" s="19" t="n">
        <v>1300</v>
      </c>
      <c r="D12" s="8" t="inlineStr">
        <is>
          <t>Laza</t>
        </is>
      </c>
      <c r="E12" s="8" t="inlineStr">
        <is>
          <t>Igen</t>
        </is>
      </c>
      <c r="F12" s="8" t="inlineStr">
        <is>
          <t>Légmozgatás a növények között – csíptetős (Monkey Fan, Cloudray), padló-, álló- és fali ventilátor</t>
        </is>
      </c>
      <c r="G12" s="8" t="inlineStr">
        <is>
          <t>Kategórialeírás (természetes említés)</t>
        </is>
      </c>
    </row>
    <row r="13">
      <c r="A13" s="8" t="n">
        <v>7</v>
      </c>
      <c r="B13" s="8" t="inlineStr">
        <is>
          <t>ipari ventilátor</t>
        </is>
      </c>
      <c r="C13" s="19" t="n">
        <v>1000</v>
      </c>
      <c r="D13" s="8" t="inlineStr">
        <is>
          <t>Laza</t>
        </is>
      </c>
      <c r="E13" s="8" t="inlineStr">
        <is>
          <t>Igen</t>
        </is>
      </c>
      <c r="F13" s="8" t="inlineStr">
        <is>
          <t>Légmozgatás a növények között – csíptetős (Monkey Fan, Cloudray), padló-, álló- és fali ventilátor</t>
        </is>
      </c>
      <c r="G13" s="8" t="inlineStr">
        <is>
          <t>SEO title / H1 / bevezető (másodlagos)</t>
        </is>
      </c>
    </row>
    <row r="14">
      <c r="A14" s="8" t="n">
        <v>8</v>
      </c>
      <c r="B14" s="8" t="inlineStr">
        <is>
          <t>fali ventilátor</t>
        </is>
      </c>
      <c r="C14" s="19" t="n">
        <v>880</v>
      </c>
      <c r="D14" s="8" t="inlineStr">
        <is>
          <t>Laza</t>
        </is>
      </c>
      <c r="E14" s="8" t="inlineStr">
        <is>
          <t>Igen</t>
        </is>
      </c>
      <c r="F14" s="8" t="inlineStr">
        <is>
          <t>Légmozgatás a növények között – csíptetős (Monkey Fan, Cloudray), padló-, álló- és fali ventilátor</t>
        </is>
      </c>
      <c r="G14" s="8" t="inlineStr">
        <is>
          <t>SEO title / H1 / bevezető (másodlagos)</t>
        </is>
      </c>
    </row>
    <row r="15">
      <c r="A15" s="8" t="n">
        <v>9</v>
      </c>
      <c r="B15" s="8" t="inlineStr">
        <is>
          <t>nagy teljesítményű ventilátor</t>
        </is>
      </c>
      <c r="C15" s="19" t="n">
        <v>390</v>
      </c>
      <c r="D15" s="8" t="inlineStr">
        <is>
          <t>Laza</t>
        </is>
      </c>
      <c r="E15" s="8" t="inlineStr">
        <is>
          <t>Igen</t>
        </is>
      </c>
      <c r="F15" s="8" t="inlineStr">
        <is>
          <t>Légmozgatás a növények között – csíptetős (Monkey Fan, Cloudray), padló-, álló- és fali ventilátor</t>
        </is>
      </c>
      <c r="G15" s="8" t="inlineStr">
        <is>
          <t>Kategórialeírás (természetes említés)</t>
        </is>
      </c>
    </row>
    <row r="16">
      <c r="A16" s="8" t="n">
        <v>10</v>
      </c>
      <c r="B16" s="8" t="inlineStr">
        <is>
          <t>kis ventilátor</t>
        </is>
      </c>
      <c r="C16" s="19" t="n">
        <v>260</v>
      </c>
      <c r="D16" s="8" t="inlineStr">
        <is>
          <t>Laza</t>
        </is>
      </c>
      <c r="E16" s="8" t="inlineStr">
        <is>
          <t>Igen</t>
        </is>
      </c>
      <c r="F16" s="8" t="inlineStr">
        <is>
          <t>Légmozgatás a növények között – csíptetős (Monkey Fan, Cloudray), padló-, álló- és fali ventilátor</t>
        </is>
      </c>
      <c r="G16" s="8" t="inlineStr">
        <is>
          <t>Kategórialeírás (természetes említés)</t>
        </is>
      </c>
    </row>
    <row r="17">
      <c r="A17" s="8" t="n">
        <v>11</v>
      </c>
      <c r="B17" s="8" t="inlineStr">
        <is>
          <t>padló ventilátor 50 cm</t>
        </is>
      </c>
      <c r="C17" s="19" t="n">
        <v>170</v>
      </c>
      <c r="D17" s="8" t="inlineStr">
        <is>
          <t>Laza</t>
        </is>
      </c>
      <c r="E17" s="8" t="inlineStr">
        <is>
          <t>Igen</t>
        </is>
      </c>
      <c r="F17" s="8" t="inlineStr">
        <is>
          <t>Légmozgatás a növények között – csíptetős (Monkey Fan, Cloudray), padló-, álló- és fali ventilátor</t>
        </is>
      </c>
      <c r="G17" s="8" t="inlineStr">
        <is>
          <t>Kategórialeírás (természetes említés)</t>
        </is>
      </c>
    </row>
    <row r="18">
      <c r="A18" s="4" t="n">
        <v>12</v>
      </c>
      <c r="B18" s="4" t="inlineStr">
        <is>
          <t>ipari padló ventilátor</t>
        </is>
      </c>
      <c r="C18" s="5" t="n">
        <v>50</v>
      </c>
      <c r="D18" s="4" t="inlineStr">
        <is>
          <t>Szoros</t>
        </is>
      </c>
      <c r="E18" s="4" t="inlineStr">
        <is>
          <t>Igen</t>
        </is>
      </c>
      <c r="F18" s="4" t="inlineStr">
        <is>
          <t>Légmozgatás a növények között – csíptetős (Monkey Fan, Cloudray), padló-, álló- és fali ventilátor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ipari fali ventilátor</t>
        </is>
      </c>
      <c r="C19" s="19" t="n">
        <v>50</v>
      </c>
      <c r="D19" s="8" t="inlineStr">
        <is>
          <t>Laza</t>
        </is>
      </c>
      <c r="E19" s="8" t="inlineStr">
        <is>
          <t>Igen</t>
        </is>
      </c>
      <c r="F19" s="8" t="inlineStr">
        <is>
          <t>Légmozgatás a növények között – csíptetős (Monkey Fan, Cloudray), padló-, álló- és fali ventilátor</t>
        </is>
      </c>
      <c r="G19" s="8" t="inlineStr">
        <is>
          <t>Kategórialeírás (természetes említés)</t>
        </is>
      </c>
    </row>
    <row r="20">
      <c r="A20" s="4" t="n">
        <v>14</v>
      </c>
      <c r="B20" s="4" t="inlineStr">
        <is>
          <t>oszcilláló ventilátor</t>
        </is>
      </c>
      <c r="C20" s="5" t="n">
        <v>40</v>
      </c>
      <c r="D20" s="4" t="inlineStr">
        <is>
          <t>Szoros</t>
        </is>
      </c>
      <c r="E20" s="4" t="inlineStr">
        <is>
          <t>Igen</t>
        </is>
      </c>
      <c r="F20" s="4" t="inlineStr">
        <is>
          <t>Légmozgatás a növények között – csíptetős (Monkey Fan, Cloudray), padló-, álló- és fali ventilátor</t>
        </is>
      </c>
      <c r="G20" s="4" t="inlineStr">
        <is>
          <t>Kategórialeírás (természetes említés)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15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GRO0774</t>
        </is>
      </c>
      <c r="C25" s="4" t="inlineStr">
        <is>
          <t>Csíptetős ventilátor 15 W, 19 cm, bilinccsel és támasztékkal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Csíptetős / padló / fali keringető ventilátor</t>
        </is>
      </c>
    </row>
    <row r="26">
      <c r="A26" s="4" t="n">
        <v>2</v>
      </c>
      <c r="B26" s="4" t="inlineStr">
        <is>
          <t>GRO1456</t>
        </is>
      </c>
      <c r="C26" s="4" t="inlineStr">
        <is>
          <t>Cornwall fém padlóventilátor 55 W, 30 cm, 3 sebességfokozattal, állítható dőlésszöggel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Csíptetős / padló / fali keringető ventilátor</t>
        </is>
      </c>
    </row>
    <row r="27">
      <c r="A27" s="4" t="n">
        <v>3</v>
      </c>
      <c r="B27" s="4" t="inlineStr">
        <is>
          <t>GRO1460</t>
        </is>
      </c>
      <c r="C27" s="4" t="inlineStr">
        <is>
          <t>Cornwall RF 40 padlóventilátor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Csíptetős / padló / fali keringető ventilátor</t>
        </is>
      </c>
    </row>
    <row r="28">
      <c r="A28" s="4" t="n">
        <v>4</v>
      </c>
      <c r="B28" s="4" t="inlineStr">
        <is>
          <t>GRO3433</t>
        </is>
      </c>
      <c r="C28" s="4" t="inlineStr">
        <is>
          <t>Cornwall Electronics csíptethető oszcilláló ventilátor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Csíptetős / padló / fali keringető ventilátor</t>
        </is>
      </c>
    </row>
    <row r="29">
      <c r="A29" s="4" t="n">
        <v>5</v>
      </c>
      <c r="B29" s="4" t="inlineStr">
        <is>
          <t>GRO3865</t>
        </is>
      </c>
      <c r="C29" s="4" t="inlineStr">
        <is>
          <t>Secret Jardin Monkey Fan ventilátor 1,5 W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Csíptetős / padló / fali keringető ventilátor</t>
        </is>
      </c>
    </row>
    <row r="30">
      <c r="A30" s="4" t="n">
        <v>6</v>
      </c>
      <c r="B30" s="4" t="inlineStr">
        <is>
          <t>GRO3866</t>
        </is>
      </c>
      <c r="C30" s="4" t="inlineStr">
        <is>
          <t>Secret Jardin Monkey Fan ventilátor 2,85 W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Csíptetős / padló / fali keringető ventilátor</t>
        </is>
      </c>
    </row>
    <row r="31">
      <c r="A31" s="4" t="n">
        <v>7</v>
      </c>
      <c r="B31" s="4" t="inlineStr">
        <is>
          <t>GRO3891</t>
        </is>
      </c>
      <c r="C31" s="4" t="inlineStr">
        <is>
          <t>Cornwall Electronics álló ventilátor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Csíptetős / padló / fali keringető ventilátor</t>
        </is>
      </c>
    </row>
    <row r="32">
      <c r="A32" s="4" t="n">
        <v>8</v>
      </c>
      <c r="B32" s="4" t="inlineStr">
        <is>
          <t>GRO3892</t>
        </is>
      </c>
      <c r="C32" s="4" t="inlineStr">
        <is>
          <t>Cornwall Electronics fali ventilátor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Csíptetős / padló / fali keringető ventilátor</t>
        </is>
      </c>
    </row>
    <row r="33">
      <c r="A33" s="4" t="n">
        <v>9</v>
      </c>
      <c r="B33" s="4" t="inlineStr">
        <is>
          <t>GRO4196</t>
        </is>
      </c>
      <c r="C33" s="4" t="inlineStr">
        <is>
          <t>AC Infinity Cloudray S6 GEN2 csíptethető ventillátor 10 sebességes automatikus oszcilláló 150 mm 535m3/h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Csíptetős / padló / fali keringető ventilátor</t>
        </is>
      </c>
    </row>
    <row r="34">
      <c r="A34" s="4" t="n">
        <v>10</v>
      </c>
      <c r="B34" s="4" t="inlineStr">
        <is>
          <t>GRO4197</t>
        </is>
      </c>
      <c r="C34" s="4" t="inlineStr">
        <is>
          <t>AC Infinity Cloudray S9 GEN2 csíptethető ventilátor 10 sebességes automatikus oszcilláló 225mm 688m3/h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Csíptetős / padló / fali keringető ventilátor</t>
        </is>
      </c>
    </row>
    <row r="35">
      <c r="A35" s="4" t="n">
        <v>11</v>
      </c>
      <c r="B35" s="4" t="inlineStr">
        <is>
          <t>GRO4208</t>
        </is>
      </c>
      <c r="C35" s="4" t="inlineStr">
        <is>
          <t>AC Infinity Cloudray A6 csíptethető ventilátor 10 sebességes manuális 150 mm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Csíptetős / padló / fali keringető ventilátor</t>
        </is>
      </c>
    </row>
    <row r="36">
      <c r="A36" s="4" t="n">
        <v>12</v>
      </c>
      <c r="B36" s="4" t="inlineStr">
        <is>
          <t>GRO4242</t>
        </is>
      </c>
      <c r="C36" s="4" t="inlineStr">
        <is>
          <t>GF Ventilátor csíptethető,oszcilláló d: 15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Csíptetős / padló / fali keringető ventilátor</t>
        </is>
      </c>
    </row>
    <row r="37">
      <c r="A37" s="4" t="n">
        <v>13</v>
      </c>
      <c r="B37" s="4" t="inlineStr">
        <is>
          <t>GRO4381</t>
        </is>
      </c>
      <c r="C37" s="4" t="inlineStr">
        <is>
          <t>Secret Jardin Monkey Fan csíptethető ventilátor 18 cm 6,5 W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Csíptetős / padló / fali keringető ventilátor</t>
        </is>
      </c>
    </row>
    <row r="38">
      <c r="A38" s="4" t="n">
        <v>14</v>
      </c>
      <c r="B38" s="4" t="inlineStr">
        <is>
          <t>GRO3571</t>
        </is>
      </c>
      <c r="C38" s="4" t="inlineStr">
        <is>
          <t>Ona ventilátor Ona Cyclone</t>
        </is>
      </c>
      <c r="D38" s="4" t="inlineStr">
        <is>
          <t>Másodlagos</t>
        </is>
      </c>
      <c r="E38" s="4" t="inlineStr">
        <is>
          <t>Erős</t>
        </is>
      </c>
      <c r="F38" s="4" t="inlineStr">
        <is>
          <t>ONA ventilátor (szagsemlegesítő-párologtató)</t>
        </is>
      </c>
    </row>
    <row r="39">
      <c r="A39" s="4" t="n">
        <v>15</v>
      </c>
      <c r="B39" s="4" t="inlineStr">
        <is>
          <t>GRO3572</t>
        </is>
      </c>
      <c r="C39" s="4" t="inlineStr">
        <is>
          <t>Ona ventilátor Ona Breeze</t>
        </is>
      </c>
      <c r="D39" s="4" t="inlineStr">
        <is>
          <t>Másodlagos</t>
        </is>
      </c>
      <c r="E39" s="4" t="inlineStr">
        <is>
          <t>Erős</t>
        </is>
      </c>
      <c r="F39" s="4" t="inlineStr">
        <is>
          <t>ONA ventilátor (szagsemlegesítő-párologtató)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Páramentesítő  –  fő kulcsszó: „páramentesítő”</t>
        </is>
      </c>
    </row>
    <row r="2">
      <c r="A2" s="2" t="inlineStr">
        <is>
          <t>Felhasználási terület: Páratartalom csökkentése a termesztőtérben, szárításnál – kompresszoros / Peltier páramentesítő</t>
        </is>
      </c>
    </row>
    <row r="3">
      <c r="A3" s="2" t="inlineStr">
        <is>
          <t>Megjegyzés: Az ág legerősebb termékszava (páramentesítő 9900, párátlanító 3600) – a két szinonima egy céloldalra (H1: „Páramentesítő, párátlanító készülék”). Az „ipari páramentesítő” (320) jó a nagy Cornwall gépre.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páramentesítő</t>
        </is>
      </c>
      <c r="C7" s="5" t="n">
        <v>9900</v>
      </c>
      <c r="D7" s="4" t="inlineStr">
        <is>
          <t>Szoros</t>
        </is>
      </c>
      <c r="E7" s="4" t="inlineStr">
        <is>
          <t>Igen</t>
        </is>
      </c>
      <c r="F7" s="4" t="inlineStr">
        <is>
          <t>Páratartalom csökkentése a termesztőtérben, szárításnál – kompresszoros / Peltier páramentesítő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párátlanító</t>
        </is>
      </c>
      <c r="C8" s="5" t="n">
        <v>3600</v>
      </c>
      <c r="D8" s="4" t="inlineStr">
        <is>
          <t>Szoros</t>
        </is>
      </c>
      <c r="E8" s="4" t="inlineStr">
        <is>
          <t>Igen</t>
        </is>
      </c>
      <c r="F8" s="4" t="inlineStr">
        <is>
          <t>Páratartalom csökkentése a termesztőtérben, szárításnál – kompresszoros / Peltier páramentesítő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páramentesítő gép</t>
        </is>
      </c>
      <c r="C9" s="5" t="n">
        <v>2400</v>
      </c>
      <c r="D9" s="4" t="inlineStr">
        <is>
          <t>Szoros</t>
        </is>
      </c>
      <c r="E9" s="4" t="inlineStr">
        <is>
          <t>Igen</t>
        </is>
      </c>
      <c r="F9" s="4" t="inlineStr">
        <is>
          <t>Páratartalom csökkentése a termesztőtérben, szárításnál – kompresszoros / Peltier páramentesítő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páramentesítő készülék</t>
        </is>
      </c>
      <c r="C10" s="5" t="n">
        <v>2400</v>
      </c>
      <c r="D10" s="4" t="inlineStr">
        <is>
          <t>Szoros</t>
        </is>
      </c>
      <c r="E10" s="4" t="inlineStr">
        <is>
          <t>Igen</t>
        </is>
      </c>
      <c r="F10" s="4" t="inlineStr">
        <is>
          <t>Páratartalom csökkentése a termesztőtérben, szárításnál – kompresszoros / Peltier páramentesítő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párátlanító készülék</t>
        </is>
      </c>
      <c r="C11" s="5" t="n">
        <v>2400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Páratartalom csökkentése a termesztőtérben, szárításnál – kompresszoros / Peltier páramentesítő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párátlanító gép</t>
        </is>
      </c>
      <c r="C12" s="5" t="n">
        <v>720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Páratartalom csökkentése a termesztőtérben, szárításnál – kompresszoros / Peltier páramentesítő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legjobb páramentesítő</t>
        </is>
      </c>
      <c r="C13" s="5" t="n">
        <v>590</v>
      </c>
      <c r="D13" s="4" t="inlineStr">
        <is>
          <t>Szoros</t>
        </is>
      </c>
      <c r="E13" s="4" t="inlineStr">
        <is>
          <t>Igen</t>
        </is>
      </c>
      <c r="F13" s="4" t="inlineStr">
        <is>
          <t>Páratartalom csökkentése a termesztőtérben, szárításnál – kompresszoros / Peltier páramentesítő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ipari páramentesítő</t>
        </is>
      </c>
      <c r="C14" s="5" t="n">
        <v>320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Páratartalom csökkentése a termesztőtérben, szárításnál – kompresszoros / Peltier páramentesítő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elektromos páramentesítő</t>
        </is>
      </c>
      <c r="C15" s="5" t="n">
        <v>320</v>
      </c>
      <c r="D15" s="4" t="inlineStr">
        <is>
          <t>Szoros</t>
        </is>
      </c>
      <c r="E15" s="4" t="inlineStr">
        <is>
          <t>Igen</t>
        </is>
      </c>
      <c r="F15" s="4" t="inlineStr">
        <is>
          <t>Páratartalom csökkentése a termesztőtérben, szárításnál – kompresszoros / Peltier páramentesítő</t>
        </is>
      </c>
      <c r="G15" s="4" t="inlineStr">
        <is>
          <t>Kategórialeírás (természetes említés)</t>
        </is>
      </c>
    </row>
    <row r="16">
      <c r="A16" s="9" t="n">
        <v>10</v>
      </c>
      <c r="B16" s="9" t="inlineStr">
        <is>
          <t>páramentesítő fürdőszobába</t>
        </is>
      </c>
      <c r="C16" s="20" t="n">
        <v>260</v>
      </c>
      <c r="D16" s="9" t="inlineStr">
        <is>
          <t>Laza</t>
        </is>
      </c>
      <c r="E16" s="9" t="inlineStr">
        <is>
          <t>Nem</t>
        </is>
      </c>
      <c r="F16" s="9" t="inlineStr">
        <is>
          <t>Páratartalom csökkentése a termesztőtérben, szárításnál – kompresszoros / Peltier páramentesítő</t>
        </is>
      </c>
      <c r="G16" s="9" t="inlineStr">
        <is>
          <t>Nem célozni külön oldallal (max. említés)</t>
        </is>
      </c>
    </row>
    <row r="17">
      <c r="A17" s="8" t="n">
        <v>11</v>
      </c>
      <c r="B17" s="8" t="inlineStr">
        <is>
          <t>páramentesítő penész ellen</t>
        </is>
      </c>
      <c r="C17" s="19" t="n">
        <v>90</v>
      </c>
      <c r="D17" s="8" t="inlineStr">
        <is>
          <t>Laza</t>
        </is>
      </c>
      <c r="E17" s="8" t="inlineStr">
        <is>
          <t>Igen</t>
        </is>
      </c>
      <c r="F17" s="8" t="inlineStr">
        <is>
          <t>Páratartalom csökkentése a termesztőtérben, szárításnál – kompresszoros / Peltier páramentesítő</t>
        </is>
      </c>
      <c r="G17" s="8" t="inlineStr">
        <is>
          <t>Kategórialeírás (természetes említés)</t>
        </is>
      </c>
    </row>
    <row r="18">
      <c r="A18" s="10" t="n">
        <v>12</v>
      </c>
      <c r="B18" s="10" t="inlineStr">
        <is>
          <t>ipari páramentesítő bérlés</t>
        </is>
      </c>
      <c r="C18" s="21" t="n">
        <v>90</v>
      </c>
      <c r="D18" s="10" t="inlineStr">
        <is>
          <t>Nincs (áruházi / nem vásárlási szándék)</t>
        </is>
      </c>
      <c r="E18" s="10" t="inlineStr">
        <is>
          <t>Nem – kizárandó</t>
        </is>
      </c>
      <c r="F18" s="10" t="inlineStr">
        <is>
          <t>Páratartalom csökkentése a termesztőtérben, szárításnál – kompresszoros / Peltier páramentesítő</t>
        </is>
      </c>
      <c r="G18" s="10" t="inlineStr">
        <is>
          <t>Nem használni (áruházi/nem vásárlási szándék)</t>
        </is>
      </c>
    </row>
    <row r="19">
      <c r="A19" s="4" t="n">
        <v>13</v>
      </c>
      <c r="B19" s="4" t="inlineStr">
        <is>
          <t>kompresszoros páramentesítő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Páratartalom csökkentése a termesztőtérben, szárításnál – kompresszoros / Peltier páramentesítő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nagy teljesítményű páramentesítő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Páratartalom csökkentése a termesztőtérben, szárításnál – kompresszoros / Peltier páramentesítő</t>
        </is>
      </c>
      <c r="G20" s="4" t="inlineStr">
        <is>
          <t>Kategórialeírás (természetes említés)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5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GRO0791</t>
        </is>
      </c>
      <c r="C25" s="4" t="inlineStr">
        <is>
          <t>Peltier páramentesítő 250 ml/nap, 500 ml víztartály, kompakt méret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Páramentesítő</t>
        </is>
      </c>
    </row>
    <row r="26">
      <c r="A26" s="4" t="n">
        <v>2</v>
      </c>
      <c r="B26" s="4" t="inlineStr">
        <is>
          <t>GRO3787</t>
        </is>
      </c>
      <c r="C26" s="4" t="inlineStr">
        <is>
          <t>Cornwall Electronics ipari páramentesítő 50l / 24h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Páramentesítő</t>
        </is>
      </c>
    </row>
    <row r="27">
      <c r="A27" s="4" t="n">
        <v>3</v>
      </c>
      <c r="B27" s="4" t="inlineStr">
        <is>
          <t>GRO4409</t>
        </is>
      </c>
      <c r="C27" s="4" t="inlineStr">
        <is>
          <t>Cornwall Electronics Arica páramantesítő 12 liter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Páramentesítő</t>
        </is>
      </c>
    </row>
    <row r="28">
      <c r="A28" s="4" t="n">
        <v>4</v>
      </c>
      <c r="B28" s="4" t="inlineStr">
        <is>
          <t>GRO4497</t>
        </is>
      </c>
      <c r="C28" s="4" t="inlineStr">
        <is>
          <t>AC Infinity HYDRONE 5 növény páramentesítő 10 fokozat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Páramentesítő</t>
        </is>
      </c>
    </row>
    <row r="29">
      <c r="A29" s="4" t="n">
        <v>5</v>
      </c>
      <c r="B29" s="4" t="inlineStr">
        <is>
          <t>GRO0790</t>
        </is>
      </c>
      <c r="C29" s="4" t="inlineStr">
        <is>
          <t>Digitális páratartalom-szabályozó párásításhoz és párátlanításhoz 30-90%</t>
        </is>
      </c>
      <c r="D29" s="4" t="inlineStr">
        <is>
          <t>Másodlagos</t>
        </is>
      </c>
      <c r="E29" s="4" t="inlineStr">
        <is>
          <t>Erős</t>
        </is>
      </c>
      <c r="F29" s="4" t="inlineStr">
        <is>
          <t>Páratartalom-szabályzó (higrosztát)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Párásító  –  fő kulcsszó: „párásító”</t>
        </is>
      </c>
    </row>
    <row r="2">
      <c r="A2" s="2" t="inlineStr">
        <is>
          <t>Felhasználási terület: Páratartalom növelése a termesztőtérben – ultrahangos / hideg párásító, ködgenerátor, vezérlő</t>
        </is>
      </c>
    </row>
    <row r="3">
      <c r="A3" s="2" t="inlineStr">
        <is>
          <t>Megjegyzés: Nagy, tiszta klaszter (párásító 5400, párásító készülék 4400, ultrahangos párásító 1000, hidegpárásító 720). A márkás háztartási szavak (Xiaomi, Philips, Vivamax) és a diffúzor / babaszobai szavak nem a mi termékeink.</t>
        </is>
      </c>
    </row>
    <row r="4">
      <c r="A4" s="2" t="inlineStr">
        <is>
          <t>Felvett releváns kulcsszavak: 19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párásító</t>
        </is>
      </c>
      <c r="C7" s="5" t="n">
        <v>5400</v>
      </c>
      <c r="D7" s="4" t="inlineStr">
        <is>
          <t>Szoros</t>
        </is>
      </c>
      <c r="E7" s="4" t="inlineStr">
        <is>
          <t>Igen</t>
        </is>
      </c>
      <c r="F7" s="4" t="inlineStr">
        <is>
          <t>Páratartalom növelése a termesztőtérben – ultrahangos / hideg párásító, ködgenerátor, vezérlő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párásító készülék</t>
        </is>
      </c>
      <c r="C8" s="5" t="n">
        <v>4400</v>
      </c>
      <c r="D8" s="4" t="inlineStr">
        <is>
          <t>Szoros</t>
        </is>
      </c>
      <c r="E8" s="4" t="inlineStr">
        <is>
          <t>Igen</t>
        </is>
      </c>
      <c r="F8" s="4" t="inlineStr">
        <is>
          <t>Páratartalom növelése a termesztőtérben – ultrahangos / hideg párásító, ködgenerátor, vezérlő</t>
        </is>
      </c>
      <c r="G8" s="4" t="inlineStr">
        <is>
          <t>SEO title / H1 / bevezető (másodlagos)</t>
        </is>
      </c>
    </row>
    <row r="9">
      <c r="A9" s="9" t="n">
        <v>3</v>
      </c>
      <c r="B9" s="9" t="inlineStr">
        <is>
          <t>párásító ventilátor</t>
        </is>
      </c>
      <c r="C9" s="20" t="n">
        <v>1300</v>
      </c>
      <c r="D9" s="9" t="inlineStr">
        <is>
          <t>Laza</t>
        </is>
      </c>
      <c r="E9" s="9" t="inlineStr">
        <is>
          <t>Nem</t>
        </is>
      </c>
      <c r="F9" s="9" t="inlineStr">
        <is>
          <t>Páratartalom növelése a termesztőtérben – ultrahangos / hideg párásító, ködgenerátor, vezérlő</t>
        </is>
      </c>
      <c r="G9" s="9" t="inlineStr">
        <is>
          <t>Nem célozni külön oldallal (max. említés)</t>
        </is>
      </c>
    </row>
    <row r="10">
      <c r="A10" s="4" t="n">
        <v>4</v>
      </c>
      <c r="B10" s="4" t="inlineStr">
        <is>
          <t>ultrahangos párásító</t>
        </is>
      </c>
      <c r="C10" s="5" t="n">
        <v>1000</v>
      </c>
      <c r="D10" s="4" t="inlineStr">
        <is>
          <t>Szoros</t>
        </is>
      </c>
      <c r="E10" s="4" t="inlineStr">
        <is>
          <t>Igen</t>
        </is>
      </c>
      <c r="F10" s="4" t="inlineStr">
        <is>
          <t>Páratartalom növelése a termesztőtérben – ultrahangos / hideg párásító, ködgenerátor, vezérlő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hidegpárásító</t>
        </is>
      </c>
      <c r="C11" s="5" t="n">
        <v>720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Páratartalom növelése a termesztőtérben – ultrahangos / hideg párásító, ködgenerátor, vezérlő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levegő párásító</t>
        </is>
      </c>
      <c r="C12" s="5" t="n">
        <v>590</v>
      </c>
      <c r="D12" s="4" t="inlineStr">
        <is>
          <t>Szoros</t>
        </is>
      </c>
      <c r="E12" s="4" t="inlineStr">
        <is>
          <t>Igen</t>
        </is>
      </c>
      <c r="F12" s="4" t="inlineStr">
        <is>
          <t>Páratartalom növelése a termesztőtérben – ultrahangos / hideg párásító, ködgenerátor, vezérlő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párásító gép</t>
        </is>
      </c>
      <c r="C13" s="5" t="n">
        <v>320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Páratartalom növelése a termesztőtérben – ultrahangos / hideg párásító, ködgenerátor, vezérlő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hideg párásító készülék</t>
        </is>
      </c>
      <c r="C14" s="5" t="n">
        <v>260</v>
      </c>
      <c r="D14" s="4" t="inlineStr">
        <is>
          <t>Szoros</t>
        </is>
      </c>
      <c r="E14" s="4" t="inlineStr">
        <is>
          <t>Igen</t>
        </is>
      </c>
      <c r="F14" s="4" t="inlineStr">
        <is>
          <t>Páratartalom növelése a termesztőtérben – ultrahangos / hideg párásító, ködgenerátor, vezérlő</t>
        </is>
      </c>
      <c r="G14" s="4" t="inlineStr">
        <is>
          <t>Kategórialeírás (természetes említés)</t>
        </is>
      </c>
    </row>
    <row r="15">
      <c r="A15" s="9" t="n">
        <v>9</v>
      </c>
      <c r="B15" s="9" t="inlineStr">
        <is>
          <t>párásító diffúzor</t>
        </is>
      </c>
      <c r="C15" s="20" t="n">
        <v>210</v>
      </c>
      <c r="D15" s="9" t="inlineStr">
        <is>
          <t>Laza</t>
        </is>
      </c>
      <c r="E15" s="9" t="inlineStr">
        <is>
          <t>Nem</t>
        </is>
      </c>
      <c r="F15" s="9" t="inlineStr">
        <is>
          <t>Páratartalom növelése a termesztőtérben – ultrahangos / hideg párásító, ködgenerátor, vezérlő</t>
        </is>
      </c>
      <c r="G15" s="9" t="inlineStr">
        <is>
          <t>Nem célozni külön oldallal (max. említés)</t>
        </is>
      </c>
    </row>
    <row r="16">
      <c r="A16" s="4" t="n">
        <v>10</v>
      </c>
      <c r="B16" s="4" t="inlineStr">
        <is>
          <t>hidegpárásító készülék</t>
        </is>
      </c>
      <c r="C16" s="5" t="n">
        <v>140</v>
      </c>
      <c r="D16" s="4" t="inlineStr">
        <is>
          <t>Szoros</t>
        </is>
      </c>
      <c r="E16" s="4" t="inlineStr">
        <is>
          <t>Igen</t>
        </is>
      </c>
      <c r="F16" s="4" t="inlineStr">
        <is>
          <t>Páratartalom növelése a termesztőtérben – ultrahangos / hideg párásító, ködgenerátor, vezérlő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legjobb párásító</t>
        </is>
      </c>
      <c r="C17" s="5" t="n">
        <v>140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Páratartalom növelése a termesztőtérben – ultrahangos / hideg párásító, ködgenerátor, vezérlő</t>
        </is>
      </c>
      <c r="G17" s="4" t="inlineStr">
        <is>
          <t>Kategórialeírás (természetes említés)</t>
        </is>
      </c>
    </row>
    <row r="18">
      <c r="A18" s="9" t="n">
        <v>12</v>
      </c>
      <c r="B18" s="9" t="inlineStr">
        <is>
          <t>párásító babáknak</t>
        </is>
      </c>
      <c r="C18" s="20" t="n">
        <v>140</v>
      </c>
      <c r="D18" s="9" t="inlineStr">
        <is>
          <t>Laza</t>
        </is>
      </c>
      <c r="E18" s="9" t="inlineStr">
        <is>
          <t>Nem</t>
        </is>
      </c>
      <c r="F18" s="9" t="inlineStr">
        <is>
          <t>Páratartalom növelése a termesztőtérben – ultrahangos / hideg párásító, ködgenerátor, vezérlő</t>
        </is>
      </c>
      <c r="G18" s="9" t="inlineStr">
        <is>
          <t>Nem célozni külön oldallal (max. említés)</t>
        </is>
      </c>
    </row>
    <row r="19">
      <c r="A19" s="4" t="n">
        <v>13</v>
      </c>
      <c r="B19" s="4" t="inlineStr">
        <is>
          <t>levegő párásító készülék</t>
        </is>
      </c>
      <c r="C19" s="5" t="n">
        <v>110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Páratartalom növelése a termesztőtérben – ultrahangos / hideg párásító, ködgenerátor, vezérlő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ultrahangos párásító készülék</t>
        </is>
      </c>
      <c r="C20" s="5" t="n">
        <v>90</v>
      </c>
      <c r="D20" s="4" t="inlineStr">
        <is>
          <t>Szoros</t>
        </is>
      </c>
      <c r="E20" s="4" t="inlineStr">
        <is>
          <t>Igen</t>
        </is>
      </c>
      <c r="F20" s="4" t="inlineStr">
        <is>
          <t>Páratartalom növelése a termesztőtérben – ultrahangos / hideg párásító, ködgenerátor, vezérlő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ultrahangos hideg párásító</t>
        </is>
      </c>
      <c r="C21" s="5" t="n">
        <v>90</v>
      </c>
      <c r="D21" s="4" t="inlineStr">
        <is>
          <t>Szoros</t>
        </is>
      </c>
      <c r="E21" s="4" t="inlineStr">
        <is>
          <t>Igen</t>
        </is>
      </c>
      <c r="F21" s="4" t="inlineStr">
        <is>
          <t>Páratartalom növelése a termesztőtérben – ultrahangos / hideg párásító, ködgenerátor, vezérlő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elektromos párásító</t>
        </is>
      </c>
      <c r="C22" s="5" t="n">
        <v>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Páratartalom növelése a termesztőtérben – ultrahangos / hideg párásító, ködgenerátor, vezérlő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okos párásító</t>
        </is>
      </c>
      <c r="C23" s="5" t="n">
        <v>70</v>
      </c>
      <c r="D23" s="4" t="inlineStr">
        <is>
          <t>Szoros</t>
        </is>
      </c>
      <c r="E23" s="4" t="inlineStr">
        <is>
          <t>Igen</t>
        </is>
      </c>
      <c r="F23" s="4" t="inlineStr">
        <is>
          <t>Páratartalom növelése a termesztőtérben – ultrahangos / hideg párásító, ködgenerátor, vezérlő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párásítók</t>
        </is>
      </c>
      <c r="C24" s="5" t="n">
        <v>70</v>
      </c>
      <c r="D24" s="4" t="inlineStr">
        <is>
          <t>Szoros</t>
        </is>
      </c>
      <c r="E24" s="4" t="inlineStr">
        <is>
          <t>Igen</t>
        </is>
      </c>
      <c r="F24" s="4" t="inlineStr">
        <is>
          <t>Páratartalom növelése a termesztőtérben – ultrahangos / hideg párásító, ködgenerátor, vezérlő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ipari párásító</t>
        </is>
      </c>
      <c r="C25" s="5" t="n">
        <v>50</v>
      </c>
      <c r="D25" s="4" t="inlineStr">
        <is>
          <t>Szoros</t>
        </is>
      </c>
      <c r="E25" s="4" t="inlineStr">
        <is>
          <t>Igen</t>
        </is>
      </c>
      <c r="F25" s="4" t="inlineStr">
        <is>
          <t>Páratartalom növelése a termesztőtérben – ultrahangos / hideg párásító, ködgenerátor, vezérlő</t>
        </is>
      </c>
      <c r="G25" s="4" t="inlineStr">
        <is>
          <t>Kategórialeírás (természetes említés)</t>
        </is>
      </c>
    </row>
    <row r="26">
      <c r="B26" s="7" t="inlineStr">
        <is>
          <t>Összesen (érdemes rá oldal = Igen):</t>
        </is>
      </c>
      <c r="C26" s="22">
        <f>SUMIFS(C7:C25,E7:E25,"Igen")</f>
        <v/>
      </c>
    </row>
    <row r="28">
      <c r="A28" s="7" t="inlineStr">
        <is>
          <t>Termékek a jelenlegi kínálatból: 8 db (elsődleges + másodlagos hozzárendelés; egy termék több kategóriában is szerepelhet)</t>
        </is>
      </c>
    </row>
    <row r="29">
      <c r="A29" s="3" t="inlineStr">
        <is>
          <t>#</t>
        </is>
      </c>
      <c r="B29" s="3" t="inlineStr">
        <is>
          <t>Termékkód</t>
        </is>
      </c>
      <c r="C29" s="3" t="inlineStr">
        <is>
          <t>Terméknév</t>
        </is>
      </c>
      <c r="D29" s="3" t="inlineStr">
        <is>
          <t>Hozzárendelés</t>
        </is>
      </c>
      <c r="E29" s="3" t="inlineStr">
        <is>
          <t>Illeszkedés</t>
        </is>
      </c>
      <c r="F29" s="3" t="inlineStr">
        <is>
          <t>Megjegyzés</t>
        </is>
      </c>
    </row>
    <row r="30">
      <c r="A30" s="4" t="n">
        <v>1</v>
      </c>
      <c r="B30" s="4" t="inlineStr">
        <is>
          <t>GRO1461</t>
        </is>
      </c>
      <c r="C30" s="4" t="inlineStr">
        <is>
          <t>Neptune Hydroponics Mist Maker ultrahangos párásító 24 V, vízszintérzékelővel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Párásító (ultrahangos, Cloudforge, Dark Fogger)</t>
        </is>
      </c>
    </row>
    <row r="31">
      <c r="A31" s="4" t="n">
        <v>2</v>
      </c>
      <c r="B31" s="4" t="inlineStr">
        <is>
          <t>GRO3841</t>
        </is>
      </c>
      <c r="C31" s="4" t="inlineStr">
        <is>
          <t>Cornwall Electronics párásító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Párásító (ultrahangos, Cloudforge, Dark Fogger)</t>
        </is>
      </c>
    </row>
    <row r="32">
      <c r="A32" s="4" t="n">
        <v>3</v>
      </c>
      <c r="B32" s="4" t="inlineStr">
        <is>
          <t>GRO4200</t>
        </is>
      </c>
      <c r="C32" s="4" t="inlineStr">
        <is>
          <t>AC Infinity Cloudforge T3 párásító intelligens,célzott párakibocsátással 4,5 L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Párásító (ultrahangos, Cloudforge, Dark Fogger)</t>
        </is>
      </c>
    </row>
    <row r="33">
      <c r="A33" s="4" t="n">
        <v>4</v>
      </c>
      <c r="B33" s="4" t="inlineStr">
        <is>
          <t>GRO4209</t>
        </is>
      </c>
      <c r="C33" s="4" t="inlineStr">
        <is>
          <t>AC Infinity Cloudforge T7 párásító intelligens,célzott párakibocsátással 15 L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Párásító (ultrahangos, Cloudforge, Dark Fogger)</t>
        </is>
      </c>
    </row>
    <row r="34">
      <c r="A34" s="4" t="n">
        <v>5</v>
      </c>
      <c r="B34" s="4" t="inlineStr">
        <is>
          <t>GRO4368</t>
        </is>
      </c>
      <c r="C34" s="4" t="inlineStr">
        <is>
          <t>Monzon párásító vezérlő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Párásító vezérlő</t>
        </is>
      </c>
    </row>
    <row r="35">
      <c r="A35" s="4" t="n">
        <v>6</v>
      </c>
      <c r="B35" s="4" t="inlineStr">
        <is>
          <t>GRO4575</t>
        </is>
      </c>
      <c r="C35" s="4" t="inlineStr">
        <is>
          <t>Neptune Hydroponics Dark Fogger párásító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Párásító (ultrahangos, Cloudforge, Dark Fogger)</t>
        </is>
      </c>
    </row>
    <row r="36">
      <c r="A36" s="4" t="n">
        <v>7</v>
      </c>
      <c r="B36" s="4" t="inlineStr">
        <is>
          <t>GRO4658</t>
        </is>
      </c>
      <c r="C36" s="4" t="inlineStr">
        <is>
          <t>AC Infinity Cloudforge T5 intelligens párásító, VPD-vezérléssel, 9 L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Párásító (ultrahangos, Cloudforge, Dark Fogger)</t>
        </is>
      </c>
    </row>
    <row r="37">
      <c r="A37" s="4" t="n">
        <v>8</v>
      </c>
      <c r="B37" s="4" t="inlineStr">
        <is>
          <t>GRO0790</t>
        </is>
      </c>
      <c r="C37" s="4" t="inlineStr">
        <is>
          <t>Digitális páratartalom-szabályozó párásításhoz és párátlanításhoz 30-90%</t>
        </is>
      </c>
      <c r="D37" s="4" t="inlineStr">
        <is>
          <t>Másodlagos</t>
        </is>
      </c>
      <c r="E37" s="4" t="inlineStr">
        <is>
          <t>Erős</t>
        </is>
      </c>
      <c r="F37" s="4" t="inlineStr">
        <is>
          <t>Páratartalom-szabályzó (higrosztát)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Klímavezérlő: ventilátor-szabályzó, termosztát, higrosztát  –  fő kulcsszó: „ventilátor fordulatszám szabályzó”</t>
        </is>
      </c>
    </row>
    <row r="2">
      <c r="A2" s="2" t="inlineStr">
        <is>
          <t>Felhasználási terület: Csőventilátor fordulatszám-, hőmérséklet-, páratartalom- és nyomásszabályzása; környezeti vezérlő (AC Infinity, GSE, OptiClimate)</t>
        </is>
      </c>
    </row>
    <row r="3">
      <c r="A3" s="2" t="inlineStr">
        <is>
          <t>Megjegyzés: Kis keresésű, de konverziós kategória (ventilátor fordulatszám szabályzó 110, ventilátor vezérlő 70, páratartalom szabályzó 70). A „digitális termosztát” (390) nagyrészt fűtés-termosztát – laza. A „pc ventilátor vezérlő” számítógépes – kizárva.</t>
        </is>
      </c>
    </row>
    <row r="4">
      <c r="A4" s="2" t="inlineStr">
        <is>
          <t>Felvett releváns kulcsszavak: 16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ventilátor fordulatszám szabályzó</t>
        </is>
      </c>
      <c r="C7" s="5" t="n">
        <v>110</v>
      </c>
      <c r="D7" s="4" t="inlineStr">
        <is>
          <t>Szoros</t>
        </is>
      </c>
      <c r="E7" s="4" t="inlineStr">
        <is>
          <t>Igen</t>
        </is>
      </c>
      <c r="F7" s="4" t="inlineStr">
        <is>
          <t>Csőventilátor fordulatszám-, hőmérséklet-, páratartalom- és nyomásszabályzása; környezeti vezérlő (AC Infinity, GSE, OptiClimate)</t>
        </is>
      </c>
      <c r="G7" s="4" t="inlineStr">
        <is>
          <t>Kategórianév + H1 + SEO title (fő kulcsszó)</t>
        </is>
      </c>
    </row>
    <row r="8">
      <c r="A8" s="8" t="n">
        <v>2</v>
      </c>
      <c r="B8" s="8" t="inlineStr">
        <is>
          <t>digitális termosztát</t>
        </is>
      </c>
      <c r="C8" s="19" t="n">
        <v>390</v>
      </c>
      <c r="D8" s="8" t="inlineStr">
        <is>
          <t>Laza</t>
        </is>
      </c>
      <c r="E8" s="8" t="inlineStr">
        <is>
          <t>Igen</t>
        </is>
      </c>
      <c r="F8" s="8" t="inlineStr">
        <is>
          <t>Csőventilátor fordulatszám-, hőmérséklet-, páratartalom- és nyomásszabályzása; környezeti vezérlő (AC Infinity, GSE, OptiClimate)</t>
        </is>
      </c>
      <c r="G8" s="8" t="inlineStr">
        <is>
          <t>Kategórialeírás (természetes említés)</t>
        </is>
      </c>
    </row>
    <row r="9">
      <c r="A9" s="8" t="n">
        <v>3</v>
      </c>
      <c r="B9" s="8" t="inlineStr">
        <is>
          <t>konnektoros termosztát</t>
        </is>
      </c>
      <c r="C9" s="19" t="n">
        <v>110</v>
      </c>
      <c r="D9" s="8" t="inlineStr">
        <is>
          <t>Laza</t>
        </is>
      </c>
      <c r="E9" s="8" t="inlineStr">
        <is>
          <t>Igen</t>
        </is>
      </c>
      <c r="F9" s="8" t="inlineStr">
        <is>
          <t>Csőventilátor fordulatszám-, hőmérséklet-, páratartalom- és nyomásszabályzása; környezeti vezérlő (AC Infinity, GSE, OptiClimate)</t>
        </is>
      </c>
      <c r="G9" s="8" t="inlineStr">
        <is>
          <t>Kategórialeírás (természetes említés)</t>
        </is>
      </c>
    </row>
    <row r="10">
      <c r="A10" s="8" t="n">
        <v>4</v>
      </c>
      <c r="B10" s="8" t="inlineStr">
        <is>
          <t>digitális hőfokszabályzó</t>
        </is>
      </c>
      <c r="C10" s="19" t="n">
        <v>90</v>
      </c>
      <c r="D10" s="8" t="inlineStr">
        <is>
          <t>Laza</t>
        </is>
      </c>
      <c r="E10" s="8" t="inlineStr">
        <is>
          <t>Igen</t>
        </is>
      </c>
      <c r="F10" s="8" t="inlineStr">
        <is>
          <t>Csőventilátor fordulatszám-, hőmérséklet-, páratartalom- és nyomásszabályzása; környezeti vezérlő (AC Infinity, GSE, OptiClimate)</t>
        </is>
      </c>
      <c r="G10" s="8" t="inlineStr">
        <is>
          <t>Kategórialeírás (természetes említés)</t>
        </is>
      </c>
    </row>
    <row r="11">
      <c r="A11" s="10" t="n">
        <v>5</v>
      </c>
      <c r="B11" s="10" t="inlineStr">
        <is>
          <t>pc ventilátor vezérlő</t>
        </is>
      </c>
      <c r="C11" s="21" t="n">
        <v>90</v>
      </c>
      <c r="D11" s="10" t="inlineStr">
        <is>
          <t>Nincs (áruházi / nem vásárlási szándék)</t>
        </is>
      </c>
      <c r="E11" s="10" t="inlineStr">
        <is>
          <t>Nem – kizárandó</t>
        </is>
      </c>
      <c r="F11" s="10" t="inlineStr">
        <is>
          <t>Csőventilátor fordulatszám-, hőmérséklet-, páratartalom- és nyomásszabályzása; környezeti vezérlő (AC Infinity, GSE, OptiClimate)</t>
        </is>
      </c>
      <c r="G11" s="10" t="inlineStr">
        <is>
          <t>Nem használni (áruházi/nem vásárlási szándék)</t>
        </is>
      </c>
    </row>
    <row r="12">
      <c r="A12" s="4" t="n">
        <v>6</v>
      </c>
      <c r="B12" s="4" t="inlineStr">
        <is>
          <t>ventilátor vezérlő</t>
        </is>
      </c>
      <c r="C12" s="5" t="n">
        <v>70</v>
      </c>
      <c r="D12" s="4" t="inlineStr">
        <is>
          <t>Szoros</t>
        </is>
      </c>
      <c r="E12" s="4" t="inlineStr">
        <is>
          <t>Igen</t>
        </is>
      </c>
      <c r="F12" s="4" t="inlineStr">
        <is>
          <t>Csőventilátor fordulatszám-, hőmérséklet-, páratartalom- és nyomásszabályzása; környezeti vezérlő (AC Infinity, GSE, OptiClimate)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ventilátor vezérlés</t>
        </is>
      </c>
      <c r="C13" s="5" t="n">
        <v>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Csőventilátor fordulatszám-, hőmérséklet-, páratartalom- és nyomásszabályzása; környezeti vezérlő (AC Infinity, GSE, OptiClimate)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fordulatszám szabályzós ventilátor</t>
        </is>
      </c>
      <c r="C14" s="5" t="n">
        <v>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Csőventilátor fordulatszám-, hőmérséklet-, páratartalom- és nyomásszabályzása; környezeti vezérlő (AC Infinity, GSE, OptiClimate)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páratartalom szabályzó</t>
        </is>
      </c>
      <c r="C15" s="5" t="n">
        <v>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Csőventilátor fordulatszám-, hőmérséklet-, páratartalom- és nyomásszabályzása; környezeti vezérlő (AC Infinity, GSE, OptiClimate)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higrosztát</t>
        </is>
      </c>
      <c r="C16" s="5" t="n">
        <v>70</v>
      </c>
      <c r="D16" s="4" t="inlineStr">
        <is>
          <t>Szoros</t>
        </is>
      </c>
      <c r="E16" s="4" t="inlineStr">
        <is>
          <t>Igen</t>
        </is>
      </c>
      <c r="F16" s="4" t="inlineStr">
        <is>
          <t>Csőventilátor fordulatszám-, hőmérséklet-, páratartalom- és nyomásszabályzása; környezeti vezérlő (AC Infinity, GSE, OptiClimate)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ventilátor szabályzó</t>
        </is>
      </c>
      <c r="C17" s="5" t="n">
        <v>50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Csőventilátor fordulatszám-, hőmérséklet-, páratartalom- és nyomásszabályzása; környezeti vezérlő (AC Infinity, GSE, OptiClimate)</t>
        </is>
      </c>
      <c r="G17" s="4" t="inlineStr">
        <is>
          <t>SEO title / H1 / bevezető (másodlagos)</t>
        </is>
      </c>
    </row>
    <row r="18">
      <c r="A18" s="4" t="n">
        <v>12</v>
      </c>
      <c r="B18" s="4" t="inlineStr">
        <is>
          <t>230v ventilátor fordulatszám szabályzó</t>
        </is>
      </c>
      <c r="C18" s="5" t="n">
        <v>50</v>
      </c>
      <c r="D18" s="4" t="inlineStr">
        <is>
          <t>Szoros</t>
        </is>
      </c>
      <c r="E18" s="4" t="inlineStr">
        <is>
          <t>Igen</t>
        </is>
      </c>
      <c r="F18" s="4" t="inlineStr">
        <is>
          <t>Csőventilátor fordulatszám-, hőmérséklet-, páratartalom- és nyomásszabályzása; környezeti vezérlő (AC Infinity, GSE, OptiClimate)</t>
        </is>
      </c>
      <c r="G18" s="4" t="inlineStr">
        <is>
          <t>Kategórialeírás (természetes említés)</t>
        </is>
      </c>
    </row>
    <row r="19">
      <c r="A19" s="8" t="n">
        <v>13</v>
      </c>
      <c r="B19" s="8" t="inlineStr">
        <is>
          <t>digitális hőmérséklet szabályozó</t>
        </is>
      </c>
      <c r="C19" s="19" t="n">
        <v>30</v>
      </c>
      <c r="D19" s="8" t="inlineStr">
        <is>
          <t>Laza</t>
        </is>
      </c>
      <c r="E19" s="8" t="inlineStr">
        <is>
          <t>Igen</t>
        </is>
      </c>
      <c r="F19" s="8" t="inlineStr">
        <is>
          <t>Csőventilátor fordulatszám-, hőmérséklet-, páratartalom- és nyomásszabályzása; környezeti vezérlő (AC Infinity, GSE, OptiClimate)</t>
        </is>
      </c>
      <c r="G19" s="8" t="inlineStr">
        <is>
          <t>Kategórialeírás (természetes említés)</t>
        </is>
      </c>
    </row>
    <row r="20">
      <c r="A20" s="4" t="n">
        <v>14</v>
      </c>
      <c r="B20" s="4" t="inlineStr">
        <is>
          <t>ventilátor fordulatszám szabályzó 230v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Csőventilátor fordulatszám-, hőmérséklet-, páratartalom- és nyomásszabályzása; környezeti vezérlő (AC Infinity, GSE, OptiClimate)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hőmérséklet és páratartalom szabályzó</t>
        </is>
      </c>
      <c r="C21" s="5" t="n">
        <v>20</v>
      </c>
      <c r="D21" s="4" t="inlineStr">
        <is>
          <t>Szoros</t>
        </is>
      </c>
      <c r="E21" s="4" t="inlineStr">
        <is>
          <t>Igen</t>
        </is>
      </c>
      <c r="F21" s="4" t="inlineStr">
        <is>
          <t>Csőventilátor fordulatszám-, hőmérséklet-, páratartalom- és nyomásszabályzása; környezeti vezérlő (AC Infinity, GSE, OptiClimate)</t>
        </is>
      </c>
      <c r="G21" s="4" t="inlineStr">
        <is>
          <t>Kategórialeírás (természetes említés)</t>
        </is>
      </c>
    </row>
    <row r="22">
      <c r="A22" s="8" t="n">
        <v>16</v>
      </c>
      <c r="B22" s="8" t="inlineStr">
        <is>
          <t>hőmérséklet szabályzó</t>
        </is>
      </c>
      <c r="C22" s="19" t="n">
        <v>20</v>
      </c>
      <c r="D22" s="8" t="inlineStr">
        <is>
          <t>Laza</t>
        </is>
      </c>
      <c r="E22" s="8" t="inlineStr">
        <is>
          <t>Igen</t>
        </is>
      </c>
      <c r="F22" s="8" t="inlineStr">
        <is>
          <t>Csőventilátor fordulatszám-, hőmérséklet-, páratartalom- és nyomásszabályzása; környezeti vezérlő (AC Infinity, GSE, OptiClimate)</t>
        </is>
      </c>
      <c r="G22" s="8" t="inlineStr">
        <is>
          <t>Kategórialeírás (természetes említés)</t>
        </is>
      </c>
    </row>
    <row r="23">
      <c r="B23" s="7" t="inlineStr">
        <is>
          <t>Összesen (érdemes rá oldal = Igen):</t>
        </is>
      </c>
      <c r="C23" s="22">
        <f>SUMIFS(C7:C22,E7:E22,"Igen")</f>
        <v/>
      </c>
    </row>
    <row r="25">
      <c r="A25" s="7" t="inlineStr">
        <is>
          <t>Termékek a jelenlegi kínálatból: 41 db (elsődleges + másodlagos hozzárendelés; egy termék több kategóriában is szerepelhet)</t>
        </is>
      </c>
    </row>
    <row r="26">
      <c r="A26" s="3" t="inlineStr">
        <is>
          <t>#</t>
        </is>
      </c>
      <c r="B26" s="3" t="inlineStr">
        <is>
          <t>Termékkód</t>
        </is>
      </c>
      <c r="C26" s="3" t="inlineStr">
        <is>
          <t>Terméknév</t>
        </is>
      </c>
      <c r="D26" s="3" t="inlineStr">
        <is>
          <t>Hozzárendelés</t>
        </is>
      </c>
      <c r="E26" s="3" t="inlineStr">
        <is>
          <t>Illeszkedés</t>
        </is>
      </c>
      <c r="F26" s="3" t="inlineStr">
        <is>
          <t>Megjegyzés</t>
        </is>
      </c>
    </row>
    <row r="27">
      <c r="A27" s="4" t="n">
        <v>1</v>
      </c>
      <c r="B27" s="4" t="inlineStr">
        <is>
          <t>GRO0788</t>
        </is>
      </c>
      <c r="C27" s="4" t="inlineStr">
        <is>
          <t>Dimmerkapcsoló ventilátorokhoz és elszívókhoz 0-300 W, konnektorba dugható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Ventilátor fordulatszám-, hőmérséklet-, nyomásszabályzó, környezeti vezérlő</t>
        </is>
      </c>
    </row>
    <row r="28">
      <c r="A28" s="4" t="n">
        <v>2</v>
      </c>
      <c r="B28" s="4" t="inlineStr">
        <is>
          <t>GRO0789</t>
        </is>
      </c>
      <c r="C28" s="4" t="inlineStr">
        <is>
          <t>Digitális hőmérséklet-szabályozó termosztát fűtéshez és hűtéshez 3600 W-ig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Termosztát (fűtés / hűtés / ventilátor kapcsolása)</t>
        </is>
      </c>
    </row>
    <row r="29">
      <c r="A29" s="4" t="n">
        <v>3</v>
      </c>
      <c r="B29" s="4" t="inlineStr">
        <is>
          <t>GRO0790</t>
        </is>
      </c>
      <c r="C29" s="4" t="inlineStr">
        <is>
          <t>Digitális páratartalom-szabályozó párásításhoz és párátlanításhoz 30-90%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Páratartalom-szabályzó (higrosztát)</t>
        </is>
      </c>
    </row>
    <row r="30">
      <c r="A30" s="4" t="n">
        <v>4</v>
      </c>
      <c r="B30" s="4" t="inlineStr">
        <is>
          <t>GRO1237</t>
        </is>
      </c>
      <c r="C30" s="4" t="inlineStr">
        <is>
          <t>Digitális ventilátorszabályzó páratartalom, hőmérséklet és negatív nyomás szerint, 230 V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Ventilátor fordulatszám-, hőmérséklet-, nyomásszabályzó, környezeti vezérlő</t>
        </is>
      </c>
    </row>
    <row r="31">
      <c r="A31" s="4" t="n">
        <v>5</v>
      </c>
      <c r="B31" s="4" t="inlineStr">
        <is>
          <t>GRO1239</t>
        </is>
      </c>
      <c r="C31" s="4" t="inlineStr">
        <is>
          <t>Digitális hőmérséklet és minimum sebesség szabályzó ventilátorokhoz, 230 V, 600 W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Ventilátor fordulatszám-, hőmérséklet-, nyomásszabályzó, környezeti vezérlő</t>
        </is>
      </c>
    </row>
    <row r="32">
      <c r="A32" s="4" t="n">
        <v>6</v>
      </c>
      <c r="B32" s="4" t="inlineStr">
        <is>
          <t>GRO1439</t>
        </is>
      </c>
      <c r="C32" s="4" t="inlineStr">
        <is>
          <t>Superpro AC-1 analóg klímaszabályzó hőmérséklet, páratartalom és CO2 vezérléséhez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Superpro klímaszabályzó (hő, pára, CO2)</t>
        </is>
      </c>
    </row>
    <row r="33">
      <c r="A33" s="4" t="n">
        <v>7</v>
      </c>
      <c r="B33" s="4" t="inlineStr">
        <is>
          <t>GRO2039</t>
        </is>
      </c>
      <c r="C33" s="4" t="inlineStr">
        <is>
          <t>Vents VK Un termosztát + dimmer kapcsoló + kábel 125 Un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Ventilátor fordulatszám-, hőmérséklet-, nyomásszabályzó, környezeti vezérlő</t>
        </is>
      </c>
    </row>
    <row r="34">
      <c r="A34" s="4" t="n">
        <v>8</v>
      </c>
      <c r="B34" s="4" t="inlineStr">
        <is>
          <t>GRO2132</t>
        </is>
      </c>
      <c r="C34" s="4" t="inlineStr">
        <is>
          <t>Vents VK Un termosztát + dimmer kapcsoló + kábel 250 Un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Ventilátor fordulatszám-, hőmérséklet-, nyomásszabályzó, környezeti vezérlő</t>
        </is>
      </c>
    </row>
    <row r="35">
      <c r="A35" s="4" t="n">
        <v>9</v>
      </c>
      <c r="B35" s="4" t="inlineStr">
        <is>
          <t>GRO2392</t>
        </is>
      </c>
      <c r="C35" s="4" t="inlineStr">
        <is>
          <t>Vents RT-10 mechanikus hőmérséklet-szabályzó termosztát 10–30 °C, 230 V, 10 A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Termosztát (fűtés / hűtés / ventilátor kapcsolása)</t>
        </is>
      </c>
    </row>
    <row r="36">
      <c r="A36" s="4" t="n">
        <v>10</v>
      </c>
      <c r="B36" s="4" t="inlineStr">
        <is>
          <t>GRO2799</t>
        </is>
      </c>
      <c r="C36" s="4" t="inlineStr">
        <is>
          <t>Digitális termosztát és időkapcsoló 0–40 °C, 16 A, fűtéshez, 1 m-es vízálló hőérzékelővel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Termosztát (fűtés / hűtés / ventilátor kapcsolása)</t>
        </is>
      </c>
    </row>
    <row r="37">
      <c r="A37" s="4" t="n">
        <v>11</v>
      </c>
      <c r="B37" s="4" t="inlineStr">
        <is>
          <t>GRO3184</t>
        </is>
      </c>
      <c r="C37" s="4" t="inlineStr">
        <is>
          <t>GSE hőmérséklet-szabályzó 1 ventilátorhoz, 2 A, 230 V, minimum fordulat beállítással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Ventilátor fordulatszám-, hőmérséklet-, nyomásszabályzó, környezeti vezérlő</t>
        </is>
      </c>
    </row>
    <row r="38">
      <c r="A38" s="4" t="n">
        <v>12</v>
      </c>
      <c r="B38" s="4" t="inlineStr">
        <is>
          <t>GRO3272</t>
        </is>
      </c>
      <c r="C38" s="4" t="inlineStr">
        <is>
          <t>CAN-Fan LCD EC ventilátor vezérlő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Ventilátor fordulatszám-, hőmérséklet-, nyomásszabályzó, környezeti vezérlő</t>
        </is>
      </c>
    </row>
    <row r="39">
      <c r="A39" s="4" t="n">
        <v>13</v>
      </c>
      <c r="B39" s="4" t="inlineStr">
        <is>
          <t>GRO3376</t>
        </is>
      </c>
      <c r="C39" s="4" t="inlineStr">
        <is>
          <t>GSE hőmérséklet- és minimum sebesség szabályzó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Ventilátor fordulatszám-, hőmérséklet-, nyomásszabályzó, környezeti vezérlő</t>
        </is>
      </c>
    </row>
    <row r="40">
      <c r="A40" s="4" t="n">
        <v>14</v>
      </c>
      <c r="B40" s="4" t="inlineStr">
        <is>
          <t>GRO4198</t>
        </is>
      </c>
      <c r="C40" s="4" t="inlineStr">
        <is>
          <t>AC Infinity Controller 69 Pro Bluetooth+WiFi 4 eszköz független vezérléséhez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Ventilátor fordulatszám-, hőmérséklet-, nyomásszabályzó, környezeti vezérlő</t>
        </is>
      </c>
    </row>
    <row r="41">
      <c r="A41" s="4" t="n">
        <v>15</v>
      </c>
      <c r="B41" s="4" t="inlineStr">
        <is>
          <t>GRO4199</t>
        </is>
      </c>
      <c r="C41" s="4" t="inlineStr">
        <is>
          <t>AC Infinity Controller AI+ intelligens környezeti vezérlés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Ventilátor fordulatszám-, hőmérséklet-, nyomásszabályzó, környezeti vezérlő</t>
        </is>
      </c>
    </row>
    <row r="42">
      <c r="A42" s="4" t="n">
        <v>16</v>
      </c>
      <c r="B42" s="4" t="inlineStr">
        <is>
          <t>GRO4339</t>
        </is>
      </c>
      <c r="C42" s="4" t="inlineStr">
        <is>
          <t>OptiClimate Maxi Controller vezérlőegység 5 m interlink kábellel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Ventilátor fordulatszám-, hőmérséklet-, nyomásszabályzó, környezeti vezérlő</t>
        </is>
      </c>
    </row>
    <row r="43">
      <c r="A43" s="4" t="n">
        <v>17</v>
      </c>
      <c r="B43" s="4" t="inlineStr">
        <is>
          <t>GRO2047</t>
        </is>
      </c>
      <c r="C43" s="4" t="inlineStr">
        <is>
          <t>Vents TT 100 Un csőventilátor termosztáttal, sebességszabályzóval és kábellel, 100 mm, 187 m3/h</t>
        </is>
      </c>
      <c r="D43" s="4" t="inlineStr">
        <is>
          <t>Másodlagos</t>
        </is>
      </c>
      <c r="E43" s="4" t="inlineStr">
        <is>
          <t>Erős</t>
        </is>
      </c>
      <c r="F43" s="4" t="inlineStr">
        <is>
          <t>Csőventilátor beépített / mellékelt szabályzóval (TC, Un, Cloudline)</t>
        </is>
      </c>
    </row>
    <row r="44">
      <c r="A44" s="4" t="n">
        <v>18</v>
      </c>
      <c r="B44" s="4" t="inlineStr">
        <is>
          <t>GRO2051</t>
        </is>
      </c>
      <c r="C44" s="4" t="inlineStr">
        <is>
          <t>Vents TT 125 Un csőventilátor termosztáttal, sebességszabályzóval és kábellel, 125 mm, 280 m3/h</t>
        </is>
      </c>
      <c r="D44" s="4" t="inlineStr">
        <is>
          <t>Másodlagos</t>
        </is>
      </c>
      <c r="E44" s="4" t="inlineStr">
        <is>
          <t>Erős</t>
        </is>
      </c>
      <c r="F44" s="4" t="inlineStr">
        <is>
          <t>Csőventilátor beépített / mellékelt szabályzóval (TC, Un, Cloudline)</t>
        </is>
      </c>
    </row>
    <row r="45">
      <c r="A45" s="4" t="n">
        <v>19</v>
      </c>
      <c r="B45" s="4" t="inlineStr">
        <is>
          <t>GRO2054</t>
        </is>
      </c>
      <c r="C45" s="4" t="inlineStr">
        <is>
          <t>Vents TT 150 Un csőventilátor termosztáttal, sebességszabályzóval és kábellel, 150 mm, 520 m3/h</t>
        </is>
      </c>
      <c r="D45" s="4" t="inlineStr">
        <is>
          <t>Másodlagos</t>
        </is>
      </c>
      <c r="E45" s="4" t="inlineStr">
        <is>
          <t>Erős</t>
        </is>
      </c>
      <c r="F45" s="4" t="inlineStr">
        <is>
          <t>Csőventilátor beépített / mellékelt szabályzóval (TC, Un, Cloudline)</t>
        </is>
      </c>
    </row>
    <row r="46">
      <c r="A46" s="4" t="n">
        <v>20</v>
      </c>
      <c r="B46" s="4" t="inlineStr">
        <is>
          <t>GRO2131</t>
        </is>
      </c>
      <c r="C46" s="4" t="inlineStr">
        <is>
          <t>Vents VK 200 Un csatornaventilátor termosztáttal, sebességszabályzóval és kábellel, 200 mm, 780 m3/h</t>
        </is>
      </c>
      <c r="D46" s="4" t="inlineStr">
        <is>
          <t>Másodlagos</t>
        </is>
      </c>
      <c r="E46" s="4" t="inlineStr">
        <is>
          <t>Erős</t>
        </is>
      </c>
      <c r="F46" s="4" t="inlineStr">
        <is>
          <t>Csőventilátor beépített / mellékelt szabályzóval (TC, Un, Cloudline)</t>
        </is>
      </c>
    </row>
    <row r="47">
      <c r="A47" s="4" t="n">
        <v>21</v>
      </c>
      <c r="B47" s="4" t="inlineStr">
        <is>
          <t>GRO2183</t>
        </is>
      </c>
      <c r="C47" s="4" t="inlineStr">
        <is>
          <t>Vents VK 150 Un csatornaventilátor termosztáttal, sebességszabályzóval és kábellel, 150 mm</t>
        </is>
      </c>
      <c r="D47" s="4" t="inlineStr">
        <is>
          <t>Másodlagos</t>
        </is>
      </c>
      <c r="E47" s="4" t="inlineStr">
        <is>
          <t>Erős</t>
        </is>
      </c>
      <c r="F47" s="4" t="inlineStr">
        <is>
          <t>Csőventilátor beépített / mellékelt szabályzóval (TC, Un, Cloudline)</t>
        </is>
      </c>
    </row>
    <row r="48">
      <c r="A48" s="4" t="n">
        <v>22</v>
      </c>
      <c r="B48" s="4" t="inlineStr">
        <is>
          <t>GRO3105</t>
        </is>
      </c>
      <c r="C48" s="4" t="inlineStr">
        <is>
          <t>Vents TT PRO 200 Un csőventilátor termosztáttal, sebességszabályzóval és kábellel, 200 mm, 1040 m3/h</t>
        </is>
      </c>
      <c r="D48" s="4" t="inlineStr">
        <is>
          <t>Másodlagos</t>
        </is>
      </c>
      <c r="E48" s="4" t="inlineStr">
        <is>
          <t>Erős</t>
        </is>
      </c>
      <c r="F48" s="4" t="inlineStr">
        <is>
          <t>Csőventilátor beépített / mellékelt szabályzóval (TC, Un, Cloudline)</t>
        </is>
      </c>
    </row>
    <row r="49">
      <c r="A49" s="4" t="n">
        <v>23</v>
      </c>
      <c r="B49" s="4" t="inlineStr">
        <is>
          <t>GRO3106</t>
        </is>
      </c>
      <c r="C49" s="4" t="inlineStr">
        <is>
          <t>Vents TT PRO 250 Un csőventilátor termosztáttal, sebességszabályzóval és kábellel, 250 mm, 1400 m3/h</t>
        </is>
      </c>
      <c r="D49" s="4" t="inlineStr">
        <is>
          <t>Másodlagos</t>
        </is>
      </c>
      <c r="E49" s="4" t="inlineStr">
        <is>
          <t>Erős</t>
        </is>
      </c>
      <c r="F49" s="4" t="inlineStr">
        <is>
          <t>Csőventilátor beépített / mellékelt szabályzóval (TC, Un, Cloudline)</t>
        </is>
      </c>
    </row>
    <row r="50">
      <c r="A50" s="4" t="n">
        <v>24</v>
      </c>
      <c r="B50" s="4" t="inlineStr">
        <is>
          <t>GRO3563</t>
        </is>
      </c>
      <c r="C50" s="4" t="inlineStr">
        <is>
          <t>Pro-Leaf CO2 érzékelő és digitális szabályzó</t>
        </is>
      </c>
      <c r="D50" s="4" t="inlineStr">
        <is>
          <t>Másodlagos</t>
        </is>
      </c>
      <c r="E50" s="4" t="inlineStr">
        <is>
          <t>Erős</t>
        </is>
      </c>
      <c r="F50" s="4" t="inlineStr">
        <is>
          <t>CO2 érzékelő, szabályzó</t>
        </is>
      </c>
    </row>
    <row r="51">
      <c r="A51" s="4" t="n">
        <v>25</v>
      </c>
      <c r="B51" s="4" t="inlineStr">
        <is>
          <t>GRO3637</t>
        </is>
      </c>
      <c r="C51" s="4" t="inlineStr">
        <is>
          <t>Prima klima ventilátor (hőmérsékletszabályzós) PK100-TC</t>
        </is>
      </c>
      <c r="D51" s="4" t="inlineStr">
        <is>
          <t>Másodlagos</t>
        </is>
      </c>
      <c r="E51" s="4" t="inlineStr">
        <is>
          <t>Erős</t>
        </is>
      </c>
      <c r="F51" s="4" t="inlineStr">
        <is>
          <t>Csőventilátor beépített / mellékelt szabályzóval (TC, Un, Cloudline)</t>
        </is>
      </c>
    </row>
    <row r="52">
      <c r="A52" s="4" t="n">
        <v>26</v>
      </c>
      <c r="B52" s="4" t="inlineStr">
        <is>
          <t>GRO3640</t>
        </is>
      </c>
      <c r="C52" s="4" t="inlineStr">
        <is>
          <t>Prima klima ventilátor (hőmérsékletszabályzós) PK125-TC</t>
        </is>
      </c>
      <c r="D52" s="4" t="inlineStr">
        <is>
          <t>Másodlagos</t>
        </is>
      </c>
      <c r="E52" s="4" t="inlineStr">
        <is>
          <t>Erős</t>
        </is>
      </c>
      <c r="F52" s="4" t="inlineStr">
        <is>
          <t>Csőventilátor beépített / mellékelt szabályzóval (TC, Un, Cloudline)</t>
        </is>
      </c>
    </row>
    <row r="53">
      <c r="A53" s="4" t="n">
        <v>27</v>
      </c>
      <c r="B53" s="4" t="inlineStr">
        <is>
          <t>GRO3642</t>
        </is>
      </c>
      <c r="C53" s="4" t="inlineStr">
        <is>
          <t>Prima klima ventilátor (hőmérsékletszabályzós) PK150-TC</t>
        </is>
      </c>
      <c r="D53" s="4" t="inlineStr">
        <is>
          <t>Másodlagos</t>
        </is>
      </c>
      <c r="E53" s="4" t="inlineStr">
        <is>
          <t>Erős</t>
        </is>
      </c>
      <c r="F53" s="4" t="inlineStr">
        <is>
          <t>Csőventilátor beépített / mellékelt szabályzóval (TC, Un, Cloudline)</t>
        </is>
      </c>
    </row>
    <row r="54">
      <c r="A54" s="4" t="n">
        <v>28</v>
      </c>
      <c r="B54" s="4" t="inlineStr">
        <is>
          <t>GRO3699</t>
        </is>
      </c>
      <c r="C54" s="4" t="inlineStr">
        <is>
          <t>Prima klima EC ventilátor (hőmérsékletszabályzós) PK125EC-TC</t>
        </is>
      </c>
      <c r="D54" s="4" t="inlineStr">
        <is>
          <t>Másodlagos</t>
        </is>
      </c>
      <c r="E54" s="4" t="inlineStr">
        <is>
          <t>Erős</t>
        </is>
      </c>
      <c r="F54" s="4" t="inlineStr">
        <is>
          <t>Csőventilátor beépített / mellékelt szabályzóval (TC, Un, Cloudline)</t>
        </is>
      </c>
    </row>
    <row r="55">
      <c r="A55" s="4" t="n">
        <v>29</v>
      </c>
      <c r="B55" s="4" t="inlineStr">
        <is>
          <t>GRO3701</t>
        </is>
      </c>
      <c r="C55" s="4" t="inlineStr">
        <is>
          <t>Prima klima EC ventilátor (hőmérsékletszabályzós) PK250EC-TC</t>
        </is>
      </c>
      <c r="D55" s="4" t="inlineStr">
        <is>
          <t>Másodlagos</t>
        </is>
      </c>
      <c r="E55" s="4" t="inlineStr">
        <is>
          <t>Erős</t>
        </is>
      </c>
      <c r="F55" s="4" t="inlineStr">
        <is>
          <t>Csőventilátor beépített / mellékelt szabályzóval (TC, Un, Cloudline)</t>
        </is>
      </c>
    </row>
    <row r="56">
      <c r="A56" s="4" t="n">
        <v>30</v>
      </c>
      <c r="B56" s="4" t="inlineStr">
        <is>
          <t>GRO3716</t>
        </is>
      </c>
      <c r="C56" s="4" t="inlineStr">
        <is>
          <t>Prima klima EC ventilátor (hőmérsékletszabályzós) PK150EC-TC</t>
        </is>
      </c>
      <c r="D56" s="4" t="inlineStr">
        <is>
          <t>Másodlagos</t>
        </is>
      </c>
      <c r="E56" s="4" t="inlineStr">
        <is>
          <t>Erős</t>
        </is>
      </c>
      <c r="F56" s="4" t="inlineStr">
        <is>
          <t>Csőventilátor beépített / mellékelt szabályzóval (TC, Un, Cloudline)</t>
        </is>
      </c>
    </row>
    <row r="57">
      <c r="A57" s="4" t="n">
        <v>31</v>
      </c>
      <c r="B57" s="4" t="inlineStr">
        <is>
          <t>GRO3734</t>
        </is>
      </c>
      <c r="C57" s="4" t="inlineStr">
        <is>
          <t>SGC CO2 pára-, hőmérséklet- és fényszenzor</t>
        </is>
      </c>
      <c r="D57" s="4" t="inlineStr">
        <is>
          <t>Másodlagos</t>
        </is>
      </c>
      <c r="E57" s="4" t="inlineStr">
        <is>
          <t>Erős</t>
        </is>
      </c>
      <c r="F57" s="4" t="inlineStr">
        <is>
          <t>CO2 érzékelő, szabályzó</t>
        </is>
      </c>
    </row>
    <row r="58">
      <c r="A58" s="4" t="n">
        <v>32</v>
      </c>
      <c r="B58" s="4" t="inlineStr">
        <is>
          <t>GRO4080</t>
        </is>
      </c>
      <c r="C58" s="4" t="inlineStr">
        <is>
          <t>Prima klima 125WHSP ventilátor (hőmérsékletszabályzós)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Csőventilátor beépített / mellékelt szabályzóval (TC, Un, Cloudline)</t>
        </is>
      </c>
    </row>
    <row r="59">
      <c r="A59" s="4" t="n">
        <v>33</v>
      </c>
      <c r="B59" s="4" t="inlineStr">
        <is>
          <t>GRO4081</t>
        </is>
      </c>
      <c r="C59" s="4" t="inlineStr">
        <is>
          <t>Prima klima 160WHSP ventilátor (hőmérsékletszabályzós)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Csőventilátor beépített / mellékelt szabályzóval (TC, Un, Cloudline)</t>
        </is>
      </c>
    </row>
    <row r="60">
      <c r="A60" s="4" t="n">
        <v>34</v>
      </c>
      <c r="B60" s="4" t="inlineStr">
        <is>
          <t>GRO4082</t>
        </is>
      </c>
      <c r="C60" s="4" t="inlineStr">
        <is>
          <t>Prima klima PK200EC-TC ventilátor (hőmérsékletszabályzós)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Csőventilátor beépített / mellékelt szabályzóval (TC, Un, Cloudline)</t>
        </is>
      </c>
    </row>
    <row r="61">
      <c r="A61" s="4" t="n">
        <v>35</v>
      </c>
      <c r="B61" s="4" t="inlineStr">
        <is>
          <t>GRO4191</t>
        </is>
      </c>
      <c r="C61" s="4" t="inlineStr">
        <is>
          <t>AC Infinity Cloudline Lite A4 ventilátor sebességszabályzóval 100 mm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Csőventilátor beépített / mellékelt szabályzóval (TC, Un, Cloudline)</t>
        </is>
      </c>
    </row>
    <row r="62">
      <c r="A62" s="4" t="n">
        <v>36</v>
      </c>
      <c r="B62" s="4" t="inlineStr">
        <is>
          <t>GRO4192</t>
        </is>
      </c>
      <c r="C62" s="4" t="inlineStr">
        <is>
          <t>AC Infinity Cloudline Lite A6 ventilátor sebességszabályzóval 150 mm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Csőventilátor beépített / mellékelt szabályzóval (TC, Un, Cloudline)</t>
        </is>
      </c>
    </row>
    <row r="63">
      <c r="A63" s="4" t="n">
        <v>37</v>
      </c>
      <c r="B63" s="4" t="inlineStr">
        <is>
          <t>GRO4194</t>
        </is>
      </c>
      <c r="C63" s="4" t="inlineStr">
        <is>
          <t>AC Infinity Cloudline pro S6 Inline ventilátor sebességszabályzóval 150 mm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Csőventilátor beépített / mellékelt szabályzóval (TC, Un, Cloudline)</t>
        </is>
      </c>
    </row>
    <row r="64">
      <c r="A64" s="4" t="n">
        <v>38</v>
      </c>
      <c r="B64" s="4" t="inlineStr">
        <is>
          <t>GRO4195</t>
        </is>
      </c>
      <c r="C64" s="4" t="inlineStr">
        <is>
          <t>AC Infinity Cloudline pro T6 Inline ventillátor hőmérséklet és páratartalom szabályzóval 150 mm</t>
        </is>
      </c>
      <c r="D64" s="4" t="inlineStr">
        <is>
          <t>Másodlagos</t>
        </is>
      </c>
      <c r="E64" s="4" t="inlineStr">
        <is>
          <t>Erős</t>
        </is>
      </c>
      <c r="F64" s="4" t="inlineStr">
        <is>
          <t>Csőventilátor beépített / mellékelt szabályzóval (TC, Un, Cloudline)</t>
        </is>
      </c>
    </row>
    <row r="65">
      <c r="A65" s="4" t="n">
        <v>39</v>
      </c>
      <c r="B65" s="4" t="inlineStr">
        <is>
          <t>GRO4340</t>
        </is>
      </c>
      <c r="C65" s="4" t="inlineStr">
        <is>
          <t>AC Infinity Controller AI+ CO2 + fényérzékelő</t>
        </is>
      </c>
      <c r="D65" s="4" t="inlineStr">
        <is>
          <t>Másodlagos</t>
        </is>
      </c>
      <c r="E65" s="4" t="inlineStr">
        <is>
          <t>Erős</t>
        </is>
      </c>
      <c r="F65" s="4" t="inlineStr">
        <is>
          <t>CO2 érzékelő, szabályzó</t>
        </is>
      </c>
    </row>
    <row r="66">
      <c r="A66" s="4" t="n">
        <v>40</v>
      </c>
      <c r="B66" s="4" t="inlineStr">
        <is>
          <t>GRO4364</t>
        </is>
      </c>
      <c r="C66" s="4" t="inlineStr">
        <is>
          <t>AC Infinity Cloudline T8 Inline ventilátor hőmérséklet és pára szabályzóval 200 mm 1371 m3/h</t>
        </is>
      </c>
      <c r="D66" s="4" t="inlineStr">
        <is>
          <t>Másodlagos</t>
        </is>
      </c>
      <c r="E66" s="4" t="inlineStr">
        <is>
          <t>Erős</t>
        </is>
      </c>
      <c r="F66" s="4" t="inlineStr">
        <is>
          <t>Csőventilátor beépített / mellékelt szabályzóval (TC, Un, Cloudline)</t>
        </is>
      </c>
    </row>
    <row r="67">
      <c r="A67" s="4" t="n">
        <v>41</v>
      </c>
      <c r="B67" s="4" t="inlineStr">
        <is>
          <t>GRO4368</t>
        </is>
      </c>
      <c r="C67" s="4" t="inlineStr">
        <is>
          <t>Monzon párásító vezérlő</t>
        </is>
      </c>
      <c r="D67" s="4" t="inlineStr">
        <is>
          <t>Másodlagos</t>
        </is>
      </c>
      <c r="E67" s="4" t="inlineStr">
        <is>
          <t>Erős</t>
        </is>
      </c>
      <c r="F67" s="4" t="inlineStr">
        <is>
          <t>Párásító vezérlő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Hő- és páratartalom-mérő  –  fő kulcsszó: „páratartalom mérő”</t>
        </is>
      </c>
    </row>
    <row r="2">
      <c r="A2" s="2" t="inlineStr">
        <is>
          <t>Felhasználási terület: Hőmérséklet és relatív páratartalom mérése – digitális thermo-higrométer</t>
        </is>
      </c>
    </row>
    <row r="3">
      <c r="A3" s="2" t="inlineStr">
        <is>
          <t>Megjegyzés: Meglepően erős klaszter (páratartalom mérő 1600, páratartalommérő 1600, higrométer 480) – 7 termékünk van. Érdemes saját kategória, nem csak szűrő.</t>
        </is>
      </c>
    </row>
    <row r="4">
      <c r="A4" s="2" t="inlineStr">
        <is>
          <t>Felvett releváns kulcsszavak: 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páratartalom mérő</t>
        </is>
      </c>
      <c r="C7" s="5" t="n">
        <v>1600</v>
      </c>
      <c r="D7" s="4" t="inlineStr">
        <is>
          <t>Szoros</t>
        </is>
      </c>
      <c r="E7" s="4" t="inlineStr">
        <is>
          <t>Igen</t>
        </is>
      </c>
      <c r="F7" s="4" t="inlineStr">
        <is>
          <t>Hőmérséklet és relatív páratartalom mérése – digitális thermo-higrométer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páratartalommérő</t>
        </is>
      </c>
      <c r="C8" s="5" t="n">
        <v>1600</v>
      </c>
      <c r="D8" s="4" t="inlineStr">
        <is>
          <t>Szoros</t>
        </is>
      </c>
      <c r="E8" s="4" t="inlineStr">
        <is>
          <t>Igen</t>
        </is>
      </c>
      <c r="F8" s="4" t="inlineStr">
        <is>
          <t>Hőmérséklet és relatív páratartalom mérése – digitális thermo-higrométer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higrométer</t>
        </is>
      </c>
      <c r="C9" s="5" t="n">
        <v>480</v>
      </c>
      <c r="D9" s="4" t="inlineStr">
        <is>
          <t>Szoros</t>
        </is>
      </c>
      <c r="E9" s="4" t="inlineStr">
        <is>
          <t>Igen</t>
        </is>
      </c>
      <c r="F9" s="4" t="inlineStr">
        <is>
          <t>Hőmérséklet és relatív páratartalom mérése – digitális thermo-higrométer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hő és páratartalom mérő</t>
        </is>
      </c>
      <c r="C10" s="5" t="n">
        <v>140</v>
      </c>
      <c r="D10" s="4" t="inlineStr">
        <is>
          <t>Szoros</t>
        </is>
      </c>
      <c r="E10" s="4" t="inlineStr">
        <is>
          <t>Igen</t>
        </is>
      </c>
      <c r="F10" s="4" t="inlineStr">
        <is>
          <t>Hőmérséklet és relatív páratartalom mérése – digitális thermo-higrométer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hőmérséklet és páratartalom mérő</t>
        </is>
      </c>
      <c r="C11" s="5" t="n">
        <v>110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Hőmérséklet és relatív páratartalom mérése – digitális thermo-higrométer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paratartalom mero</t>
        </is>
      </c>
      <c r="C12" s="5" t="n">
        <v>90</v>
      </c>
      <c r="D12" s="4" t="inlineStr">
        <is>
          <t>Szoros</t>
        </is>
      </c>
      <c r="E12" s="4" t="inlineStr">
        <is>
          <t>Igen</t>
        </is>
      </c>
      <c r="F12" s="4" t="inlineStr">
        <is>
          <t>Hőmérséklet és relatív páratartalom mérése – digitális thermo-higrométer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hőmérő páratartalom mérő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Hőmérséklet és relatív páratartalom mérése – digitális thermo-higrométer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digitális hőmérő páratartalom mérő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Hőmérséklet és relatív páratartalom mérése – digitális thermo-higrométer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digitális páramérő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Hőmérséklet és relatív páratartalom mérése – digitális thermo-higrométer</t>
        </is>
      </c>
      <c r="G15" s="4" t="inlineStr">
        <is>
          <t>Kategórialeírás (természetes említés)</t>
        </is>
      </c>
    </row>
    <row r="16">
      <c r="B16" s="7" t="inlineStr">
        <is>
          <t>Összesen (érdemes rá oldal = Igen):</t>
        </is>
      </c>
      <c r="C16" s="22">
        <f>SUMIFS(C7:C15,E7:E15,"Igen")</f>
        <v/>
      </c>
    </row>
    <row r="18">
      <c r="A18" s="7" t="inlineStr">
        <is>
          <t>Termékek a jelenlegi kínálatból: 4 db (elsődleges + másodlagos hozzárendelés; egy termék több kategóriában is szerepelhet)</t>
        </is>
      </c>
    </row>
    <row r="19">
      <c r="A19" s="3" t="inlineStr">
        <is>
          <t>#</t>
        </is>
      </c>
      <c r="B19" s="3" t="inlineStr">
        <is>
          <t>Termékkód</t>
        </is>
      </c>
      <c r="C19" s="3" t="inlineStr">
        <is>
          <t>Terméknév</t>
        </is>
      </c>
      <c r="D19" s="3" t="inlineStr">
        <is>
          <t>Hozzárendelés</t>
        </is>
      </c>
      <c r="E19" s="3" t="inlineStr">
        <is>
          <t>Illeszkedés</t>
        </is>
      </c>
      <c r="F19" s="3" t="inlineStr">
        <is>
          <t>Megjegyzés</t>
        </is>
      </c>
    </row>
    <row r="20">
      <c r="A20" s="4" t="n">
        <v>1</v>
      </c>
      <c r="B20" s="4" t="inlineStr">
        <is>
          <t>GRO0795</t>
        </is>
      </c>
      <c r="C20" s="4" t="inlineStr">
        <is>
          <t>Digitális hőmérséklet- és páratartalom-mérő kábel nélkül, minimum és maximum kijelzéssel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Digitális hő- és páratartalom-mérő (thermo-higrométer) – a Mérőműszer ágban is</t>
        </is>
      </c>
    </row>
    <row r="21">
      <c r="A21" s="4" t="n">
        <v>2</v>
      </c>
      <c r="B21" s="4" t="inlineStr">
        <is>
          <t>GRO0796</t>
        </is>
      </c>
      <c r="C21" s="4" t="inlineStr">
        <is>
          <t>Digitális hőmérséklet- és páratartalom-mérő kábellel, minimum és maximum kijelzéssel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Digitális hő- és páratartalom-mérő (thermo-higrométer) – a Mérőműszer ágban is</t>
        </is>
      </c>
    </row>
    <row r="22">
      <c r="A22" s="4" t="n">
        <v>3</v>
      </c>
      <c r="B22" s="4" t="inlineStr">
        <is>
          <t>GRO3565</t>
        </is>
      </c>
      <c r="C22" s="4" t="inlineStr">
        <is>
          <t>Cornwall Electronics digitális hőmérséklet- és páratartalom-mérő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Digitális hő- és páratartalom-mérő (thermo-higrométer) – a Mérőműszer ágban is</t>
        </is>
      </c>
    </row>
    <row r="23">
      <c r="A23" s="4" t="n">
        <v>4</v>
      </c>
      <c r="B23" s="4" t="inlineStr">
        <is>
          <t>GRO4271</t>
        </is>
      </c>
      <c r="C23" s="4" t="inlineStr">
        <is>
          <t>GF Hőmérséklet és páratartalom mérő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Digitális hő- és páratartalom-mérő (thermo-higrométer) – a Mérőműszer ágban 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CO2-pótlás, CO2-mérő  –  fő kulcsszó: „co2 mérő”</t>
        </is>
      </c>
    </row>
    <row r="2">
      <c r="A2" s="2" t="inlineStr">
        <is>
          <t>Felhasználási terület: CO2-szint emelése és mérése – CO2 zsák, tabletta, palack + reduktor, propános CO2 generátor, CO2 érzékelő / szabályzó</t>
        </is>
      </c>
    </row>
    <row r="3">
      <c r="A3" s="2" t="inlineStr">
        <is>
          <t>Megjegyzés: A „co2” (1900) kémiai / általános keresés (LN). A „co2 palack” (1000) és a „co2 reduktor” (260) főleg hegesztés / szódagép – laza. Tiszta termékszavak: co2 mérő 210, co2 érzékelő 170, szén dioxid mérő 260, co2 zsák 50, co2 generátor 40.</t>
        </is>
      </c>
    </row>
    <row r="4">
      <c r="A4" s="2" t="inlineStr">
        <is>
          <t>Felvett releváns kulcsszavak: 14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co2 mérő</t>
        </is>
      </c>
      <c r="C7" s="5" t="n">
        <v>210</v>
      </c>
      <c r="D7" s="4" t="inlineStr">
        <is>
          <t>Szoros</t>
        </is>
      </c>
      <c r="E7" s="4" t="inlineStr">
        <is>
          <t>Igen</t>
        </is>
      </c>
      <c r="F7" s="4" t="inlineStr">
        <is>
          <t>CO2-szint emelése és mérése – CO2 zsák, tabletta, palack + reduktor, propános CO2 generátor, CO2 érzékelő / szabályzó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co2</t>
        </is>
      </c>
      <c r="C8" s="20" t="n">
        <v>1900</v>
      </c>
      <c r="D8" s="9" t="inlineStr">
        <is>
          <t>Laza</t>
        </is>
      </c>
      <c r="E8" s="9" t="inlineStr">
        <is>
          <t>Nem</t>
        </is>
      </c>
      <c r="F8" s="9" t="inlineStr">
        <is>
          <t>CO2-szint emelése és mérése – CO2 zsák, tabletta, palack + reduktor, propános CO2 generátor, CO2 érzékelő / szabályzó</t>
        </is>
      </c>
      <c r="G8" s="9" t="inlineStr">
        <is>
          <t>Nem célozni külön oldallal (max. említés)</t>
        </is>
      </c>
    </row>
    <row r="9">
      <c r="A9" s="8" t="n">
        <v>3</v>
      </c>
      <c r="B9" s="8" t="inlineStr">
        <is>
          <t>co2 palack</t>
        </is>
      </c>
      <c r="C9" s="19" t="n">
        <v>1000</v>
      </c>
      <c r="D9" s="8" t="inlineStr">
        <is>
          <t>Laza</t>
        </is>
      </c>
      <c r="E9" s="8" t="inlineStr">
        <is>
          <t>Igen</t>
        </is>
      </c>
      <c r="F9" s="8" t="inlineStr">
        <is>
          <t>CO2-szint emelése és mérése – CO2 zsák, tabletta, palack + reduktor, propános CO2 generátor, CO2 érzékelő / szabályzó</t>
        </is>
      </c>
      <c r="G9" s="8" t="inlineStr">
        <is>
          <t>Kategórialeírás (természetes említés)</t>
        </is>
      </c>
    </row>
    <row r="10">
      <c r="A10" s="4" t="n">
        <v>4</v>
      </c>
      <c r="B10" s="4" t="inlineStr">
        <is>
          <t>szén dioxid mérő</t>
        </is>
      </c>
      <c r="C10" s="5" t="n">
        <v>260</v>
      </c>
      <c r="D10" s="4" t="inlineStr">
        <is>
          <t>Szoros</t>
        </is>
      </c>
      <c r="E10" s="4" t="inlineStr">
        <is>
          <t>Igen</t>
        </is>
      </c>
      <c r="F10" s="4" t="inlineStr">
        <is>
          <t>CO2-szint emelése és mérése – CO2 zsák, tabletta, palack + reduktor, propános CO2 generátor, CO2 érzékelő / szabályzó</t>
        </is>
      </c>
      <c r="G10" s="4" t="inlineStr">
        <is>
          <t>SEO title / H1 / bevezető (másodlagos)</t>
        </is>
      </c>
    </row>
    <row r="11">
      <c r="A11" s="8" t="n">
        <v>5</v>
      </c>
      <c r="B11" s="8" t="inlineStr">
        <is>
          <t>co2 reduktor</t>
        </is>
      </c>
      <c r="C11" s="19" t="n">
        <v>260</v>
      </c>
      <c r="D11" s="8" t="inlineStr">
        <is>
          <t>Laza</t>
        </is>
      </c>
      <c r="E11" s="8" t="inlineStr">
        <is>
          <t>Igen</t>
        </is>
      </c>
      <c r="F11" s="8" t="inlineStr">
        <is>
          <t>CO2-szint emelése és mérése – CO2 zsák, tabletta, palack + reduktor, propános CO2 generátor, CO2 érzékelő / szabályzó</t>
        </is>
      </c>
      <c r="G11" s="8" t="inlineStr">
        <is>
          <t>Kategórialeírás (természetes említés)</t>
        </is>
      </c>
    </row>
    <row r="12">
      <c r="A12" s="9" t="n">
        <v>6</v>
      </c>
      <c r="B12" s="9" t="inlineStr">
        <is>
          <t>szénsav palack</t>
        </is>
      </c>
      <c r="C12" s="20" t="n">
        <v>260</v>
      </c>
      <c r="D12" s="9" t="inlineStr">
        <is>
          <t>Laza</t>
        </is>
      </c>
      <c r="E12" s="9" t="inlineStr">
        <is>
          <t>Nem</t>
        </is>
      </c>
      <c r="F12" s="9" t="inlineStr">
        <is>
          <t>CO2-szint emelése és mérése – CO2 zsák, tabletta, palack + reduktor, propános CO2 generátor, CO2 érzékelő / szabályzó</t>
        </is>
      </c>
      <c r="G12" s="9" t="inlineStr">
        <is>
          <t>Nem célozni külön oldallal (max. említés)</t>
        </is>
      </c>
    </row>
    <row r="13">
      <c r="A13" s="4" t="n">
        <v>7</v>
      </c>
      <c r="B13" s="4" t="inlineStr">
        <is>
          <t>co2 érzékelő</t>
        </is>
      </c>
      <c r="C13" s="5" t="n">
        <v>170</v>
      </c>
      <c r="D13" s="4" t="inlineStr">
        <is>
          <t>Szoros</t>
        </is>
      </c>
      <c r="E13" s="4" t="inlineStr">
        <is>
          <t>Igen</t>
        </is>
      </c>
      <c r="F13" s="4" t="inlineStr">
        <is>
          <t>CO2-szint emelése és mérése – CO2 zsák, tabletta, palack + reduktor, propános CO2 generátor, CO2 érzékelő / szabályzó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szén dioxid érzékelő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CO2-szint emelése és mérése – CO2 zsák, tabletta, palack + reduktor, propános CO2 generátor, CO2 érzékelő / szabályzó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co2 zsák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CO2-szint emelése és mérése – CO2 zsák, tabletta, palack + reduktor, propános CO2 generátor, CO2 érzékelő / szabályzó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co2 szenzor</t>
        </is>
      </c>
      <c r="C16" s="5" t="n">
        <v>40</v>
      </c>
      <c r="D16" s="4" t="inlineStr">
        <is>
          <t>Szoros</t>
        </is>
      </c>
      <c r="E16" s="4" t="inlineStr">
        <is>
          <t>Igen</t>
        </is>
      </c>
      <c r="F16" s="4" t="inlineStr">
        <is>
          <t>CO2-szint emelése és mérése – CO2 zsák, tabletta, palack + reduktor, propános CO2 generátor, CO2 érzékelő / szabályzó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co2 generátor</t>
        </is>
      </c>
      <c r="C17" s="5" t="n">
        <v>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CO2-szint emelése és mérése – CO2 zsák, tabletta, palack + reduktor, propános CO2 generátor, CO2 érzékelő / szabályzó</t>
        </is>
      </c>
      <c r="G17" s="4" t="inlineStr">
        <is>
          <t>Kategórialeírás (természetes említés)</t>
        </is>
      </c>
    </row>
    <row r="18">
      <c r="A18" s="8" t="n">
        <v>12</v>
      </c>
      <c r="B18" s="8" t="inlineStr">
        <is>
          <t>co2 nyomáscsökkentő</t>
        </is>
      </c>
      <c r="C18" s="19" t="n">
        <v>40</v>
      </c>
      <c r="D18" s="8" t="inlineStr">
        <is>
          <t>Laza</t>
        </is>
      </c>
      <c r="E18" s="8" t="inlineStr">
        <is>
          <t>Igen</t>
        </is>
      </c>
      <c r="F18" s="8" t="inlineStr">
        <is>
          <t>CO2-szint emelése és mérése – CO2 zsák, tabletta, palack + reduktor, propános CO2 generátor, CO2 érzékelő / szabályzó</t>
        </is>
      </c>
      <c r="G18" s="8" t="inlineStr">
        <is>
          <t>Kategórialeírás (természetes említés)</t>
        </is>
      </c>
    </row>
    <row r="19">
      <c r="A19" s="4" t="n">
        <v>13</v>
      </c>
      <c r="B19" s="4" t="inlineStr">
        <is>
          <t>co2 mérő műszer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CO2-szint emelése és mérése – CO2 zsák, tabletta, palack + reduktor, propános CO2 generátor, CO2 érzékelő / szabályzó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co2 tabletta</t>
        </is>
      </c>
      <c r="C20" s="5" t="n">
        <v>20</v>
      </c>
      <c r="D20" s="4" t="inlineStr">
        <is>
          <t>Szoros</t>
        </is>
      </c>
      <c r="E20" s="4" t="inlineStr">
        <is>
          <t>Igen</t>
        </is>
      </c>
      <c r="F20" s="4" t="inlineStr">
        <is>
          <t>CO2-szint emelése és mérése – CO2 zsák, tabletta, palack + reduktor, propános CO2 generátor, CO2 érzékelő / szabályzó</t>
        </is>
      </c>
      <c r="G20" s="4" t="inlineStr">
        <is>
          <t>Kategórialeírás (természetes említés)</t>
        </is>
      </c>
    </row>
    <row r="21">
      <c r="B21" s="7" t="inlineStr">
        <is>
          <t>Összesen (érdemes rá oldal = Igen):</t>
        </is>
      </c>
      <c r="C21" s="22">
        <f>SUMIFS(C7:C20,E7:E20,"Igen")</f>
        <v/>
      </c>
    </row>
    <row r="23">
      <c r="A23" s="7" t="inlineStr">
        <is>
          <t>Termékek a jelenlegi kínálatból: 15 db (elsődleges + másodlagos hozzárendelés; egy termék több kategóriában is szerepelhet)</t>
        </is>
      </c>
    </row>
    <row r="24">
      <c r="A24" s="3" t="inlineStr">
        <is>
          <t>#</t>
        </is>
      </c>
      <c r="B24" s="3" t="inlineStr">
        <is>
          <t>Termékkód</t>
        </is>
      </c>
      <c r="C24" s="3" t="inlineStr">
        <is>
          <t>Terméknév</t>
        </is>
      </c>
      <c r="D24" s="3" t="inlineStr">
        <is>
          <t>Hozzárendelés</t>
        </is>
      </c>
      <c r="E24" s="3" t="inlineStr">
        <is>
          <t>Illeszkedés</t>
        </is>
      </c>
      <c r="F24" s="3" t="inlineStr">
        <is>
          <t>Megjegyzés</t>
        </is>
      </c>
    </row>
    <row r="25">
      <c r="A25" s="4" t="n">
        <v>1</v>
      </c>
      <c r="B25" s="4" t="inlineStr">
        <is>
          <t>GRO2490</t>
        </is>
      </c>
      <c r="C25" s="4" t="inlineStr">
        <is>
          <t>ExHale Original CO2 termelő zsák micéliummal, termesztősátorba, 6 hónapig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CO2 zsák, CO2 termelő doboz, tabletta</t>
        </is>
      </c>
    </row>
    <row r="26">
      <c r="A26" s="4" t="n">
        <v>2</v>
      </c>
      <c r="B26" s="4" t="inlineStr">
        <is>
          <t>GRO3563</t>
        </is>
      </c>
      <c r="C26" s="4" t="inlineStr">
        <is>
          <t>Pro-Leaf CO2 érzékelő és digitális szabályzó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CO2 érzékelő, szabályzó</t>
        </is>
      </c>
    </row>
    <row r="27">
      <c r="A27" s="4" t="n">
        <v>3</v>
      </c>
      <c r="B27" s="4" t="inlineStr">
        <is>
          <t>GRO3734</t>
        </is>
      </c>
      <c r="C27" s="4" t="inlineStr">
        <is>
          <t>SGC CO2 pára-, hőmérséklet- és fényszenzor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CO2 érzékelő, szabályzó</t>
        </is>
      </c>
    </row>
    <row r="28">
      <c r="A28" s="4" t="n">
        <v>4</v>
      </c>
      <c r="B28" s="4" t="inlineStr">
        <is>
          <t>GRO3790</t>
        </is>
      </c>
      <c r="C28" s="4" t="inlineStr">
        <is>
          <t>Smart CO2 termelő zsák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CO2 zsák, CO2 termelő doboz, tabletta</t>
        </is>
      </c>
    </row>
    <row r="29">
      <c r="A29" s="4" t="n">
        <v>5</v>
      </c>
      <c r="B29" s="4" t="inlineStr">
        <is>
          <t>GRO3811</t>
        </is>
      </c>
      <c r="C29" s="4" t="inlineStr">
        <is>
          <t>CO2 reduktor - nyomásmérő és szabályozó szelep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CO2 palack, adapter, reduktor</t>
        </is>
      </c>
    </row>
    <row r="30">
      <c r="A30" s="4" t="n">
        <v>6</v>
      </c>
      <c r="B30" s="4" t="inlineStr">
        <is>
          <t>GRO3902</t>
        </is>
      </c>
      <c r="C30" s="4" t="inlineStr">
        <is>
          <t>Exhale CO2 zsák XL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CO2 zsák, CO2 termelő doboz, tabletta</t>
        </is>
      </c>
    </row>
    <row r="31">
      <c r="A31" s="4" t="n">
        <v>7</v>
      </c>
      <c r="B31" s="4" t="inlineStr">
        <is>
          <t>GRO3903</t>
        </is>
      </c>
      <c r="C31" s="4" t="inlineStr">
        <is>
          <t>CO2 termelő doboz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CO2 zsák, CO2 termelő doboz, tabletta</t>
        </is>
      </c>
    </row>
    <row r="32">
      <c r="A32" s="4" t="n">
        <v>8</v>
      </c>
      <c r="B32" s="4" t="inlineStr">
        <is>
          <t>GRO4095</t>
        </is>
      </c>
      <c r="C32" s="4" t="inlineStr">
        <is>
          <t>CO2 tabletta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CO2 zsák, CO2 termelő doboz, tabletta</t>
        </is>
      </c>
    </row>
    <row r="33">
      <c r="A33" s="4" t="n">
        <v>9</v>
      </c>
      <c r="B33" s="4" t="inlineStr">
        <is>
          <t>GRO4096</t>
        </is>
      </c>
      <c r="C33" s="4" t="inlineStr">
        <is>
          <t>CO2 tabletta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CO2 zsák, CO2 termelő doboz, tabletta</t>
        </is>
      </c>
    </row>
    <row r="34">
      <c r="A34" s="4" t="n">
        <v>10</v>
      </c>
      <c r="B34" s="4" t="inlineStr">
        <is>
          <t>GRO4160</t>
        </is>
      </c>
      <c r="C34" s="4" t="inlineStr">
        <is>
          <t>GrowBro CO2 palack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CO2 palack, adapter, reduktor</t>
        </is>
      </c>
    </row>
    <row r="35">
      <c r="A35" s="4" t="n">
        <v>11</v>
      </c>
      <c r="B35" s="4" t="inlineStr">
        <is>
          <t>GRO4162</t>
        </is>
      </c>
      <c r="C35" s="4" t="inlineStr">
        <is>
          <t>Autopilot Co2 generátor propán gázzal 4KW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CO2 generátor (propán)</t>
        </is>
      </c>
    </row>
    <row r="36">
      <c r="A36" s="4" t="n">
        <v>12</v>
      </c>
      <c r="B36" s="4" t="inlineStr">
        <is>
          <t>GRO4163</t>
        </is>
      </c>
      <c r="C36" s="4" t="inlineStr">
        <is>
          <t>Autopilot Co2 generátor propán gázzal 8KW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CO2 generátor (propán)</t>
        </is>
      </c>
    </row>
    <row r="37">
      <c r="A37" s="4" t="n">
        <v>13</v>
      </c>
      <c r="B37" s="4" t="inlineStr">
        <is>
          <t>GRO4247</t>
        </is>
      </c>
      <c r="C37" s="4" t="inlineStr">
        <is>
          <t>GrowBro CO2 adapter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CO2 palack, adapter, reduktor</t>
        </is>
      </c>
    </row>
    <row r="38">
      <c r="A38" s="4" t="n">
        <v>14</v>
      </c>
      <c r="B38" s="4" t="inlineStr">
        <is>
          <t>GRO4340</t>
        </is>
      </c>
      <c r="C38" s="4" t="inlineStr">
        <is>
          <t>AC Infinity Controller AI+ CO2 + fényérzékelő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CO2 érzékelő, szabályzó</t>
        </is>
      </c>
    </row>
    <row r="39">
      <c r="A39" s="4" t="n">
        <v>15</v>
      </c>
      <c r="B39" s="4" t="inlineStr">
        <is>
          <t>GRO1439</t>
        </is>
      </c>
      <c r="C39" s="4" t="inlineStr">
        <is>
          <t>Superpro AC-1 analóg klímaszabályzó hőmérséklet, páratartalom és CO2 vezérléséhez</t>
        </is>
      </c>
      <c r="D39" s="4" t="inlineStr">
        <is>
          <t>Másodlagos</t>
        </is>
      </c>
      <c r="E39" s="4" t="inlineStr">
        <is>
          <t>Erős</t>
        </is>
      </c>
      <c r="F39" s="4" t="inlineStr">
        <is>
          <t>Superpro klímaszabályzó (hő, pára, CO2)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vents ventilátor</t>
        </is>
      </c>
      <c r="B4" s="2" t="n">
        <v>260</v>
      </c>
    </row>
    <row r="5">
      <c r="A5" s="2" t="inlineStr">
        <is>
          <t>helios csőventilátor</t>
        </is>
      </c>
      <c r="B5" s="2" t="n">
        <v>260</v>
      </c>
    </row>
    <row r="6">
      <c r="A6" s="2" t="inlineStr">
        <is>
          <t>sonoflex</t>
        </is>
      </c>
      <c r="B6" s="2" t="n">
        <v>70</v>
      </c>
    </row>
    <row r="7">
      <c r="A7" s="2" t="inlineStr">
        <is>
          <t>ona gel</t>
        </is>
      </c>
      <c r="B7" s="2" t="n">
        <v>20</v>
      </c>
    </row>
    <row r="8">
      <c r="A8" s="2" t="inlineStr">
        <is>
          <t>exhale co2</t>
        </is>
      </c>
      <c r="B8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2026-10-16T15:14:43Z</dcterms:created>
  <dcterms:modified xmlns:dcterms="http://purl.org/dc/terms/" xmlns:xsi="http://www.w3.org/2001/XMLSchema-instance" xsi:type="dcterms:W3CDTF">2026-10-16T15:14:44Z</dcterms:modified>
</cp:coreProperties>
</file>