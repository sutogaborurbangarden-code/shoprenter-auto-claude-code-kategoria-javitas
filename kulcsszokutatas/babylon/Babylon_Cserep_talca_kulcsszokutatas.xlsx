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sszefoglaló" sheetId="1" state="visible" r:id="rId1"/>
    <sheet xmlns:r="http://schemas.openxmlformats.org/officeDocument/2006/relationships" name="Kategóriaszerkezet-ajánlás" sheetId="2" state="visible" r:id="rId2"/>
    <sheet xmlns:r="http://schemas.openxmlformats.org/officeDocument/2006/relationships" name="Termékkínálat" sheetId="3" state="visible" r:id="rId3"/>
    <sheet xmlns:r="http://schemas.openxmlformats.org/officeDocument/2006/relationships" name="Bővítés – rokon területek" sheetId="4" state="visible" r:id="rId4"/>
    <sheet xmlns:r="http://schemas.openxmlformats.org/officeDocument/2006/relationships" name="Sandbox menünevek" sheetId="5" state="visible" r:id="rId5"/>
    <sheet xmlns:r="http://schemas.openxmlformats.org/officeDocument/2006/relationships" name="Összes kulcsszó" sheetId="6" state="visible" r:id="rId6"/>
    <sheet xmlns:r="http://schemas.openxmlformats.org/officeDocument/2006/relationships" name="1 Virágcserép" sheetId="7" state="visible" r:id="rId7"/>
    <sheet xmlns:r="http://schemas.openxmlformats.org/officeDocument/2006/relationships" name="2 Nagy virágcserép" sheetId="8" state="visible" r:id="rId8"/>
    <sheet xmlns:r="http://schemas.openxmlformats.org/officeDocument/2006/relationships" name="3 Szögletes cserép" sheetId="9" state="visible" r:id="rId9"/>
    <sheet xmlns:r="http://schemas.openxmlformats.org/officeDocument/2006/relationships" name="4 Air-Pot" sheetId="10" state="visible" r:id="rId10"/>
    <sheet xmlns:r="http://schemas.openxmlformats.org/officeDocument/2006/relationships" name="5 Szövetcserép" sheetId="11" state="visible" r:id="rId11"/>
    <sheet xmlns:r="http://schemas.openxmlformats.org/officeDocument/2006/relationships" name="6 Cserépalátét" sheetId="12" state="visible" r:id="rId12"/>
    <sheet xmlns:r="http://schemas.openxmlformats.org/officeDocument/2006/relationships" name="7 Tálca" sheetId="13" state="visible" r:id="rId13"/>
    <sheet xmlns:r="http://schemas.openxmlformats.org/officeDocument/2006/relationships" name="Gyártói kulcsszavak" sheetId="14" state="visible" r:id="rId14"/>
  </sheets>
  <definedNames>
    <definedName name="_xlnm._FilterDatabase" localSheetId="2" hidden="1">'Termékkínálat'!$A$6:$G$206</definedName>
    <definedName name="_xlnm._FilterDatabase" localSheetId="5" hidden="1">'Összes kulcsszó'!$A$1:$I$119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2E7D32"/>
      <sz val="13"/>
    </font>
    <font>
      <sz val="10"/>
    </font>
    <font>
      <b val="1"/>
      <color rgb="FFFFFFFF"/>
      <sz val="10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FF2E7D32"/>
      </patternFill>
    </fill>
    <fill>
      <patternFill patternType="solid">
        <fgColor rgb="FFE8F5E9"/>
      </patternFill>
    </fill>
    <fill>
      <patternFill patternType="solid">
        <fgColor rgb="FFFDECEA"/>
      </patternFill>
    </fill>
    <fill>
      <patternFill patternType="solid">
        <fgColor rgb="FFFFF8E1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2" fillId="3" borderId="0" pivotButton="0" quotePrefix="0" xfId="0"/>
    <xf numFmtId="3" fontId="2" fillId="3" borderId="0" pivotButton="0" quotePrefix="0" xfId="0"/>
    <xf numFmtId="0" fontId="2" fillId="3" borderId="0" applyAlignment="1" pivotButton="0" quotePrefix="0" xfId="0">
      <alignment vertical="top" wrapText="1"/>
    </xf>
    <xf numFmtId="0" fontId="2" fillId="5" borderId="0" pivotButton="0" quotePrefix="0" xfId="0"/>
    <xf numFmtId="3" fontId="2" fillId="5" borderId="0" pivotButton="0" quotePrefix="0" xfId="0"/>
    <xf numFmtId="0" fontId="2" fillId="5" borderId="0" applyAlignment="1" pivotButton="0" quotePrefix="0" xfId="0">
      <alignment vertical="top" wrapText="1"/>
    </xf>
    <xf numFmtId="0" fontId="4" fillId="0" borderId="0" pivotButton="0" quotePrefix="0" xfId="0"/>
    <xf numFmtId="0" fontId="2" fillId="6" borderId="0" pivotButton="0" quotePrefix="0" xfId="0"/>
    <xf numFmtId="0" fontId="2" fillId="4" borderId="0" pivotButton="0" quotePrefix="0" xfId="0"/>
    <xf numFmtId="0" fontId="4" fillId="3" borderId="0" applyAlignment="1" pivotButton="0" quotePrefix="0" xfId="0">
      <alignment vertical="top" wrapText="1"/>
    </xf>
    <xf numFmtId="3" fontId="4" fillId="3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3" fontId="2" fillId="5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3" fontId="2" fillId="0" borderId="0" pivotButton="0" quotePrefix="0" xfId="0"/>
    <xf numFmtId="3" fontId="2" fillId="6" borderId="0" pivotButton="0" quotePrefix="0" xfId="0"/>
    <xf numFmtId="3" fontId="2" fillId="4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2" customWidth="1" min="4" max="4"/>
    <col width="16" customWidth="1" min="5" max="5"/>
    <col width="18" customWidth="1" min="6" max="6"/>
    <col width="46" customWidth="1" min="7" max="7"/>
    <col width="60" customWidth="1" min="8" max="8"/>
  </cols>
  <sheetData>
    <row r="1">
      <c r="A1" s="1" t="inlineStr">
        <is>
          <t>babylon-grow.eu – Cserép, tálca főkategória kulcsszókutatás (Google Ads Kulcsszótervező, HU, magyar, 12 hó átlag)</t>
        </is>
      </c>
    </row>
    <row r="2">
      <c r="A2" s="2" t="inlineStr">
        <is>
          <t>Forrás: Babylon Adwords fiók (867-850-6485) Kulcsszótervező (Windsor.ai-on át), lekérdezve: 2026-10-12 és 2026-10-14. Hely: Magyarország, nyelv: magyar, hálózat: Google Keresés. A számok kerekített lépcsős havi átlagok.</t>
        </is>
      </c>
    </row>
    <row r="4" ht="30" customHeight="1">
      <c r="A4" s="3" t="inlineStr">
        <is>
          <t>Kategória (menünév)</t>
        </is>
      </c>
      <c r="B4" s="3" t="inlineStr">
        <is>
          <t>Fő kulcsszó</t>
        </is>
      </c>
      <c r="C4" s="3" t="inlineStr">
        <is>
          <t>Fő kulcsszó havi</t>
        </is>
      </c>
      <c r="D4" s="3" t="inlineStr">
        <is>
          <t>Klaszter összesen (érdemes = Igen)</t>
        </is>
      </c>
      <c r="E4" s="3" t="inlineStr">
        <is>
          <t>Kötődés a webshophoz</t>
        </is>
      </c>
      <c r="F4" s="3" t="inlineStr">
        <is>
          <t>Érdemes rá kategória?</t>
        </is>
      </c>
      <c r="G4" s="3" t="inlineStr">
        <is>
          <t>Felhasználási terület</t>
        </is>
      </c>
      <c r="H4" s="3" t="inlineStr">
        <is>
          <t>Javasolt hely az új fában</t>
        </is>
      </c>
    </row>
    <row r="5">
      <c r="A5" s="4" t="inlineStr">
        <is>
          <t>Virágcserép</t>
        </is>
      </c>
      <c r="B5" s="4" t="inlineStr">
        <is>
          <t>virágcserép</t>
        </is>
      </c>
      <c r="C5" s="5">
        <f>SUMIFS('Összes kulcsszó'!$E:$E,'Összes kulcsszó'!$A:$A,A5,'Összes kulcsszó'!$C:$C,B5)</f>
        <v/>
      </c>
      <c r="D5" s="5">
        <f>SUMIFS('Összes kulcsszó'!$E:$E,'Összes kulcsszó'!$A:$A,A5,'Összes kulcsszó'!$G:$G,"Igen")</f>
        <v/>
      </c>
      <c r="E5" s="4" t="inlineStr">
        <is>
          <t>Szoros</t>
        </is>
      </c>
      <c r="F5" s="4" t="inlineStr">
        <is>
          <t>Igen</t>
        </is>
      </c>
      <c r="G5" s="4" t="inlineStr">
        <is>
          <t>Termesztő cserép – műanyag, kerek, literes méretek</t>
        </is>
      </c>
      <c r="H5" s="6" t="inlineStr">
        <is>
          <t>2. szint – „Virágcserép” (sandbox-név marad); H1 / SEO title: „Műanyag virágcserép”; szűrők: térfogat (liter), átmérő, forma</t>
        </is>
      </c>
    </row>
    <row r="6">
      <c r="A6" s="4" t="inlineStr">
        <is>
          <t>Nagy virágcserép</t>
        </is>
      </c>
      <c r="B6" s="4" t="inlineStr">
        <is>
          <t>nagy virágcserép</t>
        </is>
      </c>
      <c r="C6" s="5">
        <f>SUMIFS('Összes kulcsszó'!$E:$E,'Összes kulcsszó'!$A:$A,A6,'Összes kulcsszó'!$C:$C,B6)</f>
        <v/>
      </c>
      <c r="D6" s="5">
        <f>SUMIFS('Összes kulcsszó'!$E:$E,'Összes kulcsszó'!$A:$A,A6,'Összes kulcsszó'!$G:$G,"Igen")</f>
        <v/>
      </c>
      <c r="E6" s="4" t="inlineStr">
        <is>
          <t>Szoros</t>
        </is>
      </c>
      <c r="F6" s="4" t="inlineStr">
        <is>
          <t>Igen</t>
        </is>
      </c>
      <c r="G6" s="4" t="inlineStr">
        <is>
          <t>Nagy térfogatú cserép – 20–100 literes termesztés, kültér</t>
        </is>
      </c>
      <c r="H6" s="6" t="inlineStr">
        <is>
          <t>3. szint a Virágcserép alatt – csak ha legalább 3–4 nagy (kb. 20 l feletti) cserép van a kínálatban; különben a Virágcserép másodlagos kulcsszava</t>
        </is>
      </c>
    </row>
    <row r="7">
      <c r="A7" s="4" t="inlineStr">
        <is>
          <t>Szögletes cserép</t>
        </is>
      </c>
      <c r="B7" s="4" t="inlineStr">
        <is>
          <t>szögletes virágcserép</t>
        </is>
      </c>
      <c r="C7" s="5">
        <f>SUMIFS('Összes kulcsszó'!$E:$E,'Összes kulcsszó'!$A:$A,A7,'Összes kulcsszó'!$C:$C,B7)</f>
        <v/>
      </c>
      <c r="D7" s="5">
        <f>SUMIFS('Összes kulcsszó'!$E:$E,'Összes kulcsszó'!$A:$A,A7,'Összes kulcsszó'!$G:$G,"Igen")</f>
        <v/>
      </c>
      <c r="E7" s="4" t="inlineStr">
        <is>
          <t>Szoros</t>
        </is>
      </c>
      <c r="F7" s="4" t="inlineStr">
        <is>
          <t>Igen</t>
        </is>
      </c>
      <c r="G7" s="4" t="inlineStr">
        <is>
          <t>Helytakarékos termesztés sátorban / polcon</t>
        </is>
      </c>
      <c r="H7" s="6" t="inlineStr">
        <is>
          <t>Szűrő a Virágcserép kategóriában (forma: kerek / szögletes) – önálló kategóriának kevés</t>
        </is>
      </c>
    </row>
    <row r="8">
      <c r="A8" s="4" t="inlineStr">
        <is>
          <t>Air-Pot cserép</t>
        </is>
      </c>
      <c r="B8" s="4" t="inlineStr">
        <is>
          <t>airpot</t>
        </is>
      </c>
      <c r="C8" s="5">
        <f>SUMIFS('Összes kulcsszó'!$E:$E,'Összes kulcsszó'!$A:$A,A8,'Összes kulcsszó'!$C:$C,B8)</f>
        <v/>
      </c>
      <c r="D8" s="5">
        <f>SUMIFS('Összes kulcsszó'!$E:$E,'Összes kulcsszó'!$A:$A,A8,'Összes kulcsszó'!$G:$G,"Igen")</f>
        <v/>
      </c>
      <c r="E8" s="4" t="inlineStr">
        <is>
          <t>Szoros</t>
        </is>
      </c>
      <c r="F8" s="4" t="inlineStr">
        <is>
          <t>Igen</t>
        </is>
      </c>
      <c r="G8" s="4" t="inlineStr">
        <is>
          <t>Gyökérlégzés, gyökérmetszés – termesztés konténerben</t>
        </is>
      </c>
      <c r="H8" s="6" t="inlineStr">
        <is>
          <t>2. szint – a „Speciális cserép, szövetcserép” helyett vagy alatta; a menünévben a márkanév legyen</t>
        </is>
      </c>
    </row>
    <row r="9">
      <c r="A9" s="4" t="inlineStr">
        <is>
          <t>Szövetcserép, ültetőzsák</t>
        </is>
      </c>
      <c r="B9" s="4" t="inlineStr">
        <is>
          <t>ültetőzsák</t>
        </is>
      </c>
      <c r="C9" s="5">
        <f>SUMIFS('Összes kulcsszó'!$E:$E,'Összes kulcsszó'!$A:$A,A9,'Összes kulcsszó'!$C:$C,B9)</f>
        <v/>
      </c>
      <c r="D9" s="5">
        <f>SUMIFS('Összes kulcsszó'!$E:$E,'Összes kulcsszó'!$A:$A,A9,'Összes kulcsszó'!$G:$G,"Igen")</f>
        <v/>
      </c>
      <c r="E9" s="4" t="inlineStr">
        <is>
          <t>Szoros</t>
        </is>
      </c>
      <c r="F9" s="4" t="inlineStr">
        <is>
          <t>Igen</t>
        </is>
      </c>
      <c r="G9" s="4" t="inlineStr">
        <is>
          <t>Szövet / textil / filc cserép, ültető- és termesztőzsák</t>
        </is>
      </c>
      <c r="H9" s="6" t="inlineStr">
        <is>
          <t>2. szint – a „Speciális cserép, szövetcserép” utódja; menünév: „Szövetcserép, ültetőzsák”</t>
        </is>
      </c>
    </row>
    <row r="10">
      <c r="A10" s="4" t="inlineStr">
        <is>
          <t>Cserépalátét</t>
        </is>
      </c>
      <c r="B10" s="4" t="inlineStr">
        <is>
          <t>cserépalátét</t>
        </is>
      </c>
      <c r="C10" s="5">
        <f>SUMIFS('Összes kulcsszó'!$E:$E,'Összes kulcsszó'!$A:$A,A10,'Összes kulcsszó'!$C:$C,B10)</f>
        <v/>
      </c>
      <c r="D10" s="5">
        <f>SUMIFS('Összes kulcsszó'!$E:$E,'Összes kulcsszó'!$A:$A,A10,'Összes kulcsszó'!$G:$G,"Igen")</f>
        <v/>
      </c>
      <c r="E10" s="4" t="inlineStr">
        <is>
          <t>Szoros</t>
        </is>
      </c>
      <c r="F10" s="4" t="inlineStr">
        <is>
          <t>Igen</t>
        </is>
      </c>
      <c r="G10" s="4" t="inlineStr">
        <is>
          <t>Cserép alá – vízfelfogás, gurulós alátét</t>
        </is>
      </c>
      <c r="H10" s="6" t="inlineStr">
        <is>
          <t>2. szint – a „Tálca, alátét” kettébontásával; az „alátét” szó önmagában csavaralátét</t>
        </is>
      </c>
    </row>
    <row r="11">
      <c r="A11" s="7" t="inlineStr">
        <is>
          <t>Műanyag tálca, árapály asztal</t>
        </is>
      </c>
      <c r="B11" s="7" t="inlineStr">
        <is>
          <t>nagyméretű műanyag tálca</t>
        </is>
      </c>
      <c r="C11" s="8">
        <f>SUMIFS('Összes kulcsszó'!$E:$E,'Összes kulcsszó'!$A:$A,A11,'Összes kulcsszó'!$C:$C,B11)</f>
        <v/>
      </c>
      <c r="D11" s="8">
        <f>SUMIFS('Összes kulcsszó'!$E:$E,'Összes kulcsszó'!$A:$A,A11,'Összes kulcsszó'!$G:$G,"Igen")</f>
        <v/>
      </c>
      <c r="E11" s="7" t="inlineStr">
        <is>
          <t>Laza</t>
        </is>
      </c>
      <c r="F11" s="7" t="inlineStr">
        <is>
          <t>Igen</t>
        </is>
      </c>
      <c r="G11" s="7" t="inlineStr">
        <is>
          <t>Gyűjtőtálca termesztősátorba, árapály (ebb &amp; flow) rendszer</t>
        </is>
      </c>
      <c r="H11" s="9" t="inlineStr">
        <is>
          <t>2. szint – a „Tálca, alátét” kettébontásával</t>
        </is>
      </c>
    </row>
    <row r="13">
      <c r="A13" s="10" t="inlineStr">
        <is>
          <t>Jelmagyarázat</t>
        </is>
      </c>
    </row>
    <row r="14">
      <c r="A14" s="4" t="inlineStr">
        <is>
          <t>Szoros kötődés · érdemes: Igen</t>
        </is>
      </c>
    </row>
    <row r="15">
      <c r="A15" s="7" t="inlineStr">
        <is>
          <t>Laza kötődés · érdemes: Igen</t>
        </is>
      </c>
    </row>
    <row r="16">
      <c r="A16" s="11" t="inlineStr">
        <is>
          <t>Laza kötődés · érdemes: Nem</t>
        </is>
      </c>
    </row>
    <row r="17">
      <c r="A17" s="12" t="inlineStr">
        <is>
          <t>Nincs (áruházi / nem vásárlási szándék) kötődés · érdemes: Nem – kizárandó</t>
        </is>
      </c>
    </row>
    <row r="19">
      <c r="A19" s="2" t="inlineStr">
        <is>
          <t>Termékek: 1999 termék a Google Shopping-feedből (2024-10 – 2026-10); ebből a cserép–tálca témájú termékek besorolva – a Termékkínálat lapon és a kategórialapok alján.</t>
        </is>
      </c>
    </row>
    <row r="20">
      <c r="A20" s="2" t="inlineStr">
        <is>
          <t>Megjegyzés: a klaszter-összeg átfedéseket tartalmazhat (pl. elírt és ékezet nélküli változatok, amelyeket a Google külön sorban is mutat).</t>
        </is>
      </c>
    </row>
    <row r="21">
      <c r="A21" s="2" t="inlineStr">
        <is>
          <t>Fő megállapítás: a virágcserép (2400) és a nagy virágcserép (480) viszi az ágat; a sandbox két gyűjtőnevére („Speciális cserép”, „Tálca, alátét”) nincs vagy félrevezető a keresés – javasolt a kettébontásuk (Kategóriaszerkezet-ajánlás lap).</t>
        </is>
      </c>
    </row>
    <row r="22">
      <c r="A22" s="2" t="inlineStr">
        <is>
          <t>Az éles oldal jelenlegi kategóriáit nem vettük figyelembe; a javaslat a sandbox-tervezetre és a kulcsszóadatra épül.</t>
        </is>
      </c>
    </row>
    <row r="23">
      <c r="A23" s="2" t="inlineStr">
        <is>
          <t>A „szaporító tálca” / „palántanevelő tálca” céloldala a Palántanevelő ág, a „mikrozöld tálca” a Mikrozöld termesztésé – itt csak említés.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6" customWidth="1" min="3" max="3"/>
    <col width="26" customWidth="1" min="4" max="4"/>
    <col width="12" customWidth="1" min="5" max="5"/>
    <col width="16" customWidth="1" min="6" max="6"/>
    <col width="20" customWidth="1" min="7" max="7"/>
    <col width="18" customWidth="1" min="8" max="8"/>
    <col width="22" customWidth="1" min="9" max="9"/>
    <col width="60" customWidth="1" min="10" max="10"/>
  </cols>
  <sheetData>
    <row r="1">
      <c r="A1" s="1" t="inlineStr">
        <is>
          <t>Kategóriaszerkezet-ajánlás – Cserép, tálca (termékkínálat + kulcsszóadat alapján)</t>
        </is>
      </c>
    </row>
    <row r="2">
      <c r="A2" s="2" t="inlineStr">
        <is>
          <t>Az éles oldal jelenlegi kategóriáit nem vettük figyelembe. Kiindulás: a sandbox-tervezet, a Google Shopping-feed termékei (1999 db) és a Kulcsszótervező adatai. Termékszám = elsődleges + másodlagos hozzárendelés.</t>
        </is>
      </c>
    </row>
    <row r="4" ht="30" customHeight="1">
      <c r="A4" s="3" t="inlineStr">
        <is>
          <t>Szint</t>
        </is>
      </c>
      <c r="B4" s="3" t="inlineStr">
        <is>
          <t>Javasolt kategórianév (menünév)</t>
        </is>
      </c>
      <c r="C4" s="3" t="inlineStr">
        <is>
          <t>Szülőkategória</t>
        </is>
      </c>
      <c r="D4" s="3" t="inlineStr">
        <is>
          <t>Fő kulcsszó</t>
        </is>
      </c>
      <c r="E4" s="3" t="inlineStr">
        <is>
          <t>Fő kulcsszó havi</t>
        </is>
      </c>
      <c r="F4" s="3" t="inlineStr">
        <is>
          <t>Klaszter összesen (érdemes = Igen)</t>
        </is>
      </c>
      <c r="G4" s="3" t="inlineStr">
        <is>
          <t>Kulcsszó-kötődés</t>
        </is>
      </c>
      <c r="H4" s="3" t="inlineStr">
        <is>
          <t>Termékek száma</t>
        </is>
      </c>
      <c r="I4" s="3" t="inlineStr">
        <is>
          <t>Típus</t>
        </is>
      </c>
      <c r="J4" s="3" t="inlineStr">
        <is>
          <t>Indoklás</t>
        </is>
      </c>
    </row>
    <row r="5">
      <c r="A5" s="13" t="n">
        <v>1</v>
      </c>
      <c r="B5" s="13" t="inlineStr">
        <is>
          <t>Cserép, tálca</t>
        </is>
      </c>
      <c r="C5" s="13" t="inlineStr">
        <is>
          <t>–</t>
        </is>
      </c>
      <c r="D5" s="13" t="inlineStr">
        <is>
          <t>virágcserép</t>
        </is>
      </c>
      <c r="E5" s="14" t="n">
        <v>2400</v>
      </c>
      <c r="F5" s="14" t="n"/>
      <c r="G5" s="13" t="inlineStr">
        <is>
          <t>Erősen kapcsolódik</t>
        </is>
      </c>
      <c r="H5" s="13" t="n">
        <v>142</v>
      </c>
      <c r="I5" s="13" t="inlineStr">
        <is>
          <t>Főkategória</t>
        </is>
      </c>
      <c r="J5" s="13" t="inlineStr">
        <is>
          <t>A főkategória-névre nincs saját keresés („cserép” = tetőcserép); a H1 a virágcserép / cserépalátét / tálca szavakra épüljön.</t>
        </is>
      </c>
    </row>
    <row r="6">
      <c r="A6" s="6" t="n">
        <v>2</v>
      </c>
      <c r="B6" s="6" t="inlineStr">
        <is>
          <t>Virágcserép</t>
        </is>
      </c>
      <c r="C6" s="6" t="inlineStr">
        <is>
          <t>Cserép, tálca</t>
        </is>
      </c>
      <c r="D6" s="6" t="inlineStr">
        <is>
          <t>virágcserép</t>
        </is>
      </c>
      <c r="E6" s="15" t="n">
        <v>2400</v>
      </c>
      <c r="F6" s="15">
        <f>SUMIFS('Összes kulcsszó'!$E:$E,'Összes kulcsszó'!$A:$A,"Virágcserép",'Összes kulcsszó'!$G:$G,"Igen")</f>
        <v/>
      </c>
      <c r="G6" s="6" t="inlineStr">
        <is>
          <t>Erősen kapcsolódik</t>
        </is>
      </c>
      <c r="H6" s="6" t="n">
        <v>57</v>
      </c>
      <c r="I6" s="6" t="inlineStr">
        <is>
          <t>Önálló kategória</t>
        </is>
      </c>
      <c r="J6" s="6" t="inlineStr">
        <is>
          <t>A főkategória legerősebb klasztere (virágcserép 2400, műanyag virágcserép 590, műanyag cserép 480). Térfogat (liter) és forma szűrővel.</t>
        </is>
      </c>
    </row>
    <row r="7">
      <c r="A7" s="6" t="n">
        <v>3</v>
      </c>
      <c r="B7" s="6" t="inlineStr">
        <is>
          <t>Nagy virágcserép</t>
        </is>
      </c>
      <c r="C7" s="6" t="inlineStr">
        <is>
          <t>Virágcserép</t>
        </is>
      </c>
      <c r="D7" s="6" t="inlineStr">
        <is>
          <t>nagy virágcserép</t>
        </is>
      </c>
      <c r="E7" s="15" t="n">
        <v>480</v>
      </c>
      <c r="F7" s="15">
        <f>SUMIFS('Összes kulcsszó'!$E:$E,'Összes kulcsszó'!$A:$A,"Nagy virágcserép",'Összes kulcsszó'!$G:$G,"Igen")</f>
        <v/>
      </c>
      <c r="G7" s="6" t="inlineStr">
        <is>
          <t>Erősen kapcsolódik</t>
        </is>
      </c>
      <c r="H7" s="6" t="n">
        <v>25</v>
      </c>
      <c r="I7" s="6" t="inlineStr">
        <is>
          <t>Önálló kategória</t>
        </is>
      </c>
      <c r="J7" s="6" t="inlineStr">
        <is>
          <t>Erős saját klaszter (480 + 320 + 260), és sok 20 literes feletti cserép / konténer van a kínálatban – önálló 3. szint.</t>
        </is>
      </c>
    </row>
    <row r="8">
      <c r="A8" s="6" t="n">
        <v>3</v>
      </c>
      <c r="B8" s="6" t="inlineStr">
        <is>
          <t>Szögletes cserép</t>
        </is>
      </c>
      <c r="C8" s="6" t="inlineStr">
        <is>
          <t>Virágcserép</t>
        </is>
      </c>
      <c r="D8" s="6" t="inlineStr">
        <is>
          <t>szögletes virágcserép</t>
        </is>
      </c>
      <c r="E8" s="15" t="n">
        <v>90</v>
      </c>
      <c r="F8" s="15">
        <f>SUMIFS('Összes kulcsszó'!$E:$E,'Összes kulcsszó'!$A:$A,"Szögletes cserép",'Összes kulcsszó'!$G:$G,"Igen")</f>
        <v/>
      </c>
      <c r="G8" s="6" t="inlineStr">
        <is>
          <t>Erősen kapcsolódik</t>
        </is>
      </c>
      <c r="H8" s="6" t="n">
        <v>24</v>
      </c>
      <c r="I8" s="6" t="inlineStr">
        <is>
          <t>Szűrő</t>
        </is>
      </c>
      <c r="J8" s="6" t="inlineStr">
        <is>
          <t>Kis keresési volumen (90 + 70 + 40), de sok szögletes termék van – forma-szűrő; ha a sandbox engedi, 3. szint is lehet.</t>
        </is>
      </c>
    </row>
    <row r="9">
      <c r="A9" s="6" t="n">
        <v>2</v>
      </c>
      <c r="B9" s="6" t="inlineStr">
        <is>
          <t>Air-Pot cserép</t>
        </is>
      </c>
      <c r="C9" s="6" t="inlineStr">
        <is>
          <t>Cserép, tálca</t>
        </is>
      </c>
      <c r="D9" s="6" t="inlineStr">
        <is>
          <t>airpot</t>
        </is>
      </c>
      <c r="E9" s="15" t="n">
        <v>140</v>
      </c>
      <c r="F9" s="15">
        <f>SUMIFS('Összes kulcsszó'!$E:$E,'Összes kulcsszó'!$A:$A,"Air-Pot cserép",'Összes kulcsszó'!$G:$G,"Igen")</f>
        <v/>
      </c>
      <c r="G9" s="6" t="inlineStr">
        <is>
          <t>Erősen kapcsolódik</t>
        </is>
      </c>
      <c r="H9" s="6" t="n">
        <v>13</v>
      </c>
      <c r="I9" s="6" t="inlineStr">
        <is>
          <t>Önálló kategória</t>
        </is>
      </c>
      <c r="J9" s="6" t="inlineStr">
        <is>
          <t>A sandbox „Speciális cserép” helyett: a márkanévre van keresés (airpot 140, air pot 90), a „légmetsző cserép”-re nincs.</t>
        </is>
      </c>
    </row>
    <row r="10">
      <c r="A10" s="6" t="n">
        <v>2</v>
      </c>
      <c r="B10" s="6" t="inlineStr">
        <is>
          <t>Szövetcserép, ültetőzsák</t>
        </is>
      </c>
      <c r="C10" s="6" t="inlineStr">
        <is>
          <t>Cserép, tálca</t>
        </is>
      </c>
      <c r="D10" s="6" t="inlineStr">
        <is>
          <t>ültetőzsák</t>
        </is>
      </c>
      <c r="E10" s="15" t="n">
        <v>90</v>
      </c>
      <c r="F10" s="15">
        <f>SUMIFS('Összes kulcsszó'!$E:$E,'Összes kulcsszó'!$A:$A,"Szövetcserép, ültetőzsák",'Összes kulcsszó'!$G:$G,"Igen")</f>
        <v/>
      </c>
      <c r="G10" s="6" t="inlineStr">
        <is>
          <t>Erősen kapcsolódik</t>
        </is>
      </c>
      <c r="H10" s="6" t="n">
        <v>28</v>
      </c>
      <c r="I10" s="6" t="inlineStr">
        <is>
          <t>Önálló kategória</t>
        </is>
      </c>
      <c r="J10" s="6" t="inlineStr">
        <is>
          <t>Az „ültetőzsák” (90 + 50) viszi; a szövet / textil cserép, smart pot, grow bag egyenként 20.</t>
        </is>
      </c>
    </row>
    <row r="11">
      <c r="A11" s="6" t="n">
        <v>2</v>
      </c>
      <c r="B11" s="6" t="inlineStr">
        <is>
          <t>Cserépalátét</t>
        </is>
      </c>
      <c r="C11" s="6" t="inlineStr">
        <is>
          <t>Cserép, tálca</t>
        </is>
      </c>
      <c r="D11" s="6" t="inlineStr">
        <is>
          <t>cserépalátét</t>
        </is>
      </c>
      <c r="E11" s="15" t="n">
        <v>260</v>
      </c>
      <c r="F11" s="15">
        <f>SUMIFS('Összes kulcsszó'!$E:$E,'Összes kulcsszó'!$A:$A,"Cserépalátét",'Összes kulcsszó'!$G:$G,"Igen")</f>
        <v/>
      </c>
      <c r="G11" s="6" t="inlineStr">
        <is>
          <t>Erősen kapcsolódik</t>
        </is>
      </c>
      <c r="H11" s="6" t="n">
        <v>40</v>
      </c>
      <c r="I11" s="6" t="inlineStr">
        <is>
          <t>Önálló kategória</t>
        </is>
      </c>
      <c r="J11" s="6" t="inlineStr">
        <is>
          <t>A sandbox „Tálca, alátét” kettébontása: a cserépalátét-klaszter önmagában erős (260 + 260 + 140 + 140 + 110).</t>
        </is>
      </c>
    </row>
    <row r="12">
      <c r="A12" s="9" t="n">
        <v>2</v>
      </c>
      <c r="B12" s="9" t="inlineStr">
        <is>
          <t>Műanyag tálca, árapály asztal</t>
        </is>
      </c>
      <c r="C12" s="9" t="inlineStr">
        <is>
          <t>Cserép, tálca</t>
        </is>
      </c>
      <c r="D12" s="9" t="inlineStr">
        <is>
          <t>nagyméretű műanyag tálca</t>
        </is>
      </c>
      <c r="E12" s="16" t="n">
        <v>140</v>
      </c>
      <c r="F12" s="16">
        <f>SUMIFS('Összes kulcsszó'!$E:$E,'Összes kulcsszó'!$A:$A,"Műanyag tálca, árapály asztal",'Összes kulcsszó'!$G:$G,"Igen")</f>
        <v/>
      </c>
      <c r="G12" s="9" t="inlineStr">
        <is>
          <t>Lazán kapcsolódik</t>
        </is>
      </c>
      <c r="H12" s="9" t="n">
        <v>36</v>
      </c>
      <c r="I12" s="9" t="inlineStr">
        <is>
          <t>Önálló kategória</t>
        </is>
      </c>
      <c r="J12" s="9" t="inlineStr">
        <is>
          <t>Gyűjtőtálca sátorba és árapály rendszer (ebb and flow 70, árapály asztal 50). A „gyűjtőtálca” névre nincs keresés.</t>
        </is>
      </c>
    </row>
    <row r="14">
      <c r="A14" s="10" t="inlineStr">
        <is>
          <t>Ami NE legyen önálló kategória</t>
        </is>
      </c>
    </row>
    <row r="15">
      <c r="A15" s="3" t="inlineStr">
        <is>
          <t>Téma</t>
        </is>
      </c>
      <c r="B15" s="3" t="inlineStr">
        <is>
          <t>Kulcsszó</t>
        </is>
      </c>
      <c r="C15" s="3" t="inlineStr">
        <is>
          <t>Havi keresés</t>
        </is>
      </c>
      <c r="D15" s="3" t="inlineStr">
        <is>
          <t>Javaslat</t>
        </is>
      </c>
    </row>
    <row r="16">
      <c r="A16" s="17" t="inlineStr">
        <is>
          <t>Speciális cserép (sandbox-név)</t>
        </is>
      </c>
      <c r="B16" s="17" t="inlineStr">
        <is>
          <t>szövetcserép</t>
        </is>
      </c>
      <c r="C16" s="18" t="n">
        <v>10</v>
      </c>
      <c r="D16" s="17" t="inlineStr">
        <is>
          <t>A „speciális cserép” névre nincs mérhető keresés – helyette Air-Pot és Szövetcserép, ültetőzsák.</t>
        </is>
      </c>
    </row>
    <row r="17">
      <c r="A17" s="17" t="inlineStr">
        <is>
          <t>Literes méretek</t>
        </is>
      </c>
      <c r="B17" s="17" t="inlineStr">
        <is>
          <t>20 literes cserép</t>
        </is>
      </c>
      <c r="C17" s="18" t="n">
        <v>50</v>
      </c>
      <c r="D17" s="17" t="inlineStr">
        <is>
          <t>Szűrő (térfogat) a Virágcserép kategóriában, nem kategória.</t>
        </is>
      </c>
    </row>
    <row r="18">
      <c r="A18" s="17" t="inlineStr">
        <is>
          <t>Szaporító / palántanevelő tálca</t>
        </is>
      </c>
      <c r="B18" s="17" t="inlineStr">
        <is>
          <t>szaporító tálca</t>
        </is>
      </c>
      <c r="C18" s="18" t="n">
        <v>320</v>
      </c>
      <c r="D18" s="17" t="inlineStr">
        <is>
          <t>A Palántanevelő / mini üvegház ág céloldala – itt csak említés (kannibalizáció).</t>
        </is>
      </c>
    </row>
    <row r="19">
      <c r="A19" s="17" t="inlineStr">
        <is>
          <t>Mikrozöld tálca</t>
        </is>
      </c>
      <c r="B19" s="17" t="inlineStr">
        <is>
          <t>mikrozöld tálca</t>
        </is>
      </c>
      <c r="C19" s="18" t="n">
        <v>70</v>
      </c>
      <c r="D19" s="17" t="inlineStr">
        <is>
          <t>A Mikrozöld termesztés főkategóriáé.</t>
        </is>
      </c>
    </row>
    <row r="20">
      <c r="A20" s="17" t="inlineStr">
        <is>
          <t>Csepptálca, kármentő</t>
        </is>
      </c>
      <c r="B20" s="17" t="inlineStr">
        <is>
          <t>kármentő tálca</t>
        </is>
      </c>
      <c r="C20" s="18" t="n">
        <v>480</v>
      </c>
      <c r="D20" s="17" t="inlineStr">
        <is>
          <t>Klíma / ipari keresés – nem célozni.</t>
        </is>
      </c>
    </row>
    <row r="21">
      <c r="A21" s="17" t="inlineStr">
        <is>
          <t>Önöntöző cserép</t>
        </is>
      </c>
      <c r="B21" s="17" t="inlineStr">
        <is>
          <t>önöntöző cserép</t>
        </is>
      </c>
      <c r="C21" s="18" t="n">
        <v>90</v>
      </c>
      <c r="D21" s="17" t="inlineStr">
        <is>
          <t>Van keresés (90), de nincs ilyen termék – csak kínálatbővítés esetén.</t>
        </is>
      </c>
    </row>
    <row r="22">
      <c r="A22" s="17" t="inlineStr">
        <is>
          <t>Palántázó kiscserép (4–12 cm), tőzegcserép</t>
        </is>
      </c>
      <c r="B22" s="17" t="inlineStr">
        <is>
          <t>palántanevelő cserép</t>
        </is>
      </c>
      <c r="C22" s="18" t="n">
        <v>140</v>
      </c>
      <c r="D22" s="17" t="inlineStr">
        <is>
          <t>A Palántanevelő ág kategóriája – itt legfeljebb másodlagos hozzárendelés.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62" customWidth="1" min="2" max="2"/>
    <col width="32" customWidth="1" min="3" max="3"/>
    <col width="34" customWidth="1" min="4" max="4"/>
    <col width="16" customWidth="1" min="5" max="5"/>
    <col width="26" customWidth="1" min="6" max="6"/>
    <col width="44" customWidth="1" min="7" max="7"/>
  </cols>
  <sheetData>
    <row r="1">
      <c r="A1" s="1" t="inlineStr">
        <is>
          <t>Termékkínálat – termék–kategória hozzárendelés</t>
        </is>
      </c>
    </row>
    <row r="2">
      <c r="A2" s="2" t="inlineStr">
        <is>
          <t>Forrás: a Babylon Google Ads fiók Shopping-termékadatai (termékkód = Shopping item ID, terméknév = feed-cím), 2024-10-01 – 2026-10-14, összesen 1999 termék. A Shoprenter API és az éles oldal a felhőből továbbra sem érhető el.</t>
        </is>
      </c>
    </row>
    <row r="3">
      <c r="A3" s="2" t="inlineStr">
        <is>
          <t>Figyelem: ez a Google-ben hirdetett termékkör, nem feltétlenül a teljes katalógus – a feedből kimaradt vagy soha nem hirdetett termékek itt nem szerepelnek. A gyártó és a gyűjtőtermék (GYUJTO…) adat a feedben nem érhető el.</t>
        </is>
      </c>
    </row>
    <row r="4">
      <c r="A4" s="2" t="inlineStr">
        <is>
          <t>A „Más főkategória” sorok cserép / tálca jellegű termékek, amelyeknek a helye egy másik főkategóriában van (Palántanevelő, Mikrozöld, Hidro, Közegek, Esővízgyűjtő).</t>
        </is>
      </c>
    </row>
    <row r="6">
      <c r="A6" s="3" t="inlineStr">
        <is>
          <t>Termékkód</t>
        </is>
      </c>
      <c r="B6" s="3" t="inlineStr">
        <is>
          <t>Terméknév</t>
        </is>
      </c>
      <c r="C6" s="3" t="inlineStr">
        <is>
          <t>Elsődleges javasolt kategória</t>
        </is>
      </c>
      <c r="D6" s="3" t="inlineStr">
        <is>
          <t>További kategóriák</t>
        </is>
      </c>
      <c r="E6" s="3" t="inlineStr">
        <is>
          <t>Illeszkedés</t>
        </is>
      </c>
      <c r="F6" s="3" t="inlineStr">
        <is>
          <t>Utoljára a Google Shopping-feedben</t>
        </is>
      </c>
      <c r="G6" s="3" t="inlineStr">
        <is>
          <t>Megjegyzés</t>
        </is>
      </c>
    </row>
    <row r="7">
      <c r="A7" s="6" t="inlineStr">
        <is>
          <t>GRO1890</t>
        </is>
      </c>
      <c r="B7" s="6" t="inlineStr">
        <is>
          <t>Air-Pot klón 1 literes perforált, légáteresztő műanyag edény erős gyökérzethez</t>
        </is>
      </c>
      <c r="C7" s="6" t="inlineStr">
        <is>
          <t>Air-Pot cserép</t>
        </is>
      </c>
      <c r="D7" s="6" t="inlineStr"/>
      <c r="E7" s="6" t="inlineStr">
        <is>
          <t>Erős</t>
        </is>
      </c>
      <c r="F7" s="6" t="inlineStr">
        <is>
          <t>az elmúlt 30 napban</t>
        </is>
      </c>
      <c r="G7" s="6" t="inlineStr">
        <is>
          <t>Air-Pot (klón) perforált cserép</t>
        </is>
      </c>
    </row>
    <row r="8">
      <c r="A8" s="6" t="inlineStr">
        <is>
          <t>GRO1891</t>
        </is>
      </c>
      <c r="B8" s="6" t="inlineStr">
        <is>
          <t>Air-Pot klón 3 literes perforált, légáteresztő műanyag edény erős gyökérzethez</t>
        </is>
      </c>
      <c r="C8" s="6" t="inlineStr">
        <is>
          <t>Air-Pot cserép</t>
        </is>
      </c>
      <c r="D8" s="6" t="inlineStr"/>
      <c r="E8" s="6" t="inlineStr">
        <is>
          <t>Erős</t>
        </is>
      </c>
      <c r="F8" s="6" t="inlineStr">
        <is>
          <t>az elmúlt 30 napban</t>
        </is>
      </c>
      <c r="G8" s="6" t="inlineStr">
        <is>
          <t>Air-Pot (klón) perforált cserép</t>
        </is>
      </c>
    </row>
    <row r="9">
      <c r="A9" s="6" t="inlineStr">
        <is>
          <t>GRO1892</t>
        </is>
      </c>
      <c r="B9" s="6" t="inlineStr">
        <is>
          <t>Air-Pot klón 6 literes perforált, légáteresztő műanyag edény erős gyökérzethez</t>
        </is>
      </c>
      <c r="C9" s="6" t="inlineStr">
        <is>
          <t>Air-Pot cserép</t>
        </is>
      </c>
      <c r="D9" s="6" t="inlineStr"/>
      <c r="E9" s="6" t="inlineStr">
        <is>
          <t>Erős</t>
        </is>
      </c>
      <c r="F9" s="6" t="inlineStr">
        <is>
          <t>az elmúlt 30 napban</t>
        </is>
      </c>
      <c r="G9" s="6" t="inlineStr">
        <is>
          <t>Air-Pot (klón) perforált cserép</t>
        </is>
      </c>
    </row>
    <row r="10">
      <c r="A10" s="6" t="inlineStr">
        <is>
          <t>GRO1893</t>
        </is>
      </c>
      <c r="B10" s="6" t="inlineStr">
        <is>
          <t>Air-Pot klón 10 literes perforált, légáteresztő műanyag edény erős gyökérzethez</t>
        </is>
      </c>
      <c r="C10" s="6" t="inlineStr">
        <is>
          <t>Air-Pot cserép</t>
        </is>
      </c>
      <c r="D10" s="6" t="inlineStr"/>
      <c r="E10" s="6" t="inlineStr">
        <is>
          <t>Erős</t>
        </is>
      </c>
      <c r="F10" s="6" t="inlineStr">
        <is>
          <t>az elmúlt 30 napban</t>
        </is>
      </c>
      <c r="G10" s="6" t="inlineStr">
        <is>
          <t>Air-Pot (klón) perforált cserép</t>
        </is>
      </c>
    </row>
    <row r="11">
      <c r="A11" s="6" t="inlineStr">
        <is>
          <t>GRO1894</t>
        </is>
      </c>
      <c r="B11" s="6" t="inlineStr">
        <is>
          <t>Air-Pot klón 15 literes perforált, légáteresztő műanyag edény erős gyökérzethez</t>
        </is>
      </c>
      <c r="C11" s="6" t="inlineStr">
        <is>
          <t>Air-Pot cserép</t>
        </is>
      </c>
      <c r="D11" s="6" t="inlineStr"/>
      <c r="E11" s="6" t="inlineStr">
        <is>
          <t>Erős</t>
        </is>
      </c>
      <c r="F11" s="6" t="inlineStr">
        <is>
          <t>az elmúlt 30 napban</t>
        </is>
      </c>
      <c r="G11" s="6" t="inlineStr">
        <is>
          <t>Air-Pot (klón) perforált cserép</t>
        </is>
      </c>
    </row>
    <row r="12">
      <c r="A12" s="6" t="inlineStr">
        <is>
          <t>GRO1895</t>
        </is>
      </c>
      <c r="B12" s="6" t="inlineStr">
        <is>
          <t>Air-Pot klón 25 literes perforált, légáteresztő műanyag edény erős gyökérzethez</t>
        </is>
      </c>
      <c r="C12" s="6" t="inlineStr">
        <is>
          <t>Air-Pot cserép</t>
        </is>
      </c>
      <c r="D12" s="6" t="inlineStr"/>
      <c r="E12" s="6" t="inlineStr">
        <is>
          <t>Erős</t>
        </is>
      </c>
      <c r="F12" s="6" t="inlineStr">
        <is>
          <t>az elmúlt 30 napban</t>
        </is>
      </c>
      <c r="G12" s="6" t="inlineStr">
        <is>
          <t>Air-Pot (klón) perforált cserép</t>
        </is>
      </c>
    </row>
    <row r="13">
      <c r="A13" s="6" t="inlineStr">
        <is>
          <t>GRO2571</t>
        </is>
      </c>
      <c r="B13" s="6" t="inlineStr">
        <is>
          <t>Air-Pot klón 50 literes perforált, légáteresztő műanyag edény erős gyökérzethez</t>
        </is>
      </c>
      <c r="C13" s="6" t="inlineStr">
        <is>
          <t>Air-Pot cserép</t>
        </is>
      </c>
      <c r="D13" s="6" t="inlineStr">
        <is>
          <t>Nagy virágcserép</t>
        </is>
      </c>
      <c r="E13" s="6" t="inlineStr">
        <is>
          <t>Erős</t>
        </is>
      </c>
      <c r="F13" s="6" t="inlineStr">
        <is>
          <t>az elmúlt 30 napban</t>
        </is>
      </c>
      <c r="G13" s="6" t="inlineStr">
        <is>
          <t>Air-Pot klón 50 l</t>
        </is>
      </c>
    </row>
    <row r="14">
      <c r="A14" s="6" t="inlineStr">
        <is>
          <t>GRO3346</t>
        </is>
      </c>
      <c r="B14" s="6" t="inlineStr">
        <is>
          <t>Air-pot cserép 3 liter</t>
        </is>
      </c>
      <c r="C14" s="6" t="inlineStr">
        <is>
          <t>Air-Pot cserép</t>
        </is>
      </c>
      <c r="D14" s="6" t="inlineStr"/>
      <c r="E14" s="6" t="inlineStr">
        <is>
          <t>Erős</t>
        </is>
      </c>
      <c r="F14" s="6" t="inlineStr">
        <is>
          <t>az elmúlt 30 napban</t>
        </is>
      </c>
      <c r="G14" s="6" t="inlineStr">
        <is>
          <t>Air-Pot (klón) perforált cserép</t>
        </is>
      </c>
    </row>
    <row r="15">
      <c r="A15" s="6" t="inlineStr">
        <is>
          <t>GRO3525</t>
        </is>
      </c>
      <c r="B15" s="6" t="inlineStr">
        <is>
          <t>Air-pot cserép 5 liter</t>
        </is>
      </c>
      <c r="C15" s="6" t="inlineStr">
        <is>
          <t>Air-Pot cserép</t>
        </is>
      </c>
      <c r="D15" s="6" t="inlineStr"/>
      <c r="E15" s="6" t="inlineStr">
        <is>
          <t>Erős</t>
        </is>
      </c>
      <c r="F15" s="6" t="inlineStr">
        <is>
          <t>az elmúlt 30 napban</t>
        </is>
      </c>
      <c r="G15" s="6" t="inlineStr">
        <is>
          <t>Air-Pot (klón) perforált cserép</t>
        </is>
      </c>
    </row>
    <row r="16">
      <c r="A16" s="6" t="inlineStr">
        <is>
          <t>GRO3526</t>
        </is>
      </c>
      <c r="B16" s="6" t="inlineStr">
        <is>
          <t>Air-pot cserép 9 liter</t>
        </is>
      </c>
      <c r="C16" s="6" t="inlineStr">
        <is>
          <t>Air-Pot cserép</t>
        </is>
      </c>
      <c r="D16" s="6" t="inlineStr"/>
      <c r="E16" s="6" t="inlineStr">
        <is>
          <t>Erős</t>
        </is>
      </c>
      <c r="F16" s="6" t="inlineStr">
        <is>
          <t>az elmúlt 30 napban</t>
        </is>
      </c>
      <c r="G16" s="6" t="inlineStr">
        <is>
          <t>Air-Pot (klón) perforált cserép</t>
        </is>
      </c>
    </row>
    <row r="17">
      <c r="A17" s="6" t="inlineStr">
        <is>
          <t>GRO1049</t>
        </is>
      </c>
      <c r="B17" s="6" t="inlineStr">
        <is>
          <t>Szögletes műanyag virágcserép alátét 16 x 16 cm</t>
        </is>
      </c>
      <c r="C17" s="6" t="inlineStr">
        <is>
          <t>Cserépalátét</t>
        </is>
      </c>
      <c r="D17" s="6" t="inlineStr"/>
      <c r="E17" s="6" t="inlineStr">
        <is>
          <t>Erős</t>
        </is>
      </c>
      <c r="F17" s="6" t="inlineStr">
        <is>
          <t>az elmúlt 30 napban</t>
        </is>
      </c>
      <c r="G17" s="6" t="inlineStr">
        <is>
          <t>Szögletes cserépalátét</t>
        </is>
      </c>
    </row>
    <row r="18">
      <c r="A18" s="6" t="inlineStr">
        <is>
          <t>GRO1184</t>
        </is>
      </c>
      <c r="B18" s="6" t="inlineStr">
        <is>
          <t>Szögletes műanyag virágcserép alátét 13,5 x 13,5 cm</t>
        </is>
      </c>
      <c r="C18" s="6" t="inlineStr">
        <is>
          <t>Cserépalátét</t>
        </is>
      </c>
      <c r="D18" s="6" t="inlineStr"/>
      <c r="E18" s="6" t="inlineStr">
        <is>
          <t>Erős</t>
        </is>
      </c>
      <c r="F18" s="6" t="inlineStr">
        <is>
          <t>az elmúlt 30 napban</t>
        </is>
      </c>
      <c r="G18" s="6" t="inlineStr">
        <is>
          <t>Szögletes cserépalátét</t>
        </is>
      </c>
    </row>
    <row r="19">
      <c r="A19" s="6" t="inlineStr">
        <is>
          <t>GRO1185</t>
        </is>
      </c>
      <c r="B19" s="6" t="inlineStr">
        <is>
          <t>Szögletes műanyag virágcserép alátét 14 x 14 cm</t>
        </is>
      </c>
      <c r="C19" s="6" t="inlineStr">
        <is>
          <t>Cserépalátét</t>
        </is>
      </c>
      <c r="D19" s="6" t="inlineStr"/>
      <c r="E19" s="6" t="inlineStr">
        <is>
          <t>Erős</t>
        </is>
      </c>
      <c r="F19" s="6" t="inlineStr">
        <is>
          <t>az elmúlt 30 napban</t>
        </is>
      </c>
      <c r="G19" s="6" t="inlineStr">
        <is>
          <t>Szögletes cserépalátét</t>
        </is>
      </c>
    </row>
    <row r="20">
      <c r="A20" s="6" t="inlineStr">
        <is>
          <t>GRO1190</t>
        </is>
      </c>
      <c r="B20" s="6" t="inlineStr">
        <is>
          <t>Szögletes műanyag virágcserép alátét 24 x 24 cm</t>
        </is>
      </c>
      <c r="C20" s="6" t="inlineStr">
        <is>
          <t>Cserépalátét</t>
        </is>
      </c>
      <c r="D20" s="6" t="inlineStr"/>
      <c r="E20" s="6" t="inlineStr">
        <is>
          <t>Erős</t>
        </is>
      </c>
      <c r="F20" s="6" t="inlineStr">
        <is>
          <t>az elmúlt 30 napban</t>
        </is>
      </c>
      <c r="G20" s="6" t="inlineStr">
        <is>
          <t>Szögletes cserépalátét</t>
        </is>
      </c>
    </row>
    <row r="21">
      <c r="A21" s="6" t="inlineStr">
        <is>
          <t>GRO1262</t>
        </is>
      </c>
      <c r="B21" s="6" t="inlineStr">
        <is>
          <t>Szögletes műanyag virágcserép alátét 25 x 25 cm</t>
        </is>
      </c>
      <c r="C21" s="6" t="inlineStr">
        <is>
          <t>Cserépalátét</t>
        </is>
      </c>
      <c r="D21" s="6" t="inlineStr"/>
      <c r="E21" s="6" t="inlineStr">
        <is>
          <t>Erős</t>
        </is>
      </c>
      <c r="F21" s="6" t="inlineStr">
        <is>
          <t>az elmúlt 30 napban</t>
        </is>
      </c>
      <c r="G21" s="6" t="inlineStr">
        <is>
          <t>Szögletes cserépalátét</t>
        </is>
      </c>
    </row>
    <row r="22">
      <c r="A22" s="6" t="inlineStr">
        <is>
          <t>GRO1813</t>
        </is>
      </c>
      <c r="B22" s="6" t="inlineStr">
        <is>
          <t>Szögletes műanyag virágcserép alátét 10,5 x 10,5 cm</t>
        </is>
      </c>
      <c r="C22" s="6" t="inlineStr">
        <is>
          <t>Cserépalátét</t>
        </is>
      </c>
      <c r="D22" s="6" t="inlineStr"/>
      <c r="E22" s="6" t="inlineStr">
        <is>
          <t>Erős</t>
        </is>
      </c>
      <c r="F22" s="6" t="inlineStr">
        <is>
          <t>az elmúlt 30 napban</t>
        </is>
      </c>
      <c r="G22" s="6" t="inlineStr">
        <is>
          <t>Szögletes cserépalátét</t>
        </is>
      </c>
    </row>
    <row r="23">
      <c r="A23" s="6" t="inlineStr">
        <is>
          <t>GRO1814</t>
        </is>
      </c>
      <c r="B23" s="6" t="inlineStr">
        <is>
          <t>Szögletes műanyag virágcserép alátét 19.5x19.5</t>
        </is>
      </c>
      <c r="C23" s="6" t="inlineStr">
        <is>
          <t>Cserépalátét</t>
        </is>
      </c>
      <c r="D23" s="6" t="inlineStr"/>
      <c r="E23" s="6" t="inlineStr">
        <is>
          <t>Erős</t>
        </is>
      </c>
      <c r="F23" s="6" t="inlineStr">
        <is>
          <t>az elmúlt 30 napban</t>
        </is>
      </c>
      <c r="G23" s="6" t="inlineStr">
        <is>
          <t>Szögletes cserépalátét</t>
        </is>
      </c>
    </row>
    <row r="24">
      <c r="A24" s="6" t="inlineStr">
        <is>
          <t>GRO2105</t>
        </is>
      </c>
      <c r="B24" s="6" t="inlineStr">
        <is>
          <t>Szögletes műanyag virágcserép alátét 17.5x17.5</t>
        </is>
      </c>
      <c r="C24" s="6" t="inlineStr">
        <is>
          <t>Cserépalátét</t>
        </is>
      </c>
      <c r="D24" s="6" t="inlineStr"/>
      <c r="E24" s="6" t="inlineStr">
        <is>
          <t>Erős</t>
        </is>
      </c>
      <c r="F24" s="6" t="inlineStr">
        <is>
          <t>az elmúlt 6 hónapban</t>
        </is>
      </c>
      <c r="G24" s="6" t="inlineStr">
        <is>
          <t>Szögletes cserépalátét</t>
        </is>
      </c>
    </row>
    <row r="25">
      <c r="A25" s="6" t="inlineStr">
        <is>
          <t>GRO2106</t>
        </is>
      </c>
      <c r="B25" s="6" t="inlineStr">
        <is>
          <t>Szögletes műanyag virágcserép alátét 20,5 x 20,5 cm</t>
        </is>
      </c>
      <c r="C25" s="6" t="inlineStr">
        <is>
          <t>Cserépalátét</t>
        </is>
      </c>
      <c r="D25" s="6" t="inlineStr"/>
      <c r="E25" s="6" t="inlineStr">
        <is>
          <t>Erős</t>
        </is>
      </c>
      <c r="F25" s="6" t="inlineStr">
        <is>
          <t>az elmúlt 30 napban</t>
        </is>
      </c>
      <c r="G25" s="6" t="inlineStr">
        <is>
          <t>Szögletes cserépalátét</t>
        </is>
      </c>
    </row>
    <row r="26">
      <c r="A26" s="6" t="inlineStr">
        <is>
          <t>GRO3717</t>
        </is>
      </c>
      <c r="B26" s="6" t="inlineStr">
        <is>
          <t>Kerek műanyag virágcserép alátét</t>
        </is>
      </c>
      <c r="C26" s="6" t="inlineStr">
        <is>
          <t>Cserépalátét</t>
        </is>
      </c>
      <c r="D26" s="6" t="inlineStr"/>
      <c r="E26" s="6" t="inlineStr">
        <is>
          <t>Erős</t>
        </is>
      </c>
      <c r="F26" s="6" t="inlineStr">
        <is>
          <t>az elmúlt 30 napban</t>
        </is>
      </c>
      <c r="G26" s="6" t="inlineStr">
        <is>
          <t>Kerek cserépalátét</t>
        </is>
      </c>
    </row>
    <row r="27">
      <c r="A27" s="9" t="inlineStr">
        <is>
          <t>GRO4298</t>
        </is>
      </c>
      <c r="B27" s="9" t="inlineStr">
        <is>
          <t>AC Infinity Víztartályos alátét 4 db 3,7 L (19 L szövetcseréphez)</t>
        </is>
      </c>
      <c r="C27" s="9" t="inlineStr">
        <is>
          <t>Cserépalátét</t>
        </is>
      </c>
      <c r="D27" s="9" t="inlineStr"/>
      <c r="E27" s="9" t="inlineStr">
        <is>
          <t>Laza</t>
        </is>
      </c>
      <c r="F27" s="9" t="inlineStr">
        <is>
          <t>az elmúlt 30 napban</t>
        </is>
      </c>
      <c r="G27" s="9" t="inlineStr">
        <is>
          <t>Víztartályos (önöntöző) alátét szövetcseréphez</t>
        </is>
      </c>
    </row>
    <row r="28">
      <c r="A28" s="6" t="inlineStr">
        <is>
          <t>GRO4408</t>
        </is>
      </c>
      <c r="B28" s="6" t="inlineStr">
        <is>
          <t>Cserépalátét univerzális tálca 72x50 cm</t>
        </is>
      </c>
      <c r="C28" s="6" t="inlineStr">
        <is>
          <t>Cserépalátét</t>
        </is>
      </c>
      <c r="D28" s="6" t="inlineStr">
        <is>
          <t>Műanyag tálca, árapály asztal</t>
        </is>
      </c>
      <c r="E28" s="6" t="inlineStr">
        <is>
          <t>Erős</t>
        </is>
      </c>
      <c r="F28" s="6" t="inlineStr">
        <is>
          <t>az elmúlt 6 hónapban</t>
        </is>
      </c>
      <c r="G28" s="6" t="inlineStr">
        <is>
          <t>Univerzális alátéttálca</t>
        </is>
      </c>
    </row>
    <row r="29">
      <c r="A29" s="6" t="inlineStr">
        <is>
          <t>GRO4654</t>
        </is>
      </c>
      <c r="B29" s="6" t="inlineStr">
        <is>
          <t>Kerek cserépalátét fekete, 18 cm átmérővel</t>
        </is>
      </c>
      <c r="C29" s="6" t="inlineStr">
        <is>
          <t>Cserépalátét</t>
        </is>
      </c>
      <c r="D29" s="6" t="inlineStr"/>
      <c r="E29" s="6" t="inlineStr">
        <is>
          <t>Erős</t>
        </is>
      </c>
      <c r="F29" s="6" t="inlineStr">
        <is>
          <t>az elmúlt 30 napban</t>
        </is>
      </c>
      <c r="G29" s="6" t="inlineStr">
        <is>
          <t>Kerek cserépalátét</t>
        </is>
      </c>
    </row>
    <row r="30">
      <c r="A30" s="6" t="inlineStr">
        <is>
          <t>GRO4655</t>
        </is>
      </c>
      <c r="B30" s="6" t="inlineStr">
        <is>
          <t>Kerek cserépalátét, fekete, 20 cm átmérő</t>
        </is>
      </c>
      <c r="C30" s="6" t="inlineStr">
        <is>
          <t>Cserépalátét</t>
        </is>
      </c>
      <c r="D30" s="6" t="inlineStr"/>
      <c r="E30" s="6" t="inlineStr">
        <is>
          <t>Erős</t>
        </is>
      </c>
      <c r="F30" s="6" t="inlineStr">
        <is>
          <t>az elmúlt 30 napban</t>
        </is>
      </c>
      <c r="G30" s="6" t="inlineStr">
        <is>
          <t>Kerek cserépalátét</t>
        </is>
      </c>
    </row>
    <row r="31">
      <c r="A31" s="6" t="inlineStr">
        <is>
          <t>GRO4656</t>
        </is>
      </c>
      <c r="B31" s="6" t="inlineStr">
        <is>
          <t>Kerek cserépalátét, fekete, 30 cm átmérő</t>
        </is>
      </c>
      <c r="C31" s="6" t="inlineStr">
        <is>
          <t>Cserépalátét</t>
        </is>
      </c>
      <c r="D31" s="6" t="inlineStr"/>
      <c r="E31" s="6" t="inlineStr">
        <is>
          <t>Erős</t>
        </is>
      </c>
      <c r="F31" s="6" t="inlineStr">
        <is>
          <t>az elmúlt 30 napban</t>
        </is>
      </c>
      <c r="G31" s="6" t="inlineStr">
        <is>
          <t>Kerek cserépalátét</t>
        </is>
      </c>
    </row>
    <row r="32">
      <c r="A32" s="6" t="inlineStr">
        <is>
          <t>GRO4659</t>
        </is>
      </c>
      <c r="B32" s="6" t="inlineStr">
        <is>
          <t>Fekete kerek cserépalátét, 35 cm átmérő</t>
        </is>
      </c>
      <c r="C32" s="6" t="inlineStr">
        <is>
          <t>Cserépalátét</t>
        </is>
      </c>
      <c r="D32" s="6" t="inlineStr"/>
      <c r="E32" s="6" t="inlineStr">
        <is>
          <t>Erős</t>
        </is>
      </c>
      <c r="F32" s="6" t="inlineStr">
        <is>
          <t>az elmúlt 30 napban</t>
        </is>
      </c>
      <c r="G32" s="6" t="inlineStr">
        <is>
          <t>Kerek cserépalátét</t>
        </is>
      </c>
    </row>
    <row r="33">
      <c r="A33" s="19" t="inlineStr">
        <is>
          <t>GRO1812</t>
        </is>
      </c>
      <c r="B33" s="19" t="inlineStr">
        <is>
          <t>Kerek műanyag esővízgyűjtő tartály 240 literes, UV-stabilizált polietilén</t>
        </is>
      </c>
      <c r="C33" s="19" t="inlineStr">
        <is>
          <t>Esővízgyűjtő, víztartály</t>
        </is>
      </c>
      <c r="D33" s="19" t="inlineStr"/>
      <c r="E33" s="19" t="inlineStr">
        <is>
          <t>Más főkategória</t>
        </is>
      </c>
      <c r="F33" s="19" t="inlineStr">
        <is>
          <t>az elmúlt 30 napban</t>
        </is>
      </c>
      <c r="G33" s="19" t="inlineStr">
        <is>
          <t>Esővízgyűjtő / összecsukható víztartály</t>
        </is>
      </c>
    </row>
    <row r="34">
      <c r="A34" s="19" t="inlineStr">
        <is>
          <t>GRO1958</t>
        </is>
      </c>
      <c r="B34" s="19" t="inlineStr">
        <is>
          <t>Összecsukható víztartály Neptune Hydroponics FlexiTank klón 250 liter</t>
        </is>
      </c>
      <c r="C34" s="19" t="inlineStr">
        <is>
          <t>Esővízgyűjtő, víztartály</t>
        </is>
      </c>
      <c r="D34" s="19" t="inlineStr"/>
      <c r="E34" s="19" t="inlineStr">
        <is>
          <t>Más főkategória</t>
        </is>
      </c>
      <c r="F34" s="19" t="inlineStr">
        <is>
          <t>az elmúlt 30 napban</t>
        </is>
      </c>
      <c r="G34" s="19" t="inlineStr">
        <is>
          <t>Esővízgyűjtő / összecsukható víztartály</t>
        </is>
      </c>
    </row>
    <row r="35">
      <c r="A35" s="19" t="inlineStr">
        <is>
          <t>GRO2244</t>
        </is>
      </c>
      <c r="B35" s="19" t="inlineStr">
        <is>
          <t>FlexiTank összecsukható víztartály 400 liter</t>
        </is>
      </c>
      <c r="C35" s="19" t="inlineStr">
        <is>
          <t>Esővízgyűjtő, víztartály</t>
        </is>
      </c>
      <c r="D35" s="19" t="inlineStr"/>
      <c r="E35" s="19" t="inlineStr">
        <is>
          <t>Más főkategória</t>
        </is>
      </c>
      <c r="F35" s="19" t="inlineStr">
        <is>
          <t>az elmúlt 6 hónapban</t>
        </is>
      </c>
      <c r="G35" s="19" t="inlineStr">
        <is>
          <t>Esővízgyűjtő / összecsukható víztartály</t>
        </is>
      </c>
    </row>
    <row r="36">
      <c r="A36" s="19" t="inlineStr">
        <is>
          <t>GRO2637</t>
        </is>
      </c>
      <c r="B36" s="19" t="inlineStr">
        <is>
          <t>Összecsukható víztartály Neptune Hydroponics FlexiTank klón 500 liter</t>
        </is>
      </c>
      <c r="C36" s="19" t="inlineStr">
        <is>
          <t>Esővízgyűjtő, víztartály</t>
        </is>
      </c>
      <c r="D36" s="19" t="inlineStr"/>
      <c r="E36" s="19" t="inlineStr">
        <is>
          <t>Más főkategória</t>
        </is>
      </c>
      <c r="F36" s="19" t="inlineStr">
        <is>
          <t>az elmúlt 30 napban</t>
        </is>
      </c>
      <c r="G36" s="19" t="inlineStr">
        <is>
          <t>Esővízgyűjtő / összecsukható víztartály</t>
        </is>
      </c>
    </row>
    <row r="37">
      <c r="A37" s="19" t="inlineStr">
        <is>
          <t>GRO2638</t>
        </is>
      </c>
      <c r="B37" s="19" t="inlineStr">
        <is>
          <t>Összecsukható víztartály Neptune Hydroponics FlexiTank klón 1000 liter</t>
        </is>
      </c>
      <c r="C37" s="19" t="inlineStr">
        <is>
          <t>Esővízgyűjtő, víztartály</t>
        </is>
      </c>
      <c r="D37" s="19" t="inlineStr"/>
      <c r="E37" s="19" t="inlineStr">
        <is>
          <t>Más főkategória</t>
        </is>
      </c>
      <c r="F37" s="19" t="inlineStr">
        <is>
          <t>az elmúlt 30 napban</t>
        </is>
      </c>
      <c r="G37" s="19" t="inlineStr">
        <is>
          <t>Esővízgyűjtő / összecsukható víztartály</t>
        </is>
      </c>
    </row>
    <row r="38">
      <c r="A38" s="19" t="inlineStr">
        <is>
          <t>GRO0663</t>
        </is>
      </c>
      <c r="B38" s="19" t="inlineStr">
        <is>
          <t>Hidrokosár 8 cm rácsos hidro cserép hidropóniás rendszerekhez</t>
        </is>
      </c>
      <c r="C38" s="19" t="inlineStr">
        <is>
          <t>Hidro ág – hidro cserép, hidrokosár</t>
        </is>
      </c>
      <c r="D38" s="19" t="inlineStr"/>
      <c r="E38" s="19" t="inlineStr">
        <is>
          <t>Más főkategória</t>
        </is>
      </c>
      <c r="F38" s="19" t="inlineStr">
        <is>
          <t>az elmúlt 30 napban</t>
        </is>
      </c>
      <c r="G38" s="19" t="inlineStr">
        <is>
          <t>Hidrokosár / hidro cserép</t>
        </is>
      </c>
    </row>
    <row r="39">
      <c r="A39" s="19" t="inlineStr">
        <is>
          <t>GRO1291</t>
        </is>
      </c>
      <c r="B39" s="19" t="inlineStr">
        <is>
          <t>Hidrokosár 5,5 cm rácsos hidro cserép hidropóniás rendszerekhez</t>
        </is>
      </c>
      <c r="C39" s="19" t="inlineStr">
        <is>
          <t>Hidro ág – hidro cserép, hidrokosár</t>
        </is>
      </c>
      <c r="D39" s="19" t="inlineStr"/>
      <c r="E39" s="19" t="inlineStr">
        <is>
          <t>Más főkategória</t>
        </is>
      </c>
      <c r="F39" s="19" t="inlineStr">
        <is>
          <t>az elmúlt 30 napban</t>
        </is>
      </c>
      <c r="G39" s="19" t="inlineStr">
        <is>
          <t>Hidrokosár / hidro cserép</t>
        </is>
      </c>
    </row>
    <row r="40">
      <c r="A40" s="9" t="inlineStr">
        <is>
          <t>GRO3348</t>
        </is>
      </c>
      <c r="B40" s="9" t="inlineStr">
        <is>
          <t>Venti Pot hidro cserép 3,5 liter</t>
        </is>
      </c>
      <c r="C40" s="9" t="inlineStr">
        <is>
          <t>Hidro ág – hidro cserép, hidrokosár</t>
        </is>
      </c>
      <c r="D40" s="9" t="inlineStr">
        <is>
          <t>Air-Pot cserép</t>
        </is>
      </c>
      <c r="E40" s="9" t="inlineStr">
        <is>
          <t>Laza</t>
        </is>
      </c>
      <c r="F40" s="9" t="inlineStr">
        <is>
          <t>az elmúlt 6 hónapban</t>
        </is>
      </c>
      <c r="G40" s="9" t="inlineStr">
        <is>
          <t>Venti Pot – perforált hidro cserép</t>
        </is>
      </c>
    </row>
    <row r="41">
      <c r="A41" s="9" t="inlineStr">
        <is>
          <t>GRO3349</t>
        </is>
      </c>
      <c r="B41" s="9" t="inlineStr">
        <is>
          <t>Venti Pot hidro cserép 12 liter</t>
        </is>
      </c>
      <c r="C41" s="9" t="inlineStr">
        <is>
          <t>Hidro ág – hidro cserép, hidrokosár</t>
        </is>
      </c>
      <c r="D41" s="9" t="inlineStr">
        <is>
          <t>Air-Pot cserép</t>
        </is>
      </c>
      <c r="E41" s="9" t="inlineStr">
        <is>
          <t>Laza</t>
        </is>
      </c>
      <c r="F41" s="9" t="inlineStr">
        <is>
          <t>az elmúlt 30 napban</t>
        </is>
      </c>
      <c r="G41" s="9" t="inlineStr">
        <is>
          <t>Venti Pot – perforált hidro cserép</t>
        </is>
      </c>
    </row>
    <row r="42">
      <c r="A42" s="9" t="inlineStr">
        <is>
          <t>GRO3350</t>
        </is>
      </c>
      <c r="B42" s="9" t="inlineStr">
        <is>
          <t>Venti Pot hidro cserép 25 liter</t>
        </is>
      </c>
      <c r="C42" s="9" t="inlineStr">
        <is>
          <t>Hidro ág – hidro cserép, hidrokosár</t>
        </is>
      </c>
      <c r="D42" s="9" t="inlineStr">
        <is>
          <t>Air-Pot cserép</t>
        </is>
      </c>
      <c r="E42" s="9" t="inlineStr">
        <is>
          <t>Laza</t>
        </is>
      </c>
      <c r="F42" s="9" t="inlineStr">
        <is>
          <t>az elmúlt 30 napban</t>
        </is>
      </c>
      <c r="G42" s="9" t="inlineStr">
        <is>
          <t>Venti Pot – perforált hidro cserép</t>
        </is>
      </c>
    </row>
    <row r="43">
      <c r="A43" s="19" t="inlineStr">
        <is>
          <t>GRO3378</t>
        </is>
      </c>
      <c r="B43" s="19" t="inlineStr">
        <is>
          <t>Hydro cserép (12,5 cm átmérő)</t>
        </is>
      </c>
      <c r="C43" s="19" t="inlineStr">
        <is>
          <t>Hidro ág – hidro cserép, hidrokosár</t>
        </is>
      </c>
      <c r="D43" s="19" t="inlineStr"/>
      <c r="E43" s="19" t="inlineStr">
        <is>
          <t>Más főkategória</t>
        </is>
      </c>
      <c r="F43" s="19" t="inlineStr">
        <is>
          <t>2024-10 – 2025-09 (lehet, hogy már nem aktív)</t>
        </is>
      </c>
      <c r="G43" s="19" t="inlineStr">
        <is>
          <t>Hidrokosár / hidro cserép</t>
        </is>
      </c>
    </row>
    <row r="44">
      <c r="A44" s="19" t="inlineStr">
        <is>
          <t>GRO4309</t>
        </is>
      </c>
      <c r="B44" s="19" t="inlineStr">
        <is>
          <t>Hydro kosár univerzális DWC d: 22 cm h: 14 cm</t>
        </is>
      </c>
      <c r="C44" s="19" t="inlineStr">
        <is>
          <t>Hidro ág – hidro cserép, hidrokosár</t>
        </is>
      </c>
      <c r="D44" s="19" t="inlineStr"/>
      <c r="E44" s="19" t="inlineStr">
        <is>
          <t>Más főkategória</t>
        </is>
      </c>
      <c r="F44" s="19" t="inlineStr">
        <is>
          <t>az elmúlt 30 napban</t>
        </is>
      </c>
      <c r="G44" s="19" t="inlineStr">
        <is>
          <t>Hidrokosár / hidro cserép</t>
        </is>
      </c>
    </row>
    <row r="45">
      <c r="A45" s="9" t="inlineStr">
        <is>
          <t>GRO4696</t>
        </is>
      </c>
      <c r="B45" s="9" t="inlineStr">
        <is>
          <t>UGro Coco Pot4 Basic kókuszrost ültetőzsák 4 L, préselt kókusztömb</t>
        </is>
      </c>
      <c r="C45" s="9" t="inlineStr">
        <is>
          <t>Közegek – kókuszrost</t>
        </is>
      </c>
      <c r="D45" s="9" t="inlineStr">
        <is>
          <t>Szövetcserép, ültetőzsák</t>
        </is>
      </c>
      <c r="E45" s="9" t="inlineStr">
        <is>
          <t>Laza</t>
        </is>
      </c>
      <c r="F45" s="9" t="inlineStr">
        <is>
          <t>az elmúlt 6 hónapban</t>
        </is>
      </c>
      <c r="G45" s="9" t="inlineStr">
        <is>
          <t>Kókuszrost ültetőzsák (közeg + edény)</t>
        </is>
      </c>
    </row>
    <row r="46">
      <c r="A46" s="9" t="inlineStr">
        <is>
          <t>GRO4698</t>
        </is>
      </c>
      <c r="B46" s="9" t="inlineStr">
        <is>
          <t>Kókuszrost ültetőzsák UGro Coco Pot9 Basic 9 L, préselt kókusztömb</t>
        </is>
      </c>
      <c r="C46" s="9" t="inlineStr">
        <is>
          <t>Közegek – kókuszrost</t>
        </is>
      </c>
      <c r="D46" s="9" t="inlineStr">
        <is>
          <t>Szövetcserép, ültetőzsák</t>
        </is>
      </c>
      <c r="E46" s="9" t="inlineStr">
        <is>
          <t>Laza</t>
        </is>
      </c>
      <c r="F46" s="9" t="inlineStr">
        <is>
          <t>az elmúlt 6 hónapban</t>
        </is>
      </c>
      <c r="G46" s="9" t="inlineStr">
        <is>
          <t>Kókuszrost ültetőzsák (közeg + edény)</t>
        </is>
      </c>
    </row>
    <row r="47">
      <c r="A47" s="19" t="inlineStr">
        <is>
          <t>GRO3661</t>
        </is>
      </c>
      <c r="B47" s="19" t="inlineStr">
        <is>
          <t>Garland Microgreens tálca lyukakkal (56×28×3 cm)</t>
        </is>
      </c>
      <c r="C47" s="19" t="inlineStr">
        <is>
          <t>Mikrozöld termesztés – mikrozöld tálca</t>
        </is>
      </c>
      <c r="D47" s="19" t="inlineStr"/>
      <c r="E47" s="19" t="inlineStr">
        <is>
          <t>Más főkategória</t>
        </is>
      </c>
      <c r="F47" s="19" t="inlineStr">
        <is>
          <t>az elmúlt 30 napban</t>
        </is>
      </c>
      <c r="G47" s="19" t="inlineStr">
        <is>
          <t>Mikrozöld tálca</t>
        </is>
      </c>
    </row>
    <row r="48">
      <c r="A48" s="19" t="inlineStr">
        <is>
          <t>GRO3662</t>
        </is>
      </c>
      <c r="B48" s="19" t="inlineStr">
        <is>
          <t>Garland Microgreens tálca lyukak nélkül (56×28×3 cm)</t>
        </is>
      </c>
      <c r="C48" s="19" t="inlineStr">
        <is>
          <t>Mikrozöld termesztés – mikrozöld tálca</t>
        </is>
      </c>
      <c r="D48" s="19" t="inlineStr"/>
      <c r="E48" s="19" t="inlineStr">
        <is>
          <t>Más főkategória</t>
        </is>
      </c>
      <c r="F48" s="19" t="inlineStr">
        <is>
          <t>az elmúlt 30 napban</t>
        </is>
      </c>
      <c r="G48" s="19" t="inlineStr">
        <is>
          <t>Mikrozöld tálca</t>
        </is>
      </c>
    </row>
    <row r="49">
      <c r="A49" s="19" t="inlineStr">
        <is>
          <t>GRO4358</t>
        </is>
      </c>
      <c r="B49" s="19" t="inlineStr">
        <is>
          <t>Garland Microgreens tálca lyukakkal 56x28x6 cm</t>
        </is>
      </c>
      <c r="C49" s="19" t="inlineStr">
        <is>
          <t>Mikrozöld termesztés – mikrozöld tálca</t>
        </is>
      </c>
      <c r="D49" s="19" t="inlineStr"/>
      <c r="E49" s="19" t="inlineStr">
        <is>
          <t>Más főkategória</t>
        </is>
      </c>
      <c r="F49" s="19" t="inlineStr">
        <is>
          <t>az elmúlt 30 napban</t>
        </is>
      </c>
      <c r="G49" s="19" t="inlineStr">
        <is>
          <t>Mikrozöld tálca</t>
        </is>
      </c>
    </row>
    <row r="50">
      <c r="A50" s="19" t="inlineStr">
        <is>
          <t>GRO4359</t>
        </is>
      </c>
      <c r="B50" s="19" t="inlineStr">
        <is>
          <t>Garland Microgreens tálca lyukak nélkül 56x28x6 cm</t>
        </is>
      </c>
      <c r="C50" s="19" t="inlineStr">
        <is>
          <t>Mikrozöld termesztés – mikrozöld tálca</t>
        </is>
      </c>
      <c r="D50" s="19" t="inlineStr"/>
      <c r="E50" s="19" t="inlineStr">
        <is>
          <t>Más főkategória</t>
        </is>
      </c>
      <c r="F50" s="19" t="inlineStr">
        <is>
          <t>az elmúlt 30 napban</t>
        </is>
      </c>
      <c r="G50" s="19" t="inlineStr">
        <is>
          <t>Mikrozöld tálca</t>
        </is>
      </c>
    </row>
    <row r="51">
      <c r="A51" s="19" t="inlineStr">
        <is>
          <t>GRO4636</t>
        </is>
      </c>
      <c r="B51" s="19" t="inlineStr">
        <is>
          <t>Mikrozöld magvető tálca 61,5x33x3 cm</t>
        </is>
      </c>
      <c r="C51" s="19" t="inlineStr">
        <is>
          <t>Mikrozöld termesztés – mikrozöld tálca</t>
        </is>
      </c>
      <c r="D51" s="19" t="inlineStr"/>
      <c r="E51" s="19" t="inlineStr">
        <is>
          <t>Más főkategória</t>
        </is>
      </c>
      <c r="F51" s="19" t="inlineStr">
        <is>
          <t>az elmúlt 30 napban</t>
        </is>
      </c>
      <c r="G51" s="19" t="inlineStr">
        <is>
          <t>Mikrozöld tálca</t>
        </is>
      </c>
    </row>
    <row r="52">
      <c r="A52" s="19" t="inlineStr">
        <is>
          <t>GRO4637</t>
        </is>
      </c>
      <c r="B52" s="19" t="inlineStr">
        <is>
          <t>Mikrozöld magvető tálca, lyukacsos, 59x29x7 cm</t>
        </is>
      </c>
      <c r="C52" s="19" t="inlineStr">
        <is>
          <t>Mikrozöld termesztés – mikrozöld tálca</t>
        </is>
      </c>
      <c r="D52" s="19" t="inlineStr"/>
      <c r="E52" s="19" t="inlineStr">
        <is>
          <t>Más főkategória</t>
        </is>
      </c>
      <c r="F52" s="19" t="inlineStr">
        <is>
          <t>az elmúlt 30 napban</t>
        </is>
      </c>
      <c r="G52" s="19" t="inlineStr">
        <is>
          <t>Mikrozöld tálca</t>
        </is>
      </c>
    </row>
    <row r="53">
      <c r="A53" s="6" t="inlineStr">
        <is>
          <t>GRO0054</t>
        </is>
      </c>
      <c r="B53" s="6" t="inlineStr">
        <is>
          <t>Dán tálca apály-dagály alátét 106 x 33 cm árasztásos rendszerhez</t>
        </is>
      </c>
      <c r="C53" s="6" t="inlineStr">
        <is>
          <t>Műanyag tálca, árapály asztal</t>
        </is>
      </c>
      <c r="D53" s="6" t="inlineStr"/>
      <c r="E53" s="6" t="inlineStr">
        <is>
          <t>Erős</t>
        </is>
      </c>
      <c r="F53" s="6" t="inlineStr">
        <is>
          <t>az elmúlt 30 napban</t>
        </is>
      </c>
      <c r="G53" s="6" t="inlineStr">
        <is>
          <t>Dán tálca – apály-dagály (árapály) rendszer</t>
        </is>
      </c>
    </row>
    <row r="54">
      <c r="A54" s="6" t="inlineStr">
        <is>
          <t>GRO0056</t>
        </is>
      </c>
      <c r="B54" s="6" t="inlineStr">
        <is>
          <t>Dán tálca apály-dagály alátét 106 x 102 cm árasztásos rendszerhez</t>
        </is>
      </c>
      <c r="C54" s="6" t="inlineStr">
        <is>
          <t>Műanyag tálca, árapály asztal</t>
        </is>
      </c>
      <c r="D54" s="6" t="inlineStr"/>
      <c r="E54" s="6" t="inlineStr">
        <is>
          <t>Erős</t>
        </is>
      </c>
      <c r="F54" s="6" t="inlineStr">
        <is>
          <t>az elmúlt 30 napban</t>
        </is>
      </c>
      <c r="G54" s="6" t="inlineStr">
        <is>
          <t>Dán tálca – apály-dagály (árapály) rendszer</t>
        </is>
      </c>
    </row>
    <row r="55">
      <c r="A55" s="6" t="inlineStr">
        <is>
          <t>GRO0057</t>
        </is>
      </c>
      <c r="B55" s="6" t="inlineStr">
        <is>
          <t>Dán tálca apály-dagály alátét 106 x 202 cm árasztásos rendszerhez</t>
        </is>
      </c>
      <c r="C55" s="6" t="inlineStr">
        <is>
          <t>Műanyag tálca, árapály asztal</t>
        </is>
      </c>
      <c r="D55" s="6" t="inlineStr"/>
      <c r="E55" s="6" t="inlineStr">
        <is>
          <t>Erős</t>
        </is>
      </c>
      <c r="F55" s="6" t="inlineStr">
        <is>
          <t>az elmúlt 30 napban</t>
        </is>
      </c>
      <c r="G55" s="6" t="inlineStr">
        <is>
          <t>Dán tálca – apály-dagály (árapály) rendszer</t>
        </is>
      </c>
    </row>
    <row r="56">
      <c r="A56" s="6" t="inlineStr">
        <is>
          <t>GRO1417</t>
        </is>
      </c>
      <c r="B56" s="6" t="inlineStr">
        <is>
          <t>Dán tálca apály-dagály alátét 106 x 63 cm árasztásos rendszerhez</t>
        </is>
      </c>
      <c r="C56" s="6" t="inlineStr">
        <is>
          <t>Műanyag tálca, árapály asztal</t>
        </is>
      </c>
      <c r="D56" s="6" t="inlineStr"/>
      <c r="E56" s="6" t="inlineStr">
        <is>
          <t>Erős</t>
        </is>
      </c>
      <c r="F56" s="6" t="inlineStr">
        <is>
          <t>az elmúlt 30 napban</t>
        </is>
      </c>
      <c r="G56" s="6" t="inlineStr">
        <is>
          <t>Dán tálca – apály-dagály (árapály) rendszer</t>
        </is>
      </c>
    </row>
    <row r="57">
      <c r="A57" s="6" t="inlineStr">
        <is>
          <t>GRO1462</t>
        </is>
      </c>
      <c r="B57" s="6" t="inlineStr">
        <is>
          <t>Garland tálca (12 cm magas) M</t>
        </is>
      </c>
      <c r="C57" s="6" t="inlineStr">
        <is>
          <t>Műanyag tálca, árapály asztal</t>
        </is>
      </c>
      <c r="D57" s="6" t="inlineStr">
        <is>
          <t>Cserépalátét</t>
        </is>
      </c>
      <c r="E57" s="6" t="inlineStr">
        <is>
          <t>Erős</t>
        </is>
      </c>
      <c r="F57" s="6" t="inlineStr">
        <is>
          <t>az elmúlt 6 hónapban</t>
        </is>
      </c>
      <c r="G57" s="6" t="inlineStr">
        <is>
          <t>Garland tálca (5–15 cm perem)</t>
        </is>
      </c>
    </row>
    <row r="58">
      <c r="A58" s="6" t="inlineStr">
        <is>
          <t>GRO1463</t>
        </is>
      </c>
      <c r="B58" s="6" t="inlineStr">
        <is>
          <t>Garland Titan tálca 100 x 55 x 15 cm, 65 literes, újrahasznosított polipropilén</t>
        </is>
      </c>
      <c r="C58" s="6" t="inlineStr">
        <is>
          <t>Műanyag tálca, árapály asztal</t>
        </is>
      </c>
      <c r="D58" s="6" t="inlineStr">
        <is>
          <t>Cserépalátét</t>
        </is>
      </c>
      <c r="E58" s="6" t="inlineStr">
        <is>
          <t>Erős</t>
        </is>
      </c>
      <c r="F58" s="6" t="inlineStr">
        <is>
          <t>az elmúlt 30 napban</t>
        </is>
      </c>
      <c r="G58" s="6" t="inlineStr">
        <is>
          <t>Garland tálca (5–15 cm perem)</t>
        </is>
      </c>
    </row>
    <row r="59">
      <c r="A59" s="9" t="inlineStr">
        <is>
          <t>GRO1817</t>
        </is>
      </c>
      <c r="B59" s="9" t="inlineStr">
        <is>
          <t>Dán tálca kiegészítő leeresztő szűrő a 106 x 202 cm-es apály-dagály tálcához</t>
        </is>
      </c>
      <c r="C59" s="9" t="inlineStr">
        <is>
          <t>Műanyag tálca, árapály asztal</t>
        </is>
      </c>
      <c r="D59" s="9" t="inlineStr"/>
      <c r="E59" s="9" t="inlineStr">
        <is>
          <t>Laza</t>
        </is>
      </c>
      <c r="F59" s="9" t="inlineStr">
        <is>
          <t>az elmúlt 30 napban</t>
        </is>
      </c>
      <c r="G59" s="9" t="inlineStr">
        <is>
          <t>Dán tálca kiegészítő</t>
        </is>
      </c>
    </row>
    <row r="60">
      <c r="A60" s="6" t="inlineStr">
        <is>
          <t>GRO1906</t>
        </is>
      </c>
      <c r="B60" s="6" t="inlineStr">
        <is>
          <t>Garland Square négyzetes tálca 59 x 59 x 7 cm (M), fröccsöntött polipropilén</t>
        </is>
      </c>
      <c r="C60" s="6" t="inlineStr">
        <is>
          <t>Műanyag tálca, árapály asztal</t>
        </is>
      </c>
      <c r="D60" s="6" t="inlineStr">
        <is>
          <t>Cserépalátét</t>
        </is>
      </c>
      <c r="E60" s="6" t="inlineStr">
        <is>
          <t>Erős</t>
        </is>
      </c>
      <c r="F60" s="6" t="inlineStr">
        <is>
          <t>az elmúlt 30 napban</t>
        </is>
      </c>
      <c r="G60" s="6" t="inlineStr">
        <is>
          <t>Garland tálca (5–15 cm perem)</t>
        </is>
      </c>
    </row>
    <row r="61">
      <c r="A61" s="6" t="inlineStr">
        <is>
          <t>GRO1907</t>
        </is>
      </c>
      <c r="B61" s="6" t="inlineStr">
        <is>
          <t>Garland Giant tálca 110 x 55 x 5 cm, hosszúkás, fröccsöntött polipropilén</t>
        </is>
      </c>
      <c r="C61" s="6" t="inlineStr">
        <is>
          <t>Műanyag tálca, árapály asztal</t>
        </is>
      </c>
      <c r="D61" s="6" t="inlineStr">
        <is>
          <t>Cserépalátét</t>
        </is>
      </c>
      <c r="E61" s="6" t="inlineStr">
        <is>
          <t>Erős</t>
        </is>
      </c>
      <c r="F61" s="6" t="inlineStr">
        <is>
          <t>az elmúlt 30 napban</t>
        </is>
      </c>
      <c r="G61" s="6" t="inlineStr">
        <is>
          <t>Garland tálca (5–15 cm perem)</t>
        </is>
      </c>
    </row>
    <row r="62">
      <c r="A62" s="6" t="inlineStr">
        <is>
          <t>GRO1908</t>
        </is>
      </c>
      <c r="B62" s="6" t="inlineStr">
        <is>
          <t>Garland tálca (12 cm magas) L</t>
        </is>
      </c>
      <c r="C62" s="6" t="inlineStr">
        <is>
          <t>Műanyag tálca, árapály asztal</t>
        </is>
      </c>
      <c r="D62" s="6" t="inlineStr">
        <is>
          <t>Cserépalátét</t>
        </is>
      </c>
      <c r="E62" s="6" t="inlineStr">
        <is>
          <t>Erős</t>
        </is>
      </c>
      <c r="F62" s="6" t="inlineStr">
        <is>
          <t>az elmúlt 30 napban</t>
        </is>
      </c>
      <c r="G62" s="6" t="inlineStr">
        <is>
          <t>Garland tálca (5–15 cm perem)</t>
        </is>
      </c>
    </row>
    <row r="63">
      <c r="A63" s="6" t="inlineStr">
        <is>
          <t>GRO1909</t>
        </is>
      </c>
      <c r="B63" s="6" t="inlineStr">
        <is>
          <t>Garland tálca 5 cm magas peremmel, XS méret, fröccsöntött polipropilén</t>
        </is>
      </c>
      <c r="C63" s="6" t="inlineStr">
        <is>
          <t>Műanyag tálca, árapály asztal</t>
        </is>
      </c>
      <c r="D63" s="6" t="inlineStr">
        <is>
          <t>Cserépalátét</t>
        </is>
      </c>
      <c r="E63" s="6" t="inlineStr">
        <is>
          <t>Erős</t>
        </is>
      </c>
      <c r="F63" s="6" t="inlineStr">
        <is>
          <t>az elmúlt 30 napban</t>
        </is>
      </c>
      <c r="G63" s="6" t="inlineStr">
        <is>
          <t>Garland tálca (5–15 cm perem)</t>
        </is>
      </c>
    </row>
    <row r="64">
      <c r="A64" s="6" t="inlineStr">
        <is>
          <t>GRO1910</t>
        </is>
      </c>
      <c r="B64" s="6" t="inlineStr">
        <is>
          <t>Garland tálca 5 cm magas peremmel, S méret, fröccsöntött polipropilén</t>
        </is>
      </c>
      <c r="C64" s="6" t="inlineStr">
        <is>
          <t>Műanyag tálca, árapály asztal</t>
        </is>
      </c>
      <c r="D64" s="6" t="inlineStr">
        <is>
          <t>Cserépalátét</t>
        </is>
      </c>
      <c r="E64" s="6" t="inlineStr">
        <is>
          <t>Erős</t>
        </is>
      </c>
      <c r="F64" s="6" t="inlineStr">
        <is>
          <t>az elmúlt 30 napban</t>
        </is>
      </c>
      <c r="G64" s="6" t="inlineStr">
        <is>
          <t>Garland tálca (5–15 cm perem)</t>
        </is>
      </c>
    </row>
    <row r="65">
      <c r="A65" s="6" t="inlineStr">
        <is>
          <t>GRO1911</t>
        </is>
      </c>
      <c r="B65" s="6" t="inlineStr">
        <is>
          <t>Garland tálca 5 cm magas peremmel, XXL méret, fröccsöntött polipropilén</t>
        </is>
      </c>
      <c r="C65" s="6" t="inlineStr">
        <is>
          <t>Műanyag tálca, árapály asztal</t>
        </is>
      </c>
      <c r="D65" s="6" t="inlineStr">
        <is>
          <t>Cserépalátét</t>
        </is>
      </c>
      <c r="E65" s="6" t="inlineStr">
        <is>
          <t>Erős</t>
        </is>
      </c>
      <c r="F65" s="6" t="inlineStr">
        <is>
          <t>az elmúlt 30 napban</t>
        </is>
      </c>
      <c r="G65" s="6" t="inlineStr">
        <is>
          <t>Garland tálca (5–15 cm perem)</t>
        </is>
      </c>
    </row>
    <row r="66">
      <c r="A66" s="6" t="inlineStr">
        <is>
          <t>GRO1912</t>
        </is>
      </c>
      <c r="B66" s="6" t="inlineStr">
        <is>
          <t>Garland tálca (5 cm magas) Garland tálca M (prémium)</t>
        </is>
      </c>
      <c r="C66" s="6" t="inlineStr">
        <is>
          <t>Műanyag tálca, árapály asztal</t>
        </is>
      </c>
      <c r="D66" s="6" t="inlineStr">
        <is>
          <t>Cserépalátét</t>
        </is>
      </c>
      <c r="E66" s="6" t="inlineStr">
        <is>
          <t>Erős</t>
        </is>
      </c>
      <c r="F66" s="6" t="inlineStr">
        <is>
          <t>2024-10 – 2025-09 (lehet, hogy már nem aktív)</t>
        </is>
      </c>
      <c r="G66" s="6" t="inlineStr">
        <is>
          <t>Garland tálca (5–15 cm perem)</t>
        </is>
      </c>
    </row>
    <row r="67">
      <c r="A67" s="6" t="inlineStr">
        <is>
          <t>GRO2247</t>
        </is>
      </c>
      <c r="B67" s="6" t="inlineStr">
        <is>
          <t>Nutriculture Flexibilis Műanyag Tálca 120 x 120 x 10 cm</t>
        </is>
      </c>
      <c r="C67" s="6" t="inlineStr">
        <is>
          <t>Műanyag tálca, árapály asztal</t>
        </is>
      </c>
      <c r="D67" s="6" t="inlineStr"/>
      <c r="E67" s="6" t="inlineStr">
        <is>
          <t>Erős</t>
        </is>
      </c>
      <c r="F67" s="6" t="inlineStr">
        <is>
          <t>2024-10 – 2025-09 (lehet, hogy már nem aktív)</t>
        </is>
      </c>
      <c r="G67" s="6" t="inlineStr">
        <is>
          <t>Nutriculture flexibilis tálca</t>
        </is>
      </c>
    </row>
    <row r="68">
      <c r="A68" s="6" t="inlineStr">
        <is>
          <t>GRO2774</t>
        </is>
      </c>
      <c r="B68" s="6" t="inlineStr">
        <is>
          <t>Nutriculture Flexibilis Műanyag Tálca 100 x 100 x 10 cm</t>
        </is>
      </c>
      <c r="C68" s="6" t="inlineStr">
        <is>
          <t>Műanyag tálca, árapály asztal</t>
        </is>
      </c>
      <c r="D68" s="6" t="inlineStr"/>
      <c r="E68" s="6" t="inlineStr">
        <is>
          <t>Erős</t>
        </is>
      </c>
      <c r="F68" s="6" t="inlineStr">
        <is>
          <t>2024-10 – 2025-09 (lehet, hogy már nem aktív)</t>
        </is>
      </c>
      <c r="G68" s="6" t="inlineStr">
        <is>
          <t>Nutriculture flexibilis tálca</t>
        </is>
      </c>
    </row>
    <row r="69">
      <c r="A69" s="6" t="inlineStr">
        <is>
          <t>GRO3124</t>
        </is>
      </c>
      <c r="B69" s="6" t="inlineStr">
        <is>
          <t>Secret Jardin kiegészítő víztálca 100x100 cm termesztősátor aljába</t>
        </is>
      </c>
      <c r="C69" s="6" t="inlineStr">
        <is>
          <t>Műanyag tálca, árapály asztal</t>
        </is>
      </c>
      <c r="D69" s="6" t="inlineStr"/>
      <c r="E69" s="6" t="inlineStr">
        <is>
          <t>Erős</t>
        </is>
      </c>
      <c r="F69" s="6" t="inlineStr">
        <is>
          <t>az elmúlt 30 napban</t>
        </is>
      </c>
      <c r="G69" s="6" t="inlineStr">
        <is>
          <t>Secret Jardin vízgyűjtő tálca termesztősátorba</t>
        </is>
      </c>
    </row>
    <row r="70">
      <c r="A70" s="6" t="inlineStr">
        <is>
          <t>GRO3138</t>
        </is>
      </c>
      <c r="B70" s="6" t="inlineStr">
        <is>
          <t>Garland tálca 12 cm magas peremmel, S méret, fröccsöntött polipropilén</t>
        </is>
      </c>
      <c r="C70" s="6" t="inlineStr">
        <is>
          <t>Műanyag tálca, árapály asztal</t>
        </is>
      </c>
      <c r="D70" s="6" t="inlineStr">
        <is>
          <t>Cserépalátét</t>
        </is>
      </c>
      <c r="E70" s="6" t="inlineStr">
        <is>
          <t>Erős</t>
        </is>
      </c>
      <c r="F70" s="6" t="inlineStr">
        <is>
          <t>az elmúlt 30 napban</t>
        </is>
      </c>
      <c r="G70" s="6" t="inlineStr">
        <is>
          <t>Garland tálca (5–15 cm perem)</t>
        </is>
      </c>
    </row>
    <row r="71">
      <c r="A71" s="9" t="inlineStr">
        <is>
          <t>GRO3363</t>
        </is>
      </c>
      <c r="B71" s="9" t="inlineStr">
        <is>
          <t>Dán tálca kiegészítő lefolyó készlet</t>
        </is>
      </c>
      <c r="C71" s="9" t="inlineStr">
        <is>
          <t>Műanyag tálca, árapály asztal</t>
        </is>
      </c>
      <c r="D71" s="9" t="inlineStr"/>
      <c r="E71" s="9" t="inlineStr">
        <is>
          <t>Laza</t>
        </is>
      </c>
      <c r="F71" s="9" t="inlineStr">
        <is>
          <t>az elmúlt 6 hónapban</t>
        </is>
      </c>
      <c r="G71" s="9" t="inlineStr">
        <is>
          <t>Dán tálca kiegészítő</t>
        </is>
      </c>
    </row>
    <row r="72">
      <c r="A72" s="6" t="inlineStr">
        <is>
          <t>GRO3436</t>
        </is>
      </c>
      <c r="B72" s="6" t="inlineStr">
        <is>
          <t>Nutriculture Flexibilis Műanyag Tálca 150 x 150 x 10 cm</t>
        </is>
      </c>
      <c r="C72" s="6" t="inlineStr">
        <is>
          <t>Műanyag tálca, árapály asztal</t>
        </is>
      </c>
      <c r="D72" s="6" t="inlineStr"/>
      <c r="E72" s="6" t="inlineStr">
        <is>
          <t>Erős</t>
        </is>
      </c>
      <c r="F72" s="6" t="inlineStr">
        <is>
          <t>2024-10 – 2025-09 (lehet, hogy már nem aktív)</t>
        </is>
      </c>
      <c r="G72" s="6" t="inlineStr">
        <is>
          <t>Nutriculture flexibilis tálca</t>
        </is>
      </c>
    </row>
    <row r="73">
      <c r="A73" s="6" t="inlineStr">
        <is>
          <t>GRO3437</t>
        </is>
      </c>
      <c r="B73" s="6" t="inlineStr">
        <is>
          <t>Nutriculture flexibilis tálca 80x80x10 cm</t>
        </is>
      </c>
      <c r="C73" s="6" t="inlineStr">
        <is>
          <t>Műanyag tálca, árapály asztal</t>
        </is>
      </c>
      <c r="D73" s="6" t="inlineStr"/>
      <c r="E73" s="6" t="inlineStr">
        <is>
          <t>Erős</t>
        </is>
      </c>
      <c r="F73" s="6" t="inlineStr">
        <is>
          <t>az elmúlt 30 napban</t>
        </is>
      </c>
      <c r="G73" s="6" t="inlineStr">
        <is>
          <t>Nutriculture flexibilis tálca</t>
        </is>
      </c>
    </row>
    <row r="74">
      <c r="A74" s="6" t="inlineStr">
        <is>
          <t>GRO3773</t>
        </is>
      </c>
      <c r="B74" s="6" t="inlineStr">
        <is>
          <t>Garland tálca (7 cm magas) S</t>
        </is>
      </c>
      <c r="C74" s="6" t="inlineStr">
        <is>
          <t>Műanyag tálca, árapály asztal</t>
        </is>
      </c>
      <c r="D74" s="6" t="inlineStr">
        <is>
          <t>Cserépalátét</t>
        </is>
      </c>
      <c r="E74" s="6" t="inlineStr">
        <is>
          <t>Erős</t>
        </is>
      </c>
      <c r="F74" s="6" t="inlineStr">
        <is>
          <t>az elmúlt 30 napban</t>
        </is>
      </c>
      <c r="G74" s="6" t="inlineStr">
        <is>
          <t>Garland tálca (5–15 cm perem)</t>
        </is>
      </c>
    </row>
    <row r="75">
      <c r="A75" s="6" t="inlineStr">
        <is>
          <t>GRO3774</t>
        </is>
      </c>
      <c r="B75" s="6" t="inlineStr">
        <is>
          <t>Garland tálca (7 cm magas) S (lyukakkal)</t>
        </is>
      </c>
      <c r="C75" s="6" t="inlineStr">
        <is>
          <t>Műanyag tálca, árapály asztal</t>
        </is>
      </c>
      <c r="D75" s="6" t="inlineStr">
        <is>
          <t>Cserépalátét</t>
        </is>
      </c>
      <c r="E75" s="6" t="inlineStr">
        <is>
          <t>Erős</t>
        </is>
      </c>
      <c r="F75" s="6" t="inlineStr">
        <is>
          <t>az elmúlt 30 napban</t>
        </is>
      </c>
      <c r="G75" s="6" t="inlineStr">
        <is>
          <t>Garland tálca (5–15 cm perem)</t>
        </is>
      </c>
    </row>
    <row r="76">
      <c r="A76" s="6" t="inlineStr">
        <is>
          <t>GRO3775</t>
        </is>
      </c>
      <c r="B76" s="6" t="inlineStr">
        <is>
          <t>Garland tálca (5 cm magas) XL</t>
        </is>
      </c>
      <c r="C76" s="6" t="inlineStr">
        <is>
          <t>Műanyag tálca, árapály asztal</t>
        </is>
      </c>
      <c r="D76" s="6" t="inlineStr">
        <is>
          <t>Cserépalátét</t>
        </is>
      </c>
      <c r="E76" s="6" t="inlineStr">
        <is>
          <t>Erős</t>
        </is>
      </c>
      <c r="F76" s="6" t="inlineStr">
        <is>
          <t>az elmúlt 30 napban</t>
        </is>
      </c>
      <c r="G76" s="6" t="inlineStr">
        <is>
          <t>Garland tálca (5–15 cm perem)</t>
        </is>
      </c>
    </row>
    <row r="77">
      <c r="A77" s="6" t="inlineStr">
        <is>
          <t>GRO3776</t>
        </is>
      </c>
      <c r="B77" s="6" t="inlineStr">
        <is>
          <t>Garland tálca (5 cm magas) L</t>
        </is>
      </c>
      <c r="C77" s="6" t="inlineStr">
        <is>
          <t>Műanyag tálca, árapály asztal</t>
        </is>
      </c>
      <c r="D77" s="6" t="inlineStr">
        <is>
          <t>Cserépalátét</t>
        </is>
      </c>
      <c r="E77" s="6" t="inlineStr">
        <is>
          <t>Erős</t>
        </is>
      </c>
      <c r="F77" s="6" t="inlineStr">
        <is>
          <t>az elmúlt 30 napban</t>
        </is>
      </c>
      <c r="G77" s="6" t="inlineStr">
        <is>
          <t>Garland tálca (5–15 cm perem)</t>
        </is>
      </c>
    </row>
    <row r="78">
      <c r="A78" s="6" t="inlineStr">
        <is>
          <t>GRO3777</t>
        </is>
      </c>
      <c r="B78" s="6" t="inlineStr">
        <is>
          <t>Garland tálca (5 cm magas) XXXL</t>
        </is>
      </c>
      <c r="C78" s="6" t="inlineStr">
        <is>
          <t>Műanyag tálca, árapály asztal</t>
        </is>
      </c>
      <c r="D78" s="6" t="inlineStr">
        <is>
          <t>Cserépalátét</t>
        </is>
      </c>
      <c r="E78" s="6" t="inlineStr">
        <is>
          <t>Erős</t>
        </is>
      </c>
      <c r="F78" s="6" t="inlineStr">
        <is>
          <t>az elmúlt 30 napban</t>
        </is>
      </c>
      <c r="G78" s="6" t="inlineStr">
        <is>
          <t>Garland tálca (5–15 cm perem)</t>
        </is>
      </c>
    </row>
    <row r="79">
      <c r="A79" s="9" t="inlineStr">
        <is>
          <t>GRO4234</t>
        </is>
      </c>
      <c r="B79" s="9" t="inlineStr">
        <is>
          <t>Dán tálca kiegészítő leeresztő szűrő 3/4</t>
        </is>
      </c>
      <c r="C79" s="9" t="inlineStr">
        <is>
          <t>Műanyag tálca, árapály asztal</t>
        </is>
      </c>
      <c r="D79" s="9" t="inlineStr"/>
      <c r="E79" s="9" t="inlineStr">
        <is>
          <t>Laza</t>
        </is>
      </c>
      <c r="F79" s="9" t="inlineStr">
        <is>
          <t>az elmúlt 6 hónapban</t>
        </is>
      </c>
      <c r="G79" s="9" t="inlineStr">
        <is>
          <t>Dán tálca kiegészítő</t>
        </is>
      </c>
    </row>
    <row r="80">
      <c r="A80" s="6" t="inlineStr">
        <is>
          <t>GRO4667</t>
        </is>
      </c>
      <c r="B80" s="6" t="inlineStr">
        <is>
          <t>Secret Jardin vízgyűjtő tálca 40x40x8 cm growboxhoz</t>
        </is>
      </c>
      <c r="C80" s="6" t="inlineStr">
        <is>
          <t>Műanyag tálca, árapály asztal</t>
        </is>
      </c>
      <c r="D80" s="6" t="inlineStr"/>
      <c r="E80" s="6" t="inlineStr">
        <is>
          <t>Erős</t>
        </is>
      </c>
      <c r="F80" s="6" t="inlineStr">
        <is>
          <t>az elmúlt 30 napban</t>
        </is>
      </c>
      <c r="G80" s="6" t="inlineStr">
        <is>
          <t>Secret Jardin vízgyűjtő tálca termesztősátorba</t>
        </is>
      </c>
    </row>
    <row r="81">
      <c r="A81" s="6" t="inlineStr">
        <is>
          <t>GRO4668</t>
        </is>
      </c>
      <c r="B81" s="6" t="inlineStr">
        <is>
          <t>Secret Jardin vízgyűjtő tálca 60x60x8 cm growboxhoz</t>
        </is>
      </c>
      <c r="C81" s="6" t="inlineStr">
        <is>
          <t>Műanyag tálca, árapály asztal</t>
        </is>
      </c>
      <c r="D81" s="6" t="inlineStr"/>
      <c r="E81" s="6" t="inlineStr">
        <is>
          <t>Erős</t>
        </is>
      </c>
      <c r="F81" s="6" t="inlineStr">
        <is>
          <t>az elmúlt 30 napban</t>
        </is>
      </c>
      <c r="G81" s="6" t="inlineStr">
        <is>
          <t>Secret Jardin vízgyűjtő tálca termesztősátorba</t>
        </is>
      </c>
    </row>
    <row r="82">
      <c r="A82" s="6" t="inlineStr">
        <is>
          <t>GRO4669</t>
        </is>
      </c>
      <c r="B82" s="6" t="inlineStr">
        <is>
          <t>Secret Jardin vízgyűjtő tálca 80x80x8 cm growboxhoz</t>
        </is>
      </c>
      <c r="C82" s="6" t="inlineStr">
        <is>
          <t>Műanyag tálca, árapály asztal</t>
        </is>
      </c>
      <c r="D82" s="6" t="inlineStr"/>
      <c r="E82" s="6" t="inlineStr">
        <is>
          <t>Erős</t>
        </is>
      </c>
      <c r="F82" s="6" t="inlineStr">
        <is>
          <t>az elmúlt 30 napban</t>
        </is>
      </c>
      <c r="G82" s="6" t="inlineStr">
        <is>
          <t>Secret Jardin vízgyűjtő tálca termesztősátorba</t>
        </is>
      </c>
    </row>
    <row r="83">
      <c r="A83" s="6" t="inlineStr">
        <is>
          <t>GRO4670</t>
        </is>
      </c>
      <c r="B83" s="6" t="inlineStr">
        <is>
          <t>Secret Jardin vízgyűjtő tálca 100x100x8 cm growboxhoz</t>
        </is>
      </c>
      <c r="C83" s="6" t="inlineStr">
        <is>
          <t>Műanyag tálca, árapály asztal</t>
        </is>
      </c>
      <c r="D83" s="6" t="inlineStr"/>
      <c r="E83" s="6" t="inlineStr">
        <is>
          <t>Erős</t>
        </is>
      </c>
      <c r="F83" s="6" t="inlineStr">
        <is>
          <t>az elmúlt 30 napban</t>
        </is>
      </c>
      <c r="G83" s="6" t="inlineStr">
        <is>
          <t>Secret Jardin vízgyűjtő tálca termesztősátorba</t>
        </is>
      </c>
    </row>
    <row r="84">
      <c r="A84" s="6" t="inlineStr">
        <is>
          <t>GRO4671</t>
        </is>
      </c>
      <c r="B84" s="6" t="inlineStr">
        <is>
          <t>Secret Jardin vízgyűjtő tálca 120x120x8 cm growboxhoz</t>
        </is>
      </c>
      <c r="C84" s="6" t="inlineStr">
        <is>
          <t>Műanyag tálca, árapály asztal</t>
        </is>
      </c>
      <c r="D84" s="6" t="inlineStr"/>
      <c r="E84" s="6" t="inlineStr">
        <is>
          <t>Erős</t>
        </is>
      </c>
      <c r="F84" s="6" t="inlineStr">
        <is>
          <t>az elmúlt 30 napban</t>
        </is>
      </c>
      <c r="G84" s="6" t="inlineStr">
        <is>
          <t>Secret Jardin vízgyűjtő tálca termesztősátorba</t>
        </is>
      </c>
    </row>
    <row r="85">
      <c r="A85" s="6" t="inlineStr">
        <is>
          <t>GRO4672</t>
        </is>
      </c>
      <c r="B85" s="6" t="inlineStr">
        <is>
          <t>Secret Jardin vízgyűjtő tálca 150x150x8 cm growboxhoz</t>
        </is>
      </c>
      <c r="C85" s="6" t="inlineStr">
        <is>
          <t>Műanyag tálca, árapály asztal</t>
        </is>
      </c>
      <c r="D85" s="6" t="inlineStr"/>
      <c r="E85" s="6" t="inlineStr">
        <is>
          <t>Erős</t>
        </is>
      </c>
      <c r="F85" s="6" t="inlineStr">
        <is>
          <t>az elmúlt 30 napban</t>
        </is>
      </c>
      <c r="G85" s="6" t="inlineStr">
        <is>
          <t>Secret Jardin vízgyűjtő tálca termesztősátorba</t>
        </is>
      </c>
    </row>
    <row r="86">
      <c r="A86" s="6" t="inlineStr">
        <is>
          <t>GRO4673</t>
        </is>
      </c>
      <c r="B86" s="6" t="inlineStr">
        <is>
          <t>Secret Jardin vízgyűjtő tálca 120x60x8 cm growboxhoz</t>
        </is>
      </c>
      <c r="C86" s="6" t="inlineStr">
        <is>
          <t>Műanyag tálca, árapály asztal</t>
        </is>
      </c>
      <c r="D86" s="6" t="inlineStr"/>
      <c r="E86" s="6" t="inlineStr">
        <is>
          <t>Erős</t>
        </is>
      </c>
      <c r="F86" s="6" t="inlineStr">
        <is>
          <t>az elmúlt 30 napban</t>
        </is>
      </c>
      <c r="G86" s="6" t="inlineStr">
        <is>
          <t>Secret Jardin vízgyűjtő tálca termesztősátorba</t>
        </is>
      </c>
    </row>
    <row r="87">
      <c r="A87" s="6" t="inlineStr">
        <is>
          <t>GRO4674</t>
        </is>
      </c>
      <c r="B87" s="6" t="inlineStr">
        <is>
          <t>Secret Jardin vízgyűjtő tálca 240x120x8 cm growboxhoz</t>
        </is>
      </c>
      <c r="C87" s="6" t="inlineStr">
        <is>
          <t>Műanyag tálca, árapály asztal</t>
        </is>
      </c>
      <c r="D87" s="6" t="inlineStr"/>
      <c r="E87" s="6" t="inlineStr">
        <is>
          <t>Erős</t>
        </is>
      </c>
      <c r="F87" s="6" t="inlineStr">
        <is>
          <t>az elmúlt 30 napban</t>
        </is>
      </c>
      <c r="G87" s="6" t="inlineStr">
        <is>
          <t>Secret Jardin vízgyűjtő tálca termesztősátorba</t>
        </is>
      </c>
    </row>
    <row r="88">
      <c r="A88" s="6" t="inlineStr">
        <is>
          <t>GRO2501</t>
        </is>
      </c>
      <c r="B88" s="6" t="inlineStr">
        <is>
          <t>Lyukacsos konténer műanyag cserép 43 liter</t>
        </is>
      </c>
      <c r="C88" s="6" t="inlineStr">
        <is>
          <t>Nagy virágcserép</t>
        </is>
      </c>
      <c r="D88" s="6" t="inlineStr">
        <is>
          <t>Virágcserép</t>
        </is>
      </c>
      <c r="E88" s="6" t="inlineStr">
        <is>
          <t>Erős</t>
        </is>
      </c>
      <c r="F88" s="6" t="inlineStr">
        <is>
          <t>az elmúlt 30 napban</t>
        </is>
      </c>
      <c r="G88" s="6" t="inlineStr">
        <is>
          <t>Konténer, 43–155 l</t>
        </is>
      </c>
    </row>
    <row r="89">
      <c r="A89" s="6" t="inlineStr">
        <is>
          <t>GRO2502</t>
        </is>
      </c>
      <c r="B89" s="6" t="inlineStr">
        <is>
          <t>Lyukacsos konténer műanyag cserép 50 liter</t>
        </is>
      </c>
      <c r="C89" s="6" t="inlineStr">
        <is>
          <t>Nagy virágcserép</t>
        </is>
      </c>
      <c r="D89" s="6" t="inlineStr">
        <is>
          <t>Virágcserép</t>
        </is>
      </c>
      <c r="E89" s="6" t="inlineStr">
        <is>
          <t>Erős</t>
        </is>
      </c>
      <c r="F89" s="6" t="inlineStr">
        <is>
          <t>az elmúlt 30 napban</t>
        </is>
      </c>
      <c r="G89" s="6" t="inlineStr">
        <is>
          <t>Konténer, 43–155 l</t>
        </is>
      </c>
    </row>
    <row r="90">
      <c r="A90" s="6" t="inlineStr">
        <is>
          <t>GRO2503</t>
        </is>
      </c>
      <c r="B90" s="6" t="inlineStr">
        <is>
          <t>Lyukacsos konténer műanyag cserép 60 liter</t>
        </is>
      </c>
      <c r="C90" s="6" t="inlineStr">
        <is>
          <t>Nagy virágcserép</t>
        </is>
      </c>
      <c r="D90" s="6" t="inlineStr">
        <is>
          <t>Virágcserép</t>
        </is>
      </c>
      <c r="E90" s="6" t="inlineStr">
        <is>
          <t>Erős</t>
        </is>
      </c>
      <c r="F90" s="6" t="inlineStr">
        <is>
          <t>az elmúlt 6 hónapban</t>
        </is>
      </c>
      <c r="G90" s="6" t="inlineStr">
        <is>
          <t>Konténer, 43–155 l</t>
        </is>
      </c>
    </row>
    <row r="91">
      <c r="A91" s="6" t="inlineStr">
        <is>
          <t>GRO2504</t>
        </is>
      </c>
      <c r="B91" s="6" t="inlineStr">
        <is>
          <t>Lyukacsos konténer műanyag cserép 70 liter</t>
        </is>
      </c>
      <c r="C91" s="6" t="inlineStr">
        <is>
          <t>Nagy virágcserép</t>
        </is>
      </c>
      <c r="D91" s="6" t="inlineStr">
        <is>
          <t>Virágcserép</t>
        </is>
      </c>
      <c r="E91" s="6" t="inlineStr">
        <is>
          <t>Erős</t>
        </is>
      </c>
      <c r="F91" s="6" t="inlineStr">
        <is>
          <t>az elmúlt 30 napban</t>
        </is>
      </c>
      <c r="G91" s="6" t="inlineStr">
        <is>
          <t>Konténer, 43–155 l</t>
        </is>
      </c>
    </row>
    <row r="92">
      <c r="A92" s="6" t="inlineStr">
        <is>
          <t>GRO2505</t>
        </is>
      </c>
      <c r="B92" s="6" t="inlineStr">
        <is>
          <t>Lyukacsos konténer műanyag cserép 80 liter, 60 x 43 cm, fogantyúval</t>
        </is>
      </c>
      <c r="C92" s="6" t="inlineStr">
        <is>
          <t>Nagy virágcserép</t>
        </is>
      </c>
      <c r="D92" s="6" t="inlineStr">
        <is>
          <t>Virágcserép</t>
        </is>
      </c>
      <c r="E92" s="6" t="inlineStr">
        <is>
          <t>Erős</t>
        </is>
      </c>
      <c r="F92" s="6" t="inlineStr">
        <is>
          <t>az elmúlt 30 napban</t>
        </is>
      </c>
      <c r="G92" s="6" t="inlineStr">
        <is>
          <t>Konténer, 43–155 l</t>
        </is>
      </c>
    </row>
    <row r="93">
      <c r="A93" s="6" t="inlineStr">
        <is>
          <t>GRO2506</t>
        </is>
      </c>
      <c r="B93" s="6" t="inlineStr">
        <is>
          <t>Lyukacsos konténer műanyag cserép 100 liter, 60 x 51 cm, fogantyúval</t>
        </is>
      </c>
      <c r="C93" s="6" t="inlineStr">
        <is>
          <t>Nagy virágcserép</t>
        </is>
      </c>
      <c r="D93" s="6" t="inlineStr">
        <is>
          <t>Virágcserép</t>
        </is>
      </c>
      <c r="E93" s="6" t="inlineStr">
        <is>
          <t>Erős</t>
        </is>
      </c>
      <c r="F93" s="6" t="inlineStr">
        <is>
          <t>az elmúlt 30 napban</t>
        </is>
      </c>
      <c r="G93" s="6" t="inlineStr">
        <is>
          <t>Konténer, 43–155 l</t>
        </is>
      </c>
    </row>
    <row r="94">
      <c r="A94" s="6" t="inlineStr">
        <is>
          <t>GRO4644</t>
        </is>
      </c>
      <c r="B94" s="6" t="inlineStr">
        <is>
          <t>Kerek műanyag konténer fogantyúval, 43 L (45x34 cm)</t>
        </is>
      </c>
      <c r="C94" s="6" t="inlineStr">
        <is>
          <t>Nagy virágcserép</t>
        </is>
      </c>
      <c r="D94" s="6" t="inlineStr">
        <is>
          <t>Virágcserép</t>
        </is>
      </c>
      <c r="E94" s="6" t="inlineStr">
        <is>
          <t>Erős</t>
        </is>
      </c>
      <c r="F94" s="6" t="inlineStr">
        <is>
          <t>az elmúlt 30 napban</t>
        </is>
      </c>
      <c r="G94" s="6" t="inlineStr">
        <is>
          <t>Konténer, 43–155 l</t>
        </is>
      </c>
    </row>
    <row r="95">
      <c r="A95" s="6" t="inlineStr">
        <is>
          <t>GRO4645</t>
        </is>
      </c>
      <c r="B95" s="6" t="inlineStr">
        <is>
          <t>Kerek műanyag konténer fogantyúval, 50 L (45x41 cm)</t>
        </is>
      </c>
      <c r="C95" s="6" t="inlineStr">
        <is>
          <t>Nagy virágcserép</t>
        </is>
      </c>
      <c r="D95" s="6" t="inlineStr">
        <is>
          <t>Virágcserép</t>
        </is>
      </c>
      <c r="E95" s="6" t="inlineStr">
        <is>
          <t>Erős</t>
        </is>
      </c>
      <c r="F95" s="6" t="inlineStr">
        <is>
          <t>az elmúlt 30 napban</t>
        </is>
      </c>
      <c r="G95" s="6" t="inlineStr">
        <is>
          <t>Konténer, 43–155 l</t>
        </is>
      </c>
    </row>
    <row r="96">
      <c r="A96" s="6" t="inlineStr">
        <is>
          <t>GRO4646</t>
        </is>
      </c>
      <c r="B96" s="6" t="inlineStr">
        <is>
          <t>Kerek műanyag konténer fogantyúval, 60 L (50x38 cm)</t>
        </is>
      </c>
      <c r="C96" s="6" t="inlineStr">
        <is>
          <t>Nagy virágcserép</t>
        </is>
      </c>
      <c r="D96" s="6" t="inlineStr">
        <is>
          <t>Virágcserép</t>
        </is>
      </c>
      <c r="E96" s="6" t="inlineStr">
        <is>
          <t>Erős</t>
        </is>
      </c>
      <c r="F96" s="6" t="inlineStr">
        <is>
          <t>az elmúlt 30 napban</t>
        </is>
      </c>
      <c r="G96" s="6" t="inlineStr">
        <is>
          <t>Konténer, 43–155 l</t>
        </is>
      </c>
    </row>
    <row r="97">
      <c r="A97" s="6" t="inlineStr">
        <is>
          <t>GRO4647</t>
        </is>
      </c>
      <c r="B97" s="6" t="inlineStr">
        <is>
          <t>Kerek műanyag konténer fogantyúval, 70 L (50x44 cm)</t>
        </is>
      </c>
      <c r="C97" s="6" t="inlineStr">
        <is>
          <t>Nagy virágcserép</t>
        </is>
      </c>
      <c r="D97" s="6" t="inlineStr">
        <is>
          <t>Virágcserép</t>
        </is>
      </c>
      <c r="E97" s="6" t="inlineStr">
        <is>
          <t>Erős</t>
        </is>
      </c>
      <c r="F97" s="6" t="inlineStr">
        <is>
          <t>az elmúlt 30 napban</t>
        </is>
      </c>
      <c r="G97" s="6" t="inlineStr">
        <is>
          <t>Konténer, 43–155 l</t>
        </is>
      </c>
    </row>
    <row r="98">
      <c r="A98" s="6" t="inlineStr">
        <is>
          <t>GRO4648</t>
        </is>
      </c>
      <c r="B98" s="6" t="inlineStr">
        <is>
          <t>Kerek műanyag konténer fogantyúval, 80 L (55x43 cm)</t>
        </is>
      </c>
      <c r="C98" s="6" t="inlineStr">
        <is>
          <t>Nagy virágcserép</t>
        </is>
      </c>
      <c r="D98" s="6" t="inlineStr">
        <is>
          <t>Virágcserép</t>
        </is>
      </c>
      <c r="E98" s="6" t="inlineStr">
        <is>
          <t>Erős</t>
        </is>
      </c>
      <c r="F98" s="6" t="inlineStr">
        <is>
          <t>az elmúlt 30 napban</t>
        </is>
      </c>
      <c r="G98" s="6" t="inlineStr">
        <is>
          <t>Konténer, 43–155 l</t>
        </is>
      </c>
    </row>
    <row r="99">
      <c r="A99" s="6" t="inlineStr">
        <is>
          <t>GRO4649</t>
        </is>
      </c>
      <c r="B99" s="6" t="inlineStr">
        <is>
          <t>Kerek műanyag konténer fogantyúval 100 L (55x51 cm)</t>
        </is>
      </c>
      <c r="C99" s="6" t="inlineStr">
        <is>
          <t>Nagy virágcserép</t>
        </is>
      </c>
      <c r="D99" s="6" t="inlineStr">
        <is>
          <t>Virágcserép</t>
        </is>
      </c>
      <c r="E99" s="6" t="inlineStr">
        <is>
          <t>Erős</t>
        </is>
      </c>
      <c r="F99" s="6" t="inlineStr">
        <is>
          <t>az elmúlt 30 napban</t>
        </is>
      </c>
      <c r="G99" s="6" t="inlineStr">
        <is>
          <t>Konténer, 43–155 l</t>
        </is>
      </c>
    </row>
    <row r="100">
      <c r="A100" s="6" t="inlineStr">
        <is>
          <t>GRO4652</t>
        </is>
      </c>
      <c r="B100" s="6" t="inlineStr">
        <is>
          <t>Kerek műanyag konténer fogantyúval, 130 L (65x51 cm)</t>
        </is>
      </c>
      <c r="C100" s="6" t="inlineStr">
        <is>
          <t>Nagy virágcserép</t>
        </is>
      </c>
      <c r="D100" s="6" t="inlineStr">
        <is>
          <t>Virágcserép</t>
        </is>
      </c>
      <c r="E100" s="6" t="inlineStr">
        <is>
          <t>Erős</t>
        </is>
      </c>
      <c r="F100" s="6" t="inlineStr">
        <is>
          <t>az elmúlt 30 napban</t>
        </is>
      </c>
      <c r="G100" s="6" t="inlineStr">
        <is>
          <t>Konténer, 43–155 l</t>
        </is>
      </c>
    </row>
    <row r="101">
      <c r="A101" s="6" t="inlineStr">
        <is>
          <t>GRO4653</t>
        </is>
      </c>
      <c r="B101" s="6" t="inlineStr">
        <is>
          <t>Kerek műanyag konténer fogantyúval, 155 L (70x51 cm)</t>
        </is>
      </c>
      <c r="C101" s="6" t="inlineStr">
        <is>
          <t>Nagy virágcserép</t>
        </is>
      </c>
      <c r="D101" s="6" t="inlineStr">
        <is>
          <t>Virágcserép</t>
        </is>
      </c>
      <c r="E101" s="6" t="inlineStr">
        <is>
          <t>Erős</t>
        </is>
      </c>
      <c r="F101" s="6" t="inlineStr">
        <is>
          <t>az elmúlt 30 napban</t>
        </is>
      </c>
      <c r="G101" s="6" t="inlineStr">
        <is>
          <t>Konténer, 43–155 l</t>
        </is>
      </c>
    </row>
    <row r="102">
      <c r="A102" s="19" t="inlineStr">
        <is>
          <t>GRO2236</t>
        </is>
      </c>
      <c r="B102" s="19" t="inlineStr">
        <is>
          <t>Jiffy tőzegcserép kerek alapú 6 x 5 cm, lebomló palántanevelő cserép</t>
        </is>
      </c>
      <c r="C102" s="19" t="inlineStr">
        <is>
          <t>Palántanevelő ág – Palántanevelő cserép, tőzegcserép</t>
        </is>
      </c>
      <c r="D102" s="19" t="inlineStr"/>
      <c r="E102" s="19" t="inlineStr">
        <is>
          <t>Más főkategória</t>
        </is>
      </c>
      <c r="F102" s="19" t="inlineStr">
        <is>
          <t>az elmúlt 30 napban</t>
        </is>
      </c>
      <c r="G102" s="19" t="inlineStr">
        <is>
          <t>Tőzeg- / rostcserép – lebomló</t>
        </is>
      </c>
    </row>
    <row r="103">
      <c r="A103" s="19" t="inlineStr">
        <is>
          <t>GRO2237</t>
        </is>
      </c>
      <c r="B103" s="19" t="inlineStr">
        <is>
          <t>Jiffy tőzegcserép kerek alapú 8 x 8 cm, lebomló palántanevelő cserép</t>
        </is>
      </c>
      <c r="C103" s="19" t="inlineStr">
        <is>
          <t>Palántanevelő ág – Palántanevelő cserép, tőzegcserép</t>
        </is>
      </c>
      <c r="D103" s="19" t="inlineStr"/>
      <c r="E103" s="19" t="inlineStr">
        <is>
          <t>Más főkategória</t>
        </is>
      </c>
      <c r="F103" s="19" t="inlineStr">
        <is>
          <t>az elmúlt 30 napban</t>
        </is>
      </c>
      <c r="G103" s="19" t="inlineStr">
        <is>
          <t>Tőzeg- / rostcserép – lebomló</t>
        </is>
      </c>
    </row>
    <row r="104">
      <c r="A104" s="19" t="inlineStr">
        <is>
          <t>GRO2239</t>
        </is>
      </c>
      <c r="B104" s="19" t="inlineStr">
        <is>
          <t>Jiffy tőzegcserép tálca 6 x 6 x 6 cm, 12 ültetőhelyes lebomló palántanevelő</t>
        </is>
      </c>
      <c r="C104" s="19" t="inlineStr">
        <is>
          <t>Palántanevelő ág – Palántanevelő cserép, tőzegcserép</t>
        </is>
      </c>
      <c r="D104" s="19" t="inlineStr"/>
      <c r="E104" s="19" t="inlineStr">
        <is>
          <t>Más főkategória</t>
        </is>
      </c>
      <c r="F104" s="19" t="inlineStr">
        <is>
          <t>az elmúlt 30 napban</t>
        </is>
      </c>
      <c r="G104" s="19" t="inlineStr">
        <is>
          <t>Tőzeg- / rostcserép – lebomló</t>
        </is>
      </c>
    </row>
    <row r="105">
      <c r="A105" s="9" t="inlineStr">
        <is>
          <t>GRO2900</t>
        </is>
      </c>
      <c r="B105" s="9" t="inlineStr">
        <is>
          <t>Palántázócserép 7 x 7 x 6 cm, rugalmas, négyzetes műanyag cserép palántákhoz</t>
        </is>
      </c>
      <c r="C105" s="9" t="inlineStr">
        <is>
          <t>Palántanevelő ág – Palántanevelő cserép, tőzegcserép</t>
        </is>
      </c>
      <c r="D105" s="9" t="inlineStr">
        <is>
          <t>Szögletes cserép</t>
        </is>
      </c>
      <c r="E105" s="9" t="inlineStr">
        <is>
          <t>Laza</t>
        </is>
      </c>
      <c r="F105" s="9" t="inlineStr">
        <is>
          <t>az elmúlt 30 napban</t>
        </is>
      </c>
      <c r="G105" s="9" t="inlineStr">
        <is>
          <t>Palántázó kiscserép (4–9 cm)</t>
        </is>
      </c>
    </row>
    <row r="106">
      <c r="A106" s="9" t="inlineStr">
        <is>
          <t>GRO3232</t>
        </is>
      </c>
      <c r="B106" s="9" t="inlineStr">
        <is>
          <t>Négyzetes műanyag cserép 9 x 9 x 10 cm palántázáshoz és továbbneveléshez</t>
        </is>
      </c>
      <c r="C106" s="9" t="inlineStr">
        <is>
          <t>Palántanevelő ág – Palántanevelő cserép, tőzegcserép</t>
        </is>
      </c>
      <c r="D106" s="9" t="inlineStr">
        <is>
          <t>Szögletes cserép</t>
        </is>
      </c>
      <c r="E106" s="9" t="inlineStr">
        <is>
          <t>Laza</t>
        </is>
      </c>
      <c r="F106" s="9" t="inlineStr">
        <is>
          <t>az elmúlt 30 napban</t>
        </is>
      </c>
      <c r="G106" s="9" t="inlineStr">
        <is>
          <t>Palántázó kiscserép (4–9 cm)</t>
        </is>
      </c>
    </row>
    <row r="107">
      <c r="A107" s="9" t="inlineStr">
        <is>
          <t>GRO3233</t>
        </is>
      </c>
      <c r="B107" s="9" t="inlineStr">
        <is>
          <t>Cserép négyzetes 7x7x8 cm</t>
        </is>
      </c>
      <c r="C107" s="9" t="inlineStr">
        <is>
          <t>Palántanevelő ág – Palántanevelő cserép, tőzegcserép</t>
        </is>
      </c>
      <c r="D107" s="9" t="inlineStr">
        <is>
          <t>Szögletes cserép</t>
        </is>
      </c>
      <c r="E107" s="9" t="inlineStr">
        <is>
          <t>Laza</t>
        </is>
      </c>
      <c r="F107" s="9" t="inlineStr">
        <is>
          <t>2024-10 – 2025-09 (lehet, hogy már nem aktív)</t>
        </is>
      </c>
      <c r="G107" s="9" t="inlineStr">
        <is>
          <t>Palántázó kiscserép (4–9 cm)</t>
        </is>
      </c>
    </row>
    <row r="108">
      <c r="A108" s="19" t="inlineStr">
        <is>
          <t>GRO3432</t>
        </is>
      </c>
      <c r="B108" s="19" t="inlineStr">
        <is>
          <t>Jiffy tőzegcserép 8x8 cm (vízelvez. nyílással)</t>
        </is>
      </c>
      <c r="C108" s="19" t="inlineStr">
        <is>
          <t>Palántanevelő ág – Palántanevelő cserép, tőzegcserép</t>
        </is>
      </c>
      <c r="D108" s="19" t="inlineStr"/>
      <c r="E108" s="19" t="inlineStr">
        <is>
          <t>Más főkategória</t>
        </is>
      </c>
      <c r="F108" s="19" t="inlineStr">
        <is>
          <t>az elmúlt 30 napban</t>
        </is>
      </c>
      <c r="G108" s="19" t="inlineStr">
        <is>
          <t>Tőzeg- / rostcserép – lebomló</t>
        </is>
      </c>
    </row>
    <row r="109">
      <c r="A109" s="19" t="inlineStr">
        <is>
          <t>GRO3924</t>
        </is>
      </c>
      <c r="B109" s="19" t="inlineStr">
        <is>
          <t>Jiffy Tőzegcserép Kerek Alapú 10 x 8 cm</t>
        </is>
      </c>
      <c r="C109" s="19" t="inlineStr">
        <is>
          <t>Palántanevelő ág – Palántanevelő cserép, tőzegcserép</t>
        </is>
      </c>
      <c r="D109" s="19" t="inlineStr"/>
      <c r="E109" s="19" t="inlineStr">
        <is>
          <t>Más főkategória</t>
        </is>
      </c>
      <c r="F109" s="19" t="inlineStr">
        <is>
          <t>az elmúlt 30 napban</t>
        </is>
      </c>
      <c r="G109" s="19" t="inlineStr">
        <is>
          <t>Tőzeg- / rostcserép – lebomló</t>
        </is>
      </c>
    </row>
    <row r="110">
      <c r="A110" s="19" t="inlineStr">
        <is>
          <t>GRO3925</t>
        </is>
      </c>
      <c r="B110" s="19" t="inlineStr">
        <is>
          <t>Jiffy tőzegcserép tálca 4 x 4 x 5 cm</t>
        </is>
      </c>
      <c r="C110" s="19" t="inlineStr">
        <is>
          <t>Palántanevelő ág – Palántanevelő cserép, tőzegcserép</t>
        </is>
      </c>
      <c r="D110" s="19" t="inlineStr"/>
      <c r="E110" s="19" t="inlineStr">
        <is>
          <t>Más főkategória</t>
        </is>
      </c>
      <c r="F110" s="19" t="inlineStr">
        <is>
          <t>az elmúlt 30 napban</t>
        </is>
      </c>
      <c r="G110" s="19" t="inlineStr">
        <is>
          <t>Tőzeg- / rostcserép – lebomló</t>
        </is>
      </c>
    </row>
    <row r="111">
      <c r="A111" s="19" t="inlineStr">
        <is>
          <t>GRO4360</t>
        </is>
      </c>
      <c r="B111" s="19" t="inlineStr">
        <is>
          <t>Jiffy tőzegcserép kerek 6,2x5,8 cm</t>
        </is>
      </c>
      <c r="C111" s="19" t="inlineStr">
        <is>
          <t>Palántanevelő ág – Palántanevelő cserép, tőzegcserép</t>
        </is>
      </c>
      <c r="D111" s="19" t="inlineStr"/>
      <c r="E111" s="19" t="inlineStr">
        <is>
          <t>Más főkategória</t>
        </is>
      </c>
      <c r="F111" s="19" t="inlineStr">
        <is>
          <t>az elmúlt 30 napban</t>
        </is>
      </c>
      <c r="G111" s="19" t="inlineStr">
        <is>
          <t>Tőzeg- / rostcserép – lebomló</t>
        </is>
      </c>
    </row>
    <row r="112">
      <c r="A112" s="19" t="inlineStr">
        <is>
          <t>GRO4377</t>
        </is>
      </c>
      <c r="B112" s="19" t="inlineStr">
        <is>
          <t>Jiffy tőzegcserép sáv (207 db/dob) 8x8 cm</t>
        </is>
      </c>
      <c r="C112" s="19" t="inlineStr">
        <is>
          <t>Palántanevelő ág – Palántanevelő cserép, tőzegcserép</t>
        </is>
      </c>
      <c r="D112" s="19" t="inlineStr"/>
      <c r="E112" s="19" t="inlineStr">
        <is>
          <t>Más főkategória</t>
        </is>
      </c>
      <c r="F112" s="19" t="inlineStr">
        <is>
          <t>az elmúlt 30 napban</t>
        </is>
      </c>
      <c r="G112" s="19" t="inlineStr">
        <is>
          <t>Tőzeg- / rostcserép – lebomló</t>
        </is>
      </c>
    </row>
    <row r="113">
      <c r="A113" s="19" t="inlineStr">
        <is>
          <t>GRO4378</t>
        </is>
      </c>
      <c r="B113" s="19" t="inlineStr">
        <is>
          <t>Jiffy tőzegcserép kerek (920 db/dob) 10x8 cm</t>
        </is>
      </c>
      <c r="C113" s="19" t="inlineStr">
        <is>
          <t>Palántanevelő ág – Palántanevelő cserép, tőzegcserép</t>
        </is>
      </c>
      <c r="D113" s="19" t="inlineStr"/>
      <c r="E113" s="19" t="inlineStr">
        <is>
          <t>Más főkategória</t>
        </is>
      </c>
      <c r="F113" s="19" t="inlineStr">
        <is>
          <t>az elmúlt 6 hónapban</t>
        </is>
      </c>
      <c r="G113" s="19" t="inlineStr">
        <is>
          <t>Tőzeg- / rostcserép – lebomló</t>
        </is>
      </c>
    </row>
    <row r="114">
      <c r="A114" s="19" t="inlineStr">
        <is>
          <t>GRO4413</t>
        </is>
      </c>
      <c r="B114" s="19" t="inlineStr">
        <is>
          <t>Garland rost palántázó cserép tálca 36 db 35x5 cm</t>
        </is>
      </c>
      <c r="C114" s="19" t="inlineStr">
        <is>
          <t>Palántanevelő ág – Palántanevelő cserép, tőzegcserép</t>
        </is>
      </c>
      <c r="D114" s="19" t="inlineStr"/>
      <c r="E114" s="19" t="inlineStr">
        <is>
          <t>Más főkategória</t>
        </is>
      </c>
      <c r="F114" s="19" t="inlineStr">
        <is>
          <t>az elmúlt 30 napban</t>
        </is>
      </c>
      <c r="G114" s="19" t="inlineStr">
        <is>
          <t>Tőzeg- / rostcserép – lebomló</t>
        </is>
      </c>
    </row>
    <row r="115">
      <c r="A115" s="19" t="inlineStr">
        <is>
          <t>GRO4414</t>
        </is>
      </c>
      <c r="B115" s="19" t="inlineStr">
        <is>
          <t>Garland rost szögletes palántázó cserép 20 db 20x6 cm</t>
        </is>
      </c>
      <c r="C115" s="19" t="inlineStr">
        <is>
          <t>Palántanevelő ág – Palántanevelő cserép, tőzegcserép</t>
        </is>
      </c>
      <c r="D115" s="19" t="inlineStr"/>
      <c r="E115" s="19" t="inlineStr">
        <is>
          <t>Más főkategória</t>
        </is>
      </c>
      <c r="F115" s="19" t="inlineStr">
        <is>
          <t>az elmúlt 30 napban</t>
        </is>
      </c>
      <c r="G115" s="19" t="inlineStr">
        <is>
          <t>Tőzeg- / rostcserép – lebomló</t>
        </is>
      </c>
    </row>
    <row r="116">
      <c r="A116" s="19" t="inlineStr">
        <is>
          <t>GRO4415</t>
        </is>
      </c>
      <c r="B116" s="19" t="inlineStr">
        <is>
          <t>Garland rost palántázó kerek cserép 12 db 12x8 cm</t>
        </is>
      </c>
      <c r="C116" s="19" t="inlineStr">
        <is>
          <t>Palántanevelő ág – Palántanevelő cserép, tőzegcserép</t>
        </is>
      </c>
      <c r="D116" s="19" t="inlineStr"/>
      <c r="E116" s="19" t="inlineStr">
        <is>
          <t>Más főkategória</t>
        </is>
      </c>
      <c r="F116" s="19" t="inlineStr">
        <is>
          <t>az elmúlt 30 napban</t>
        </is>
      </c>
      <c r="G116" s="19" t="inlineStr">
        <is>
          <t>Tőzeg- / rostcserép – lebomló</t>
        </is>
      </c>
    </row>
    <row r="117">
      <c r="A117" s="9" t="inlineStr">
        <is>
          <t>GRO4621</t>
        </is>
      </c>
      <c r="B117" s="9" t="inlineStr">
        <is>
          <t>Vékonyfalú kerek cserép 8,5 cm</t>
        </is>
      </c>
      <c r="C117" s="9" t="inlineStr">
        <is>
          <t>Palántanevelő ág – Palántanevelő cserép, tőzegcserép</t>
        </is>
      </c>
      <c r="D117" s="9" t="inlineStr">
        <is>
          <t>Virágcserép</t>
        </is>
      </c>
      <c r="E117" s="9" t="inlineStr">
        <is>
          <t>Laza</t>
        </is>
      </c>
      <c r="F117" s="9" t="inlineStr">
        <is>
          <t>az elmúlt 6 hónapban</t>
        </is>
      </c>
      <c r="G117" s="9" t="inlineStr">
        <is>
          <t>Vékonyfalú kerek kiscserép</t>
        </is>
      </c>
    </row>
    <row r="118">
      <c r="A118" s="9" t="inlineStr">
        <is>
          <t>GRO4622</t>
        </is>
      </c>
      <c r="B118" s="9" t="inlineStr">
        <is>
          <t>Vékonyfalú kerek cserép 12 cm</t>
        </is>
      </c>
      <c r="C118" s="9" t="inlineStr">
        <is>
          <t>Palántanevelő ág – Palántanevelő cserép, tőzegcserép</t>
        </is>
      </c>
      <c r="D118" s="9" t="inlineStr">
        <is>
          <t>Virágcserép</t>
        </is>
      </c>
      <c r="E118" s="9" t="inlineStr">
        <is>
          <t>Laza</t>
        </is>
      </c>
      <c r="F118" s="9" t="inlineStr">
        <is>
          <t>az elmúlt 6 hónapban</t>
        </is>
      </c>
      <c r="G118" s="9" t="inlineStr">
        <is>
          <t>Vékonyfalú kerek kiscserép</t>
        </is>
      </c>
    </row>
    <row r="119">
      <c r="A119" s="9" t="inlineStr">
        <is>
          <t>GRO4623</t>
        </is>
      </c>
      <c r="B119" s="9" t="inlineStr">
        <is>
          <t>Négyzetes cserép 5x5 cm</t>
        </is>
      </c>
      <c r="C119" s="9" t="inlineStr">
        <is>
          <t>Palántanevelő ág – Palántanevelő cserép, tőzegcserép</t>
        </is>
      </c>
      <c r="D119" s="9" t="inlineStr">
        <is>
          <t>Szögletes cserép</t>
        </is>
      </c>
      <c r="E119" s="9" t="inlineStr">
        <is>
          <t>Laza</t>
        </is>
      </c>
      <c r="F119" s="9" t="inlineStr">
        <is>
          <t>az elmúlt 6 hónapban</t>
        </is>
      </c>
      <c r="G119" s="9" t="inlineStr">
        <is>
          <t>Palántázó kiscserép (4–9 cm)</t>
        </is>
      </c>
    </row>
    <row r="120">
      <c r="A120" s="9" t="inlineStr">
        <is>
          <t>GRO4624</t>
        </is>
      </c>
      <c r="B120" s="9" t="inlineStr">
        <is>
          <t>Négyzetes cserép 7x7 cm</t>
        </is>
      </c>
      <c r="C120" s="9" t="inlineStr">
        <is>
          <t>Palántanevelő ág – Palántanevelő cserép, tőzegcserép</t>
        </is>
      </c>
      <c r="D120" s="9" t="inlineStr">
        <is>
          <t>Szögletes cserép</t>
        </is>
      </c>
      <c r="E120" s="9" t="inlineStr">
        <is>
          <t>Laza</t>
        </is>
      </c>
      <c r="F120" s="9" t="inlineStr">
        <is>
          <t>az elmúlt 6 hónapban</t>
        </is>
      </c>
      <c r="G120" s="9" t="inlineStr">
        <is>
          <t>Palántázó kiscserép (4–9 cm)</t>
        </is>
      </c>
    </row>
    <row r="121">
      <c r="A121" s="9" t="inlineStr">
        <is>
          <t>GRO4625</t>
        </is>
      </c>
      <c r="B121" s="9" t="inlineStr">
        <is>
          <t>Vékonyfalú négyzetes cserép 7x7 cm</t>
        </is>
      </c>
      <c r="C121" s="9" t="inlineStr">
        <is>
          <t>Palántanevelő ág – Palántanevelő cserép, tőzegcserép</t>
        </is>
      </c>
      <c r="D121" s="9" t="inlineStr">
        <is>
          <t>Szögletes cserép</t>
        </is>
      </c>
      <c r="E121" s="9" t="inlineStr">
        <is>
          <t>Laza</t>
        </is>
      </c>
      <c r="F121" s="9" t="inlineStr">
        <is>
          <t>az elmúlt 6 hónapban</t>
        </is>
      </c>
      <c r="G121" s="9" t="inlineStr">
        <is>
          <t>Palántázó kiscserép (4–9 cm)</t>
        </is>
      </c>
    </row>
    <row r="122">
      <c r="A122" s="9" t="inlineStr">
        <is>
          <t>GRO4626</t>
        </is>
      </c>
      <c r="B122" s="9" t="inlineStr">
        <is>
          <t>Négyzetes cserép 4x4 cm</t>
        </is>
      </c>
      <c r="C122" s="9" t="inlineStr">
        <is>
          <t>Palántanevelő ág – Palántanevelő cserép, tőzegcserép</t>
        </is>
      </c>
      <c r="D122" s="9" t="inlineStr">
        <is>
          <t>Szögletes cserép</t>
        </is>
      </c>
      <c r="E122" s="9" t="inlineStr">
        <is>
          <t>Laza</t>
        </is>
      </c>
      <c r="F122" s="9" t="inlineStr">
        <is>
          <t>az elmúlt 6 hónapban</t>
        </is>
      </c>
      <c r="G122" s="9" t="inlineStr">
        <is>
          <t>Palántázó kiscserép (4–9 cm)</t>
        </is>
      </c>
    </row>
    <row r="123">
      <c r="A123" s="19" t="inlineStr">
        <is>
          <t>GRO4676</t>
        </is>
      </c>
      <c r="B123" s="19" t="inlineStr">
        <is>
          <t>Jiffy tőzegcserép kerek réselt 5,5x5,2 cm</t>
        </is>
      </c>
      <c r="C123" s="19" t="inlineStr">
        <is>
          <t>Palántanevelő ág – Palántanevelő cserép, tőzegcserép</t>
        </is>
      </c>
      <c r="D123" s="19" t="inlineStr"/>
      <c r="E123" s="19" t="inlineStr">
        <is>
          <t>Más főkategória</t>
        </is>
      </c>
      <c r="F123" s="19" t="inlineStr">
        <is>
          <t>az elmúlt 30 napban</t>
        </is>
      </c>
      <c r="G123" s="19" t="inlineStr">
        <is>
          <t>Tőzeg- / rostcserép – lebomló</t>
        </is>
      </c>
    </row>
    <row r="124">
      <c r="A124" s="19" t="inlineStr">
        <is>
          <t>GRO2246</t>
        </is>
      </c>
      <c r="B124" s="19" t="inlineStr">
        <is>
          <t>Nutriculture X-Stream aeropóniás propagátor tálca PT300 és PT400 modellhez</t>
        </is>
      </c>
      <c r="C124" s="19" t="inlineStr">
        <is>
          <t>Palántanevelő ág – Palántanevelő tálca</t>
        </is>
      </c>
      <c r="D124" s="19" t="inlineStr"/>
      <c r="E124" s="19" t="inlineStr">
        <is>
          <t>Más főkategória</t>
        </is>
      </c>
      <c r="F124" s="19" t="inlineStr">
        <is>
          <t>az elmúlt 30 napban</t>
        </is>
      </c>
      <c r="G124" s="19" t="inlineStr">
        <is>
          <t>Palántanevelő / propagátor tálca</t>
        </is>
      </c>
    </row>
    <row r="125">
      <c r="A125" s="19" t="inlineStr">
        <is>
          <t>GRO2987</t>
        </is>
      </c>
      <c r="B125" s="19" t="inlineStr">
        <is>
          <t>Tálca Jiffy koronghoz 51 db-os</t>
        </is>
      </c>
      <c r="C125" s="19" t="inlineStr">
        <is>
          <t>Palántanevelő ág – Palántanevelő tálca</t>
        </is>
      </c>
      <c r="D125" s="19" t="inlineStr"/>
      <c r="E125" s="19" t="inlineStr">
        <is>
          <t>Más főkategória</t>
        </is>
      </c>
      <c r="F125" s="19" t="inlineStr">
        <is>
          <t>az elmúlt 30 napban</t>
        </is>
      </c>
      <c r="G125" s="19" t="inlineStr">
        <is>
          <t>Palántanevelő / propagátor tálca</t>
        </is>
      </c>
    </row>
    <row r="126">
      <c r="A126" s="9" t="inlineStr">
        <is>
          <t>GRO4349</t>
        </is>
      </c>
      <c r="B126" s="9" t="inlineStr">
        <is>
          <t>Garland Seed keskeny tálca lyukakkal 37x13,5x6 cm</t>
        </is>
      </c>
      <c r="C126" s="9" t="inlineStr">
        <is>
          <t>Palántanevelő ág – Palántanevelő tálca</t>
        </is>
      </c>
      <c r="D126" s="9" t="inlineStr">
        <is>
          <t>Cserépalátét</t>
        </is>
      </c>
      <c r="E126" s="9" t="inlineStr">
        <is>
          <t>Laza</t>
        </is>
      </c>
      <c r="F126" s="9" t="inlineStr">
        <is>
          <t>az elmúlt 30 napban</t>
        </is>
      </c>
      <c r="G126" s="9" t="inlineStr">
        <is>
          <t>Garland Seed / Mini tálca – cserépalátétként is</t>
        </is>
      </c>
    </row>
    <row r="127">
      <c r="A127" s="9" t="inlineStr">
        <is>
          <t>GRO4350</t>
        </is>
      </c>
      <c r="B127" s="9" t="inlineStr">
        <is>
          <t>Garland Seed keskeny tálca cserépalátét 37x13,5x6 cm</t>
        </is>
      </c>
      <c r="C127" s="9" t="inlineStr">
        <is>
          <t>Palántanevelő ág – Palántanevelő tálca</t>
        </is>
      </c>
      <c r="D127" s="9" t="inlineStr">
        <is>
          <t>Cserépalátét</t>
        </is>
      </c>
      <c r="E127" s="9" t="inlineStr">
        <is>
          <t>Laza</t>
        </is>
      </c>
      <c r="F127" s="9" t="inlineStr">
        <is>
          <t>az elmúlt 30 napban</t>
        </is>
      </c>
      <c r="G127" s="9" t="inlineStr">
        <is>
          <t>Garland Seed / Mini tálca – cserépalátétként is</t>
        </is>
      </c>
    </row>
    <row r="128">
      <c r="A128" s="9" t="inlineStr">
        <is>
          <t>GRO4351</t>
        </is>
      </c>
      <c r="B128" s="9" t="inlineStr">
        <is>
          <t>Garland Standard Seed tálca cserépalátét lyukakkal 37,5x23x6 cm</t>
        </is>
      </c>
      <c r="C128" s="9" t="inlineStr">
        <is>
          <t>Palántanevelő ág – Palántanevelő tálca</t>
        </is>
      </c>
      <c r="D128" s="9" t="inlineStr">
        <is>
          <t>Cserépalátét</t>
        </is>
      </c>
      <c r="E128" s="9" t="inlineStr">
        <is>
          <t>Laza</t>
        </is>
      </c>
      <c r="F128" s="9" t="inlineStr">
        <is>
          <t>az elmúlt 30 napban</t>
        </is>
      </c>
      <c r="G128" s="9" t="inlineStr">
        <is>
          <t>Garland Seed / Mini tálca – cserépalátétként is</t>
        </is>
      </c>
    </row>
    <row r="129">
      <c r="A129" s="9" t="inlineStr">
        <is>
          <t>GRO4352</t>
        </is>
      </c>
      <c r="B129" s="9" t="inlineStr">
        <is>
          <t>Garland Midi Garden tálca cserépalátét 37,5x23x6 cm</t>
        </is>
      </c>
      <c r="C129" s="9" t="inlineStr">
        <is>
          <t>Palántanevelő ág – Palántanevelő tálca</t>
        </is>
      </c>
      <c r="D129" s="9" t="inlineStr">
        <is>
          <t>Cserépalátét</t>
        </is>
      </c>
      <c r="E129" s="9" t="inlineStr">
        <is>
          <t>Laza</t>
        </is>
      </c>
      <c r="F129" s="9" t="inlineStr">
        <is>
          <t>az elmúlt 30 napban</t>
        </is>
      </c>
      <c r="G129" s="9" t="inlineStr">
        <is>
          <t>Garland Seed / Mini tálca – cserépalátétként is</t>
        </is>
      </c>
    </row>
    <row r="130">
      <c r="A130" s="9" t="inlineStr">
        <is>
          <t>GRO4608</t>
        </is>
      </c>
      <c r="B130" s="9" t="inlineStr">
        <is>
          <t>Garland Seed vékonyfalú tálca cserépalátét 5 db 37x23,5x5 cm</t>
        </is>
      </c>
      <c r="C130" s="9" t="inlineStr">
        <is>
          <t>Palántanevelő ág – Palántanevelő tálca</t>
        </is>
      </c>
      <c r="D130" s="9" t="inlineStr">
        <is>
          <t>Cserépalátét</t>
        </is>
      </c>
      <c r="E130" s="9" t="inlineStr">
        <is>
          <t>Laza</t>
        </is>
      </c>
      <c r="F130" s="9" t="inlineStr">
        <is>
          <t>az elmúlt 30 napban</t>
        </is>
      </c>
      <c r="G130" s="9" t="inlineStr">
        <is>
          <t>Garland Seed / Mini tálca – cserépalátétként is</t>
        </is>
      </c>
    </row>
    <row r="131">
      <c r="A131" s="9" t="inlineStr">
        <is>
          <t>GRO4610</t>
        </is>
      </c>
      <c r="B131" s="9" t="inlineStr">
        <is>
          <t>Garland vékony falú tálca cserépalátét kapilláris szőnyeggel 55x31x3 cm</t>
        </is>
      </c>
      <c r="C131" s="9" t="inlineStr">
        <is>
          <t>Palántanevelő ág – Palántanevelő tálca</t>
        </is>
      </c>
      <c r="D131" s="9" t="inlineStr">
        <is>
          <t>Cserépalátét</t>
        </is>
      </c>
      <c r="E131" s="9" t="inlineStr">
        <is>
          <t>Laza</t>
        </is>
      </c>
      <c r="F131" s="9" t="inlineStr">
        <is>
          <t>az elmúlt 30 napban</t>
        </is>
      </c>
      <c r="G131" s="9" t="inlineStr">
        <is>
          <t>Garland Seed / Mini tálca – cserépalátétként is</t>
        </is>
      </c>
    </row>
    <row r="132">
      <c r="A132" s="9" t="inlineStr">
        <is>
          <t>GRO4612</t>
        </is>
      </c>
      <c r="B132" s="9" t="inlineStr">
        <is>
          <t>Garland Seed Mini tálca cserépalátét lyukakkal 7x10x5 cm</t>
        </is>
      </c>
      <c r="C132" s="9" t="inlineStr">
        <is>
          <t>Palántanevelő ág – Palántanevelő tálca</t>
        </is>
      </c>
      <c r="D132" s="9" t="inlineStr">
        <is>
          <t>Cserépalátét</t>
        </is>
      </c>
      <c r="E132" s="9" t="inlineStr">
        <is>
          <t>Laza</t>
        </is>
      </c>
      <c r="F132" s="9" t="inlineStr">
        <is>
          <t>az elmúlt 30 napban</t>
        </is>
      </c>
      <c r="G132" s="9" t="inlineStr">
        <is>
          <t>Garland Seed / Mini tálca – cserépalátétként is</t>
        </is>
      </c>
    </row>
    <row r="133">
      <c r="A133" s="9" t="inlineStr">
        <is>
          <t>GRO4615</t>
        </is>
      </c>
      <c r="B133" s="9" t="inlineStr">
        <is>
          <t>Garland Seed Small tálca lyukakkal cserépalátét 23x17x6 cm</t>
        </is>
      </c>
      <c r="C133" s="9" t="inlineStr">
        <is>
          <t>Palántanevelő ág – Palántanevelő tálca</t>
        </is>
      </c>
      <c r="D133" s="9" t="inlineStr">
        <is>
          <t>Cserépalátét</t>
        </is>
      </c>
      <c r="E133" s="9" t="inlineStr">
        <is>
          <t>Laza</t>
        </is>
      </c>
      <c r="F133" s="9" t="inlineStr">
        <is>
          <t>az elmúlt 30 napban</t>
        </is>
      </c>
      <c r="G133" s="9" t="inlineStr">
        <is>
          <t>Garland Seed / Mini tálca – cserépalátétként is</t>
        </is>
      </c>
    </row>
    <row r="134">
      <c r="A134" s="9" t="inlineStr">
        <is>
          <t>GRO4616</t>
        </is>
      </c>
      <c r="B134" s="9" t="inlineStr">
        <is>
          <t>Garland Mini tálca cserépalátét 23x17x6 cm</t>
        </is>
      </c>
      <c r="C134" s="9" t="inlineStr">
        <is>
          <t>Palántanevelő ág – Palántanevelő tálca</t>
        </is>
      </c>
      <c r="D134" s="9" t="inlineStr">
        <is>
          <t>Cserépalátét</t>
        </is>
      </c>
      <c r="E134" s="9" t="inlineStr">
        <is>
          <t>Laza</t>
        </is>
      </c>
      <c r="F134" s="9" t="inlineStr">
        <is>
          <t>az elmúlt 30 napban</t>
        </is>
      </c>
      <c r="G134" s="9" t="inlineStr">
        <is>
          <t>Garland Seed / Mini tálca – cserépalátétként is</t>
        </is>
      </c>
    </row>
    <row r="135">
      <c r="A135" s="19" t="inlineStr">
        <is>
          <t>GRO4633</t>
        </is>
      </c>
      <c r="B135" s="19" t="inlineStr">
        <is>
          <t>40 lyukas palántanevelő tálca</t>
        </is>
      </c>
      <c r="C135" s="19" t="inlineStr">
        <is>
          <t>Palántanevelő ág – Palántanevelő tálca</t>
        </is>
      </c>
      <c r="D135" s="19" t="inlineStr"/>
      <c r="E135" s="19" t="inlineStr">
        <is>
          <t>Más főkategória</t>
        </is>
      </c>
      <c r="F135" s="19" t="inlineStr">
        <is>
          <t>az elmúlt 30 napban</t>
        </is>
      </c>
      <c r="G135" s="19" t="inlineStr">
        <is>
          <t>Palántanevelő / propagátor tálca</t>
        </is>
      </c>
    </row>
    <row r="136">
      <c r="A136" s="19" t="inlineStr">
        <is>
          <t>GRO4634</t>
        </is>
      </c>
      <c r="B136" s="19" t="inlineStr">
        <is>
          <t>66 lyukas palántanevelő tálca</t>
        </is>
      </c>
      <c r="C136" s="19" t="inlineStr">
        <is>
          <t>Palántanevelő ág – Palántanevelő tálca</t>
        </is>
      </c>
      <c r="D136" s="19" t="inlineStr"/>
      <c r="E136" s="19" t="inlineStr">
        <is>
          <t>Más főkategória</t>
        </is>
      </c>
      <c r="F136" s="19" t="inlineStr">
        <is>
          <t>az elmúlt 30 napban</t>
        </is>
      </c>
      <c r="G136" s="19" t="inlineStr">
        <is>
          <t>Palántanevelő / propagátor tálca</t>
        </is>
      </c>
    </row>
    <row r="137">
      <c r="A137" s="19" t="inlineStr">
        <is>
          <t>GRO4635</t>
        </is>
      </c>
      <c r="B137" s="19" t="inlineStr">
        <is>
          <t>104 lyukas palántanevelő tálca</t>
        </is>
      </c>
      <c r="C137" s="19" t="inlineStr">
        <is>
          <t>Palántanevelő ág – Palántanevelő tálca</t>
        </is>
      </c>
      <c r="D137" s="19" t="inlineStr"/>
      <c r="E137" s="19" t="inlineStr">
        <is>
          <t>Más főkategória</t>
        </is>
      </c>
      <c r="F137" s="19" t="inlineStr">
        <is>
          <t>az elmúlt 30 napban</t>
        </is>
      </c>
      <c r="G137" s="19" t="inlineStr">
        <is>
          <t>Palántanevelő / propagátor tálca</t>
        </is>
      </c>
    </row>
    <row r="138">
      <c r="A138" s="19" t="inlineStr">
        <is>
          <t>GRO4684</t>
        </is>
      </c>
      <c r="B138" s="19" t="inlineStr">
        <is>
          <t>Propagátor tálca 43x32,5 cm</t>
        </is>
      </c>
      <c r="C138" s="19" t="inlineStr">
        <is>
          <t>Palántanevelő ág – Palántanevelő tálca</t>
        </is>
      </c>
      <c r="D138" s="19" t="inlineStr"/>
      <c r="E138" s="19" t="inlineStr">
        <is>
          <t>Más főkategória</t>
        </is>
      </c>
      <c r="F138" s="19" t="inlineStr">
        <is>
          <t>az elmúlt 30 napban</t>
        </is>
      </c>
      <c r="G138" s="19" t="inlineStr">
        <is>
          <t>Palántanevelő / propagátor tálca</t>
        </is>
      </c>
    </row>
    <row r="139">
      <c r="A139" s="19" t="inlineStr">
        <is>
          <t>GRO4686</t>
        </is>
      </c>
      <c r="B139" s="19" t="inlineStr">
        <is>
          <t>Propagátor tálca 32,9x22,8 cm</t>
        </is>
      </c>
      <c r="C139" s="19" t="inlineStr">
        <is>
          <t>Palántanevelő ág – Palántanevelő tálca</t>
        </is>
      </c>
      <c r="D139" s="19" t="inlineStr"/>
      <c r="E139" s="19" t="inlineStr">
        <is>
          <t>Más főkategória</t>
        </is>
      </c>
      <c r="F139" s="19" t="inlineStr">
        <is>
          <t>az elmúlt 30 napban</t>
        </is>
      </c>
      <c r="G139" s="19" t="inlineStr">
        <is>
          <t>Palántanevelő / propagátor tálca</t>
        </is>
      </c>
    </row>
    <row r="140">
      <c r="A140" s="6" t="inlineStr">
        <is>
          <t>GRO0822</t>
        </is>
      </c>
      <c r="B140" s="6" t="inlineStr">
        <is>
          <t>Szövet edény 3 liter, Smart Pot klón légáteresztő textilcserép</t>
        </is>
      </c>
      <c r="C140" s="6" t="inlineStr">
        <is>
          <t>Szövetcserép, ültetőzsák</t>
        </is>
      </c>
      <c r="D140" s="6" t="inlineStr"/>
      <c r="E140" s="6" t="inlineStr">
        <is>
          <t>Erős</t>
        </is>
      </c>
      <c r="F140" s="6" t="inlineStr">
        <is>
          <t>az elmúlt 30 napban</t>
        </is>
      </c>
      <c r="G140" s="6" t="inlineStr">
        <is>
          <t>Szövet- / textilcserép (Smart Pot típus)</t>
        </is>
      </c>
    </row>
    <row r="141">
      <c r="A141" s="6" t="inlineStr">
        <is>
          <t>GRO0823</t>
        </is>
      </c>
      <c r="B141" s="6" t="inlineStr">
        <is>
          <t>Szövet edény 15 liter, Smart Pot klón légáteresztő textilcserép</t>
        </is>
      </c>
      <c r="C141" s="6" t="inlineStr">
        <is>
          <t>Szövetcserép, ültetőzsák</t>
        </is>
      </c>
      <c r="D141" s="6" t="inlineStr"/>
      <c r="E141" s="6" t="inlineStr">
        <is>
          <t>Erős</t>
        </is>
      </c>
      <c r="F141" s="6" t="inlineStr">
        <is>
          <t>az elmúlt 30 napban</t>
        </is>
      </c>
      <c r="G141" s="6" t="inlineStr">
        <is>
          <t>Szövet- / textilcserép (Smart Pot típus)</t>
        </is>
      </c>
    </row>
    <row r="142">
      <c r="A142" s="6" t="inlineStr">
        <is>
          <t>GRO0824</t>
        </is>
      </c>
      <c r="B142" s="6" t="inlineStr">
        <is>
          <t>Szövet edény 25 liter, Smart Pot klón légáteresztő textilcserép</t>
        </is>
      </c>
      <c r="C142" s="6" t="inlineStr">
        <is>
          <t>Szövetcserép, ültetőzsák</t>
        </is>
      </c>
      <c r="D142" s="6" t="inlineStr"/>
      <c r="E142" s="6" t="inlineStr">
        <is>
          <t>Erős</t>
        </is>
      </c>
      <c r="F142" s="6" t="inlineStr">
        <is>
          <t>az elmúlt 30 napban</t>
        </is>
      </c>
      <c r="G142" s="6" t="inlineStr">
        <is>
          <t>Szövet- / textilcserép (Smart Pot típus)</t>
        </is>
      </c>
    </row>
    <row r="143">
      <c r="A143" s="6" t="inlineStr">
        <is>
          <t>GRO1110</t>
        </is>
      </c>
      <c r="B143" s="6" t="inlineStr">
        <is>
          <t>Szövet edény 7 liter, Smart Pot klón légáteresztő textilcserép</t>
        </is>
      </c>
      <c r="C143" s="6" t="inlineStr">
        <is>
          <t>Szövetcserép, ültetőzsák</t>
        </is>
      </c>
      <c r="D143" s="6" t="inlineStr"/>
      <c r="E143" s="6" t="inlineStr">
        <is>
          <t>Erős</t>
        </is>
      </c>
      <c r="F143" s="6" t="inlineStr">
        <is>
          <t>az elmúlt 30 napban</t>
        </is>
      </c>
      <c r="G143" s="6" t="inlineStr">
        <is>
          <t>Szövet- / textilcserép (Smart Pot típus)</t>
        </is>
      </c>
    </row>
    <row r="144">
      <c r="A144" s="6" t="inlineStr">
        <is>
          <t>GRO1111</t>
        </is>
      </c>
      <c r="B144" s="6" t="inlineStr">
        <is>
          <t>Szövet edény 10 liter, Smart Pot klón légáteresztő textilcserép</t>
        </is>
      </c>
      <c r="C144" s="6" t="inlineStr">
        <is>
          <t>Szövetcserép, ültetőzsák</t>
        </is>
      </c>
      <c r="D144" s="6" t="inlineStr"/>
      <c r="E144" s="6" t="inlineStr">
        <is>
          <t>Erős</t>
        </is>
      </c>
      <c r="F144" s="6" t="inlineStr">
        <is>
          <t>az elmúlt 30 napban</t>
        </is>
      </c>
      <c r="G144" s="6" t="inlineStr">
        <is>
          <t>Szövet- / textilcserép (Smart Pot típus)</t>
        </is>
      </c>
    </row>
    <row r="145">
      <c r="A145" s="6" t="inlineStr">
        <is>
          <t>GRO2492</t>
        </is>
      </c>
      <c r="B145" s="6" t="inlineStr">
        <is>
          <t>Szövet edény 1 liter, Smart Pot klón légáteresztő textilcserép</t>
        </is>
      </c>
      <c r="C145" s="6" t="inlineStr">
        <is>
          <t>Szövetcserép, ültetőzsák</t>
        </is>
      </c>
      <c r="D145" s="6" t="inlineStr"/>
      <c r="E145" s="6" t="inlineStr">
        <is>
          <t>Erős</t>
        </is>
      </c>
      <c r="F145" s="6" t="inlineStr">
        <is>
          <t>az elmúlt 30 napban</t>
        </is>
      </c>
      <c r="G145" s="6" t="inlineStr">
        <is>
          <t>Szövet- / textilcserép (Smart Pot típus)</t>
        </is>
      </c>
    </row>
    <row r="146">
      <c r="A146" s="6" t="inlineStr">
        <is>
          <t>GRO2572</t>
        </is>
      </c>
      <c r="B146" s="6" t="inlineStr">
        <is>
          <t>Szövet edény 50 liter, Smart Pot klón légáteresztő textilcserép</t>
        </is>
      </c>
      <c r="C146" s="6" t="inlineStr">
        <is>
          <t>Szövetcserép, ültetőzsák</t>
        </is>
      </c>
      <c r="D146" s="6" t="inlineStr"/>
      <c r="E146" s="6" t="inlineStr">
        <is>
          <t>Erős</t>
        </is>
      </c>
      <c r="F146" s="6" t="inlineStr">
        <is>
          <t>az elmúlt 30 napban</t>
        </is>
      </c>
      <c r="G146" s="6" t="inlineStr">
        <is>
          <t>Nagy szövetcserép, 39–550 l</t>
        </is>
      </c>
    </row>
    <row r="147">
      <c r="A147" s="6" t="inlineStr">
        <is>
          <t>GRO3225</t>
        </is>
      </c>
      <c r="B147" s="6" t="inlineStr">
        <is>
          <t>Urban Garden szövetcserép 4 liter, légáteresztő textil termesztőedény (14 x 14 x 20 cm)</t>
        </is>
      </c>
      <c r="C147" s="6" t="inlineStr">
        <is>
          <t>Szövetcserép, ültetőzsák</t>
        </is>
      </c>
      <c r="D147" s="6" t="inlineStr"/>
      <c r="E147" s="6" t="inlineStr">
        <is>
          <t>Erős</t>
        </is>
      </c>
      <c r="F147" s="6" t="inlineStr">
        <is>
          <t>az elmúlt 30 napban</t>
        </is>
      </c>
      <c r="G147" s="6" t="inlineStr">
        <is>
          <t>Szövet- / textilcserép (Smart Pot típus)</t>
        </is>
      </c>
    </row>
    <row r="148">
      <c r="A148" s="6" t="inlineStr">
        <is>
          <t>GRO3226</t>
        </is>
      </c>
      <c r="B148" s="6" t="inlineStr">
        <is>
          <t>Urban Garden szövetcserép 8 liter, légáteresztő textil termesztőedény (18 x 18 x 25,5 cm)</t>
        </is>
      </c>
      <c r="C148" s="6" t="inlineStr">
        <is>
          <t>Szövetcserép, ültetőzsák</t>
        </is>
      </c>
      <c r="D148" s="6" t="inlineStr"/>
      <c r="E148" s="6" t="inlineStr">
        <is>
          <t>Erős</t>
        </is>
      </c>
      <c r="F148" s="6" t="inlineStr">
        <is>
          <t>az elmúlt 30 napban</t>
        </is>
      </c>
      <c r="G148" s="6" t="inlineStr">
        <is>
          <t>Szövet- / textilcserép (Smart Pot típus)</t>
        </is>
      </c>
    </row>
    <row r="149">
      <c r="A149" s="6" t="inlineStr">
        <is>
          <t>GRO3227</t>
        </is>
      </c>
      <c r="B149" s="6" t="inlineStr">
        <is>
          <t>Urban Garden szövetcserép 11 liter</t>
        </is>
      </c>
      <c r="C149" s="6" t="inlineStr">
        <is>
          <t>Szövetcserép, ültetőzsák</t>
        </is>
      </c>
      <c r="D149" s="6" t="inlineStr"/>
      <c r="E149" s="6" t="inlineStr">
        <is>
          <t>Erős</t>
        </is>
      </c>
      <c r="F149" s="6" t="inlineStr">
        <is>
          <t>az elmúlt 6 hónapban</t>
        </is>
      </c>
      <c r="G149" s="6" t="inlineStr">
        <is>
          <t>Szövet- / textilcserép (Smart Pot típus)</t>
        </is>
      </c>
    </row>
    <row r="150">
      <c r="A150" s="6" t="inlineStr">
        <is>
          <t>GRO3228</t>
        </is>
      </c>
      <c r="B150" s="6" t="inlineStr">
        <is>
          <t>Urban Garden szövetcserép 15 liter, légáteresztő textil termesztőedény (23 x 23 x 29,5 cm)</t>
        </is>
      </c>
      <c r="C150" s="6" t="inlineStr">
        <is>
          <t>Szövetcserép, ültetőzsák</t>
        </is>
      </c>
      <c r="D150" s="6" t="inlineStr"/>
      <c r="E150" s="6" t="inlineStr">
        <is>
          <t>Erős</t>
        </is>
      </c>
      <c r="F150" s="6" t="inlineStr">
        <is>
          <t>az elmúlt 30 napban</t>
        </is>
      </c>
      <c r="G150" s="6" t="inlineStr">
        <is>
          <t>Szövet- / textilcserép (Smart Pot típus)</t>
        </is>
      </c>
    </row>
    <row r="151">
      <c r="A151" s="6" t="inlineStr">
        <is>
          <t>GRO3229</t>
        </is>
      </c>
      <c r="B151" s="6" t="inlineStr">
        <is>
          <t>Urban Garden szövetcserép 25 liter</t>
        </is>
      </c>
      <c r="C151" s="6" t="inlineStr">
        <is>
          <t>Szövetcserép, ültetőzsák</t>
        </is>
      </c>
      <c r="D151" s="6" t="inlineStr"/>
      <c r="E151" s="6" t="inlineStr">
        <is>
          <t>Erős</t>
        </is>
      </c>
      <c r="F151" s="6" t="inlineStr">
        <is>
          <t>az elmúlt 6 hónapban</t>
        </is>
      </c>
      <c r="G151" s="6" t="inlineStr">
        <is>
          <t>Szövet- / textilcserép (Smart Pot típus)</t>
        </is>
      </c>
    </row>
    <row r="152">
      <c r="A152" s="6" t="inlineStr">
        <is>
          <t>GRO3230</t>
        </is>
      </c>
      <c r="B152" s="6" t="inlineStr">
        <is>
          <t>Urban Garden szövetcserép 39 liter, légáteresztő textil termesztőedény (33 x 33 x 36 cm)</t>
        </is>
      </c>
      <c r="C152" s="6" t="inlineStr">
        <is>
          <t>Szövetcserép, ültetőzsák</t>
        </is>
      </c>
      <c r="D152" s="6" t="inlineStr"/>
      <c r="E152" s="6" t="inlineStr">
        <is>
          <t>Erős</t>
        </is>
      </c>
      <c r="F152" s="6" t="inlineStr">
        <is>
          <t>az elmúlt 30 napban</t>
        </is>
      </c>
      <c r="G152" s="6" t="inlineStr">
        <is>
          <t>Nagy szövetcserép, 39–550 l</t>
        </is>
      </c>
    </row>
    <row r="153">
      <c r="A153" s="6" t="inlineStr">
        <is>
          <t>GRO3664</t>
        </is>
      </c>
      <c r="B153" s="6" t="inlineStr">
        <is>
          <t>Urban Garden szövetcserép 2 liter</t>
        </is>
      </c>
      <c r="C153" s="6" t="inlineStr">
        <is>
          <t>Szövetcserép, ültetőzsák</t>
        </is>
      </c>
      <c r="D153" s="6" t="inlineStr"/>
      <c r="E153" s="6" t="inlineStr">
        <is>
          <t>Erős</t>
        </is>
      </c>
      <c r="F153" s="6" t="inlineStr">
        <is>
          <t>az elmúlt 30 napban</t>
        </is>
      </c>
      <c r="G153" s="6" t="inlineStr">
        <is>
          <t>Szövet- / textilcserép (Smart Pot típus)</t>
        </is>
      </c>
    </row>
    <row r="154">
      <c r="A154" s="6" t="inlineStr">
        <is>
          <t>GRO3665</t>
        </is>
      </c>
      <c r="B154" s="6" t="inlineStr">
        <is>
          <t>Urban Garden szövetcserép 19 liter</t>
        </is>
      </c>
      <c r="C154" s="6" t="inlineStr">
        <is>
          <t>Szövetcserép, ültetőzsák</t>
        </is>
      </c>
      <c r="D154" s="6" t="inlineStr"/>
      <c r="E154" s="6" t="inlineStr">
        <is>
          <t>Erős</t>
        </is>
      </c>
      <c r="F154" s="6" t="inlineStr">
        <is>
          <t>az elmúlt 30 napban</t>
        </is>
      </c>
      <c r="G154" s="6" t="inlineStr">
        <is>
          <t>Szövet- / textilcserép (Smart Pot típus)</t>
        </is>
      </c>
    </row>
    <row r="155">
      <c r="A155" s="6" t="inlineStr">
        <is>
          <t>GRO3666</t>
        </is>
      </c>
      <c r="B155" s="6" t="inlineStr">
        <is>
          <t>Urban Garden szövetcserép 55 liter</t>
        </is>
      </c>
      <c r="C155" s="6" t="inlineStr">
        <is>
          <t>Szövetcserép, ültetőzsák</t>
        </is>
      </c>
      <c r="D155" s="6" t="inlineStr"/>
      <c r="E155" s="6" t="inlineStr">
        <is>
          <t>Erős</t>
        </is>
      </c>
      <c r="F155" s="6" t="inlineStr">
        <is>
          <t>az elmúlt 30 napban</t>
        </is>
      </c>
      <c r="G155" s="6" t="inlineStr">
        <is>
          <t>Nagy szövetcserép, 39–550 l</t>
        </is>
      </c>
    </row>
    <row r="156">
      <c r="A156" s="6" t="inlineStr">
        <is>
          <t>GRO3667</t>
        </is>
      </c>
      <c r="B156" s="6" t="inlineStr">
        <is>
          <t>Urban Garden szövetcserép 75 liter</t>
        </is>
      </c>
      <c r="C156" s="6" t="inlineStr">
        <is>
          <t>Szövetcserép, ültetőzsák</t>
        </is>
      </c>
      <c r="D156" s="6" t="inlineStr"/>
      <c r="E156" s="6" t="inlineStr">
        <is>
          <t>Erős</t>
        </is>
      </c>
      <c r="F156" s="6" t="inlineStr">
        <is>
          <t>az elmúlt 30 napban</t>
        </is>
      </c>
      <c r="G156" s="6" t="inlineStr">
        <is>
          <t>Nagy szövetcserép, 39–550 l</t>
        </is>
      </c>
    </row>
    <row r="157">
      <c r="A157" s="6" t="inlineStr">
        <is>
          <t>GRO3668</t>
        </is>
      </c>
      <c r="B157" s="6" t="inlineStr">
        <is>
          <t>Urban Garden szövetcserép 95 liter</t>
        </is>
      </c>
      <c r="C157" s="6" t="inlineStr">
        <is>
          <t>Szövetcserép, ültetőzsák</t>
        </is>
      </c>
      <c r="D157" s="6" t="inlineStr"/>
      <c r="E157" s="6" t="inlineStr">
        <is>
          <t>Erős</t>
        </is>
      </c>
      <c r="F157" s="6" t="inlineStr">
        <is>
          <t>az elmúlt 30 napban</t>
        </is>
      </c>
      <c r="G157" s="6" t="inlineStr">
        <is>
          <t>Nagy szövetcserép, 39–550 l</t>
        </is>
      </c>
    </row>
    <row r="158">
      <c r="A158" s="6" t="inlineStr">
        <is>
          <t>GRO3669</t>
        </is>
      </c>
      <c r="B158" s="6" t="inlineStr">
        <is>
          <t>Urban Garden szövetcserép 150 liter</t>
        </is>
      </c>
      <c r="C158" s="6" t="inlineStr">
        <is>
          <t>Szövetcserép, ültetőzsák</t>
        </is>
      </c>
      <c r="D158" s="6" t="inlineStr"/>
      <c r="E158" s="6" t="inlineStr">
        <is>
          <t>Erős</t>
        </is>
      </c>
      <c r="F158" s="6" t="inlineStr">
        <is>
          <t>az elmúlt 30 napban</t>
        </is>
      </c>
      <c r="G158" s="6" t="inlineStr">
        <is>
          <t>Nagy szövetcserép, 39–550 l</t>
        </is>
      </c>
    </row>
    <row r="159">
      <c r="A159" s="6" t="inlineStr">
        <is>
          <t>GRO3670</t>
        </is>
      </c>
      <c r="B159" s="6" t="inlineStr">
        <is>
          <t>Urban Garden szövetcserép 225 liter</t>
        </is>
      </c>
      <c r="C159" s="6" t="inlineStr">
        <is>
          <t>Szövetcserép, ültetőzsák</t>
        </is>
      </c>
      <c r="D159" s="6" t="inlineStr"/>
      <c r="E159" s="6" t="inlineStr">
        <is>
          <t>Erős</t>
        </is>
      </c>
      <c r="F159" s="6" t="inlineStr">
        <is>
          <t>az elmúlt 6 hónapban</t>
        </is>
      </c>
      <c r="G159" s="6" t="inlineStr">
        <is>
          <t>Nagy szövetcserép, 39–550 l</t>
        </is>
      </c>
    </row>
    <row r="160">
      <c r="A160" s="6" t="inlineStr">
        <is>
          <t>GRO3671</t>
        </is>
      </c>
      <c r="B160" s="6" t="inlineStr">
        <is>
          <t>Urban Garden szövetcserép 300 liter</t>
        </is>
      </c>
      <c r="C160" s="6" t="inlineStr">
        <is>
          <t>Szövetcserép, ültetőzsák</t>
        </is>
      </c>
      <c r="D160" s="6" t="inlineStr"/>
      <c r="E160" s="6" t="inlineStr">
        <is>
          <t>Erős</t>
        </is>
      </c>
      <c r="F160" s="6" t="inlineStr">
        <is>
          <t>az elmúlt 30 napban</t>
        </is>
      </c>
      <c r="G160" s="6" t="inlineStr">
        <is>
          <t>Nagy szövetcserép, 39–550 l</t>
        </is>
      </c>
    </row>
    <row r="161">
      <c r="A161" s="6" t="inlineStr">
        <is>
          <t>GRO3672</t>
        </is>
      </c>
      <c r="B161" s="6" t="inlineStr">
        <is>
          <t>Urban Garden szövetcserép 550 liter</t>
        </is>
      </c>
      <c r="C161" s="6" t="inlineStr">
        <is>
          <t>Szövetcserép, ültetőzsák</t>
        </is>
      </c>
      <c r="D161" s="6" t="inlineStr"/>
      <c r="E161" s="6" t="inlineStr">
        <is>
          <t>Erős</t>
        </is>
      </c>
      <c r="F161" s="6" t="inlineStr">
        <is>
          <t>az elmúlt 30 napban</t>
        </is>
      </c>
      <c r="G161" s="6" t="inlineStr">
        <is>
          <t>Nagy szövetcserép, 39–550 l</t>
        </is>
      </c>
    </row>
    <row r="162">
      <c r="A162" s="6" t="inlineStr">
        <is>
          <t>GRO4131</t>
        </is>
      </c>
      <c r="B162" s="6" t="inlineStr">
        <is>
          <t>Garden Highpro szövetcserép (7 liter)</t>
        </is>
      </c>
      <c r="C162" s="6" t="inlineStr">
        <is>
          <t>Szövetcserép, ültetőzsák</t>
        </is>
      </c>
      <c r="D162" s="6" t="inlineStr"/>
      <c r="E162" s="6" t="inlineStr">
        <is>
          <t>Erős</t>
        </is>
      </c>
      <c r="F162" s="6" t="inlineStr">
        <is>
          <t>az elmúlt 30 napban</t>
        </is>
      </c>
      <c r="G162" s="6" t="inlineStr">
        <is>
          <t>Szövet- / textilcserép (Smart Pot típus)</t>
        </is>
      </c>
    </row>
    <row r="163">
      <c r="A163" s="6" t="inlineStr">
        <is>
          <t>GRO4132</t>
        </is>
      </c>
      <c r="B163" s="6" t="inlineStr">
        <is>
          <t>Garden Highpro szövetcserép fogantyúval (15 liter)</t>
        </is>
      </c>
      <c r="C163" s="6" t="inlineStr">
        <is>
          <t>Szövetcserép, ültetőzsák</t>
        </is>
      </c>
      <c r="D163" s="6" t="inlineStr"/>
      <c r="E163" s="6" t="inlineStr">
        <is>
          <t>Erős</t>
        </is>
      </c>
      <c r="F163" s="6" t="inlineStr">
        <is>
          <t>az elmúlt 6 hónapban</t>
        </is>
      </c>
      <c r="G163" s="6" t="inlineStr">
        <is>
          <t>Szövet- / textilcserép (Smart Pot típus)</t>
        </is>
      </c>
    </row>
    <row r="164">
      <c r="A164" s="6" t="inlineStr">
        <is>
          <t>GRO4297</t>
        </is>
      </c>
      <c r="B164" s="6" t="inlineStr">
        <is>
          <t>AC Infinity szövetcserép 5 db 19 L</t>
        </is>
      </c>
      <c r="C164" s="6" t="inlineStr">
        <is>
          <t>Szövetcserép, ültetőzsák</t>
        </is>
      </c>
      <c r="D164" s="6" t="inlineStr"/>
      <c r="E164" s="6" t="inlineStr">
        <is>
          <t>Erős</t>
        </is>
      </c>
      <c r="F164" s="6" t="inlineStr">
        <is>
          <t>az elmúlt 6 hónapban</t>
        </is>
      </c>
      <c r="G164" s="6" t="inlineStr">
        <is>
          <t>Szövet- / textilcserép (Smart Pot típus)</t>
        </is>
      </c>
    </row>
    <row r="165">
      <c r="A165" s="6" t="inlineStr">
        <is>
          <t>GRO4324</t>
        </is>
      </c>
      <c r="B165" s="6" t="inlineStr">
        <is>
          <t>AC Infinity szövetcserép 5 db 11 L</t>
        </is>
      </c>
      <c r="C165" s="6" t="inlineStr">
        <is>
          <t>Szövetcserép, ültetőzsák</t>
        </is>
      </c>
      <c r="D165" s="6" t="inlineStr"/>
      <c r="E165" s="6" t="inlineStr">
        <is>
          <t>Erős</t>
        </is>
      </c>
      <c r="F165" s="6" t="inlineStr">
        <is>
          <t>az elmúlt 30 napban</t>
        </is>
      </c>
      <c r="G165" s="6" t="inlineStr">
        <is>
          <t>Szövet- / textilcserép (Smart Pot típus)</t>
        </is>
      </c>
    </row>
    <row r="166">
      <c r="A166" s="6" t="inlineStr">
        <is>
          <t>GRO0067</t>
        </is>
      </c>
      <c r="B166" s="6" t="inlineStr">
        <is>
          <t>Szögletes műanyag cserép 6 liter, 17,5 x 17,5 x 25 cm, gyökércsavarodás gátló</t>
        </is>
      </c>
      <c r="C166" s="6" t="inlineStr">
        <is>
          <t>Virágcserép</t>
        </is>
      </c>
      <c r="D166" s="6" t="inlineStr">
        <is>
          <t>Szögletes cserép</t>
        </is>
      </c>
      <c r="E166" s="6" t="inlineStr">
        <is>
          <t>Erős</t>
        </is>
      </c>
      <c r="F166" s="6" t="inlineStr">
        <is>
          <t>az elmúlt 30 napban</t>
        </is>
      </c>
      <c r="G166" s="6" t="inlineStr">
        <is>
          <t>Szögletes, gyökércsavarodás-gátló</t>
        </is>
      </c>
    </row>
    <row r="167">
      <c r="A167" s="6" t="inlineStr">
        <is>
          <t>GRO0068</t>
        </is>
      </c>
      <c r="B167" s="6" t="inlineStr">
        <is>
          <t>Görög mintás négyzetes műanyag virágcserép 18 liter, 30,5 x 30,5 cm</t>
        </is>
      </c>
      <c r="C167" s="6" t="inlineStr">
        <is>
          <t>Virágcserép</t>
        </is>
      </c>
      <c r="D167" s="6" t="inlineStr">
        <is>
          <t>Szögletes cserép</t>
        </is>
      </c>
      <c r="E167" s="6" t="inlineStr">
        <is>
          <t>Erős</t>
        </is>
      </c>
      <c r="F167" s="6" t="inlineStr">
        <is>
          <t>az elmúlt 30 napban</t>
        </is>
      </c>
      <c r="G167" s="6" t="inlineStr">
        <is>
          <t>Görög mintás négyzetes</t>
        </is>
      </c>
    </row>
    <row r="168">
      <c r="A168" s="6" t="inlineStr">
        <is>
          <t>GRO0069</t>
        </is>
      </c>
      <c r="B168" s="6" t="inlineStr">
        <is>
          <t>Görög mintás négyzetes műanyag virágcserép 25 liter, 33,5 x 33,5 cm</t>
        </is>
      </c>
      <c r="C168" s="6" t="inlineStr">
        <is>
          <t>Virágcserép</t>
        </is>
      </c>
      <c r="D168" s="6" t="inlineStr">
        <is>
          <t>Szögletes cserép, Nagy virágcserép</t>
        </is>
      </c>
      <c r="E168" s="6" t="inlineStr">
        <is>
          <t>Erős</t>
        </is>
      </c>
      <c r="F168" s="6" t="inlineStr">
        <is>
          <t>az elmúlt 30 napban</t>
        </is>
      </c>
      <c r="G168" s="6" t="inlineStr">
        <is>
          <t>Görög mintás négyzetes, 25–30 l</t>
        </is>
      </c>
    </row>
    <row r="169">
      <c r="A169" s="6" t="inlineStr">
        <is>
          <t>GRO0070</t>
        </is>
      </c>
      <c r="B169" s="6" t="inlineStr">
        <is>
          <t>Görög mintás négyzetes műanyag virágcserép 30 liter, 36,5 x 36,5 cm</t>
        </is>
      </c>
      <c r="C169" s="6" t="inlineStr">
        <is>
          <t>Virágcserép</t>
        </is>
      </c>
      <c r="D169" s="6" t="inlineStr">
        <is>
          <t>Szögletes cserép, Nagy virágcserép</t>
        </is>
      </c>
      <c r="E169" s="6" t="inlineStr">
        <is>
          <t>Erős</t>
        </is>
      </c>
      <c r="F169" s="6" t="inlineStr">
        <is>
          <t>az elmúlt 30 napban</t>
        </is>
      </c>
      <c r="G169" s="6" t="inlineStr">
        <is>
          <t>Görög mintás négyzetes, 25–30 l</t>
        </is>
      </c>
    </row>
    <row r="170">
      <c r="A170" s="6" t="inlineStr">
        <is>
          <t>GRO0748</t>
        </is>
      </c>
      <c r="B170" s="6" t="inlineStr">
        <is>
          <t>Görög mintás négyzetes műanyag virágcserép 9 liter, 23 x 23 cm</t>
        </is>
      </c>
      <c r="C170" s="6" t="inlineStr">
        <is>
          <t>Virágcserép</t>
        </is>
      </c>
      <c r="D170" s="6" t="inlineStr">
        <is>
          <t>Szögletes cserép</t>
        </is>
      </c>
      <c r="E170" s="6" t="inlineStr">
        <is>
          <t>Erős</t>
        </is>
      </c>
      <c r="F170" s="6" t="inlineStr">
        <is>
          <t>az elmúlt 30 napban</t>
        </is>
      </c>
      <c r="G170" s="6" t="inlineStr">
        <is>
          <t>Görög mintás négyzetes</t>
        </is>
      </c>
    </row>
    <row r="171">
      <c r="A171" s="6" t="inlineStr">
        <is>
          <t>GRO1141</t>
        </is>
      </c>
      <c r="B171" s="6" t="inlineStr">
        <is>
          <t>Szögletes műanyag cserép 2,5 liter, 13 x 13 x 18 cm, gyökércsavarodás gátló</t>
        </is>
      </c>
      <c r="C171" s="6" t="inlineStr">
        <is>
          <t>Virágcserép</t>
        </is>
      </c>
      <c r="D171" s="6" t="inlineStr">
        <is>
          <t>Szögletes cserép</t>
        </is>
      </c>
      <c r="E171" s="6" t="inlineStr">
        <is>
          <t>Erős</t>
        </is>
      </c>
      <c r="F171" s="6" t="inlineStr">
        <is>
          <t>az elmúlt 30 napban</t>
        </is>
      </c>
      <c r="G171" s="6" t="inlineStr">
        <is>
          <t>Szögletes, gyökércsavarodás-gátló</t>
        </is>
      </c>
    </row>
    <row r="172">
      <c r="A172" s="6" t="inlineStr">
        <is>
          <t>GRO1143</t>
        </is>
      </c>
      <c r="B172" s="6" t="inlineStr">
        <is>
          <t>Görög mintás négyzetes műanyag virágcserép 14 liter, 28,5 x 28,5 cm</t>
        </is>
      </c>
      <c r="C172" s="6" t="inlineStr">
        <is>
          <t>Virágcserép</t>
        </is>
      </c>
      <c r="D172" s="6" t="inlineStr">
        <is>
          <t>Szögletes cserép</t>
        </is>
      </c>
      <c r="E172" s="6" t="inlineStr">
        <is>
          <t>Erős</t>
        </is>
      </c>
      <c r="F172" s="6" t="inlineStr">
        <is>
          <t>az elmúlt 30 napban</t>
        </is>
      </c>
      <c r="G172" s="6" t="inlineStr">
        <is>
          <t>Görög mintás négyzetes</t>
        </is>
      </c>
    </row>
    <row r="173">
      <c r="A173" s="6" t="inlineStr">
        <is>
          <t>GRO1160</t>
        </is>
      </c>
      <c r="B173" s="6" t="inlineStr">
        <is>
          <t>Szögletes műanyag cserép 1,4 liter, 10 x 10 x 17 cm, gyökércsavarodás gátló</t>
        </is>
      </c>
      <c r="C173" s="6" t="inlineStr">
        <is>
          <t>Virágcserép</t>
        </is>
      </c>
      <c r="D173" s="6" t="inlineStr">
        <is>
          <t>Szögletes cserép</t>
        </is>
      </c>
      <c r="E173" s="6" t="inlineStr">
        <is>
          <t>Erős</t>
        </is>
      </c>
      <c r="F173" s="6" t="inlineStr">
        <is>
          <t>az elmúlt 30 napban</t>
        </is>
      </c>
      <c r="G173" s="6" t="inlineStr">
        <is>
          <t>Szögletes, gyökércsavarodás-gátló</t>
        </is>
      </c>
    </row>
    <row r="174">
      <c r="A174" s="6" t="inlineStr">
        <is>
          <t>GRO1161</t>
        </is>
      </c>
      <c r="B174" s="6" t="inlineStr">
        <is>
          <t>Szögletes műanyag cserép 1,8 liter, 10,5 x 8,5 x 22 cm, gyökércsavarodás gátló</t>
        </is>
      </c>
      <c r="C174" s="6" t="inlineStr">
        <is>
          <t>Virágcserép</t>
        </is>
      </c>
      <c r="D174" s="6" t="inlineStr">
        <is>
          <t>Szögletes cserép</t>
        </is>
      </c>
      <c r="E174" s="6" t="inlineStr">
        <is>
          <t>Erős</t>
        </is>
      </c>
      <c r="F174" s="6" t="inlineStr">
        <is>
          <t>az elmúlt 30 napban</t>
        </is>
      </c>
      <c r="G174" s="6" t="inlineStr">
        <is>
          <t>Szögletes, gyökércsavarodás-gátló</t>
        </is>
      </c>
    </row>
    <row r="175">
      <c r="A175" s="6" t="inlineStr">
        <is>
          <t>GRO1189</t>
        </is>
      </c>
      <c r="B175" s="6" t="inlineStr">
        <is>
          <t>Görög mintás négyzetes műanyag virágcserép 11 liter, 25 x 25 cm</t>
        </is>
      </c>
      <c r="C175" s="6" t="inlineStr">
        <is>
          <t>Virágcserép</t>
        </is>
      </c>
      <c r="D175" s="6" t="inlineStr">
        <is>
          <t>Szögletes cserép</t>
        </is>
      </c>
      <c r="E175" s="6" t="inlineStr">
        <is>
          <t>Erős</t>
        </is>
      </c>
      <c r="F175" s="6" t="inlineStr">
        <is>
          <t>az elmúlt 30 napban</t>
        </is>
      </c>
      <c r="G175" s="6" t="inlineStr">
        <is>
          <t>Görög mintás négyzetes</t>
        </is>
      </c>
    </row>
    <row r="176">
      <c r="A176" s="6" t="inlineStr">
        <is>
          <t>GRO1259</t>
        </is>
      </c>
      <c r="B176" s="6" t="inlineStr">
        <is>
          <t>Szögletes műanyag cserép 1,5 liter, 12 x 12 x 13 cm, gyökércsavarodás gátló</t>
        </is>
      </c>
      <c r="C176" s="6" t="inlineStr">
        <is>
          <t>Virágcserép</t>
        </is>
      </c>
      <c r="D176" s="6" t="inlineStr">
        <is>
          <t>Szögletes cserép</t>
        </is>
      </c>
      <c r="E176" s="6" t="inlineStr">
        <is>
          <t>Erős</t>
        </is>
      </c>
      <c r="F176" s="6" t="inlineStr">
        <is>
          <t>az elmúlt 30 napban</t>
        </is>
      </c>
      <c r="G176" s="6" t="inlineStr">
        <is>
          <t>Szögletes, gyökércsavarodás-gátló</t>
        </is>
      </c>
    </row>
    <row r="177">
      <c r="A177" s="6" t="inlineStr">
        <is>
          <t>GRO1261</t>
        </is>
      </c>
      <c r="B177" s="6" t="inlineStr">
        <is>
          <t>Szögletes műanyag cserép 15 x 15 x 20 cm, gyökércsavarodás gátló</t>
        </is>
      </c>
      <c r="C177" s="6" t="inlineStr">
        <is>
          <t>Virágcserép</t>
        </is>
      </c>
      <c r="D177" s="6" t="inlineStr">
        <is>
          <t>Szögletes cserép</t>
        </is>
      </c>
      <c r="E177" s="6" t="inlineStr">
        <is>
          <t>Erős</t>
        </is>
      </c>
      <c r="F177" s="6" t="inlineStr">
        <is>
          <t>az elmúlt 30 napban</t>
        </is>
      </c>
      <c r="G177" s="6" t="inlineStr">
        <is>
          <t>Szögletes, gyökércsavarodás-gátló</t>
        </is>
      </c>
    </row>
    <row r="178">
      <c r="A178" s="6" t="inlineStr">
        <is>
          <t>GRO1806</t>
        </is>
      </c>
      <c r="B178" s="6" t="inlineStr">
        <is>
          <t>Lyukacsos kerek virágcserép 2 liter, 16 x 14 cm, spirálgyökér gátló</t>
        </is>
      </c>
      <c r="C178" s="6" t="inlineStr">
        <is>
          <t>Virágcserép</t>
        </is>
      </c>
      <c r="D178" s="6" t="inlineStr"/>
      <c r="E178" s="6" t="inlineStr">
        <is>
          <t>Erős</t>
        </is>
      </c>
      <c r="F178" s="6" t="inlineStr">
        <is>
          <t>az elmúlt 30 napban</t>
        </is>
      </c>
      <c r="G178" s="6" t="inlineStr">
        <is>
          <t>Lyukacsos kerek, spirálgyökér-gátló</t>
        </is>
      </c>
    </row>
    <row r="179">
      <c r="A179" s="6" t="inlineStr">
        <is>
          <t>GRO1807</t>
        </is>
      </c>
      <c r="B179" s="6" t="inlineStr">
        <is>
          <t>Lyukacsos kerek virágcserép 19x17 cm 3 liter</t>
        </is>
      </c>
      <c r="C179" s="6" t="inlineStr">
        <is>
          <t>Virágcserép</t>
        </is>
      </c>
      <c r="D179" s="6" t="inlineStr"/>
      <c r="E179" s="6" t="inlineStr">
        <is>
          <t>Erős</t>
        </is>
      </c>
      <c r="F179" s="6" t="inlineStr">
        <is>
          <t>2025-10 – 2026-04</t>
        </is>
      </c>
      <c r="G179" s="6" t="inlineStr">
        <is>
          <t>Lyukacsos kerek, spirálgyökér-gátló</t>
        </is>
      </c>
    </row>
    <row r="180">
      <c r="A180" s="6" t="inlineStr">
        <is>
          <t>GRO1808</t>
        </is>
      </c>
      <c r="B180" s="6" t="inlineStr">
        <is>
          <t>Lyukacsos kerek virágcserép 7,5 liter, 26 x 22 cm, spirálgyökér gátló</t>
        </is>
      </c>
      <c r="C180" s="6" t="inlineStr">
        <is>
          <t>Virágcserép</t>
        </is>
      </c>
      <c r="D180" s="6" t="inlineStr"/>
      <c r="E180" s="6" t="inlineStr">
        <is>
          <t>Erős</t>
        </is>
      </c>
      <c r="F180" s="6" t="inlineStr">
        <is>
          <t>az elmúlt 30 napban</t>
        </is>
      </c>
      <c r="G180" s="6" t="inlineStr">
        <is>
          <t>Lyukacsos kerek, spirálgyökér-gátló</t>
        </is>
      </c>
    </row>
    <row r="181">
      <c r="A181" s="6" t="inlineStr">
        <is>
          <t>GRO1809</t>
        </is>
      </c>
      <c r="B181" s="6" t="inlineStr">
        <is>
          <t>Lyukacsos kerek virágcserép 9,5 liter, 28,5 x 24 cm, spirálgyökér gátló</t>
        </is>
      </c>
      <c r="C181" s="6" t="inlineStr">
        <is>
          <t>Virágcserép</t>
        </is>
      </c>
      <c r="D181" s="6" t="inlineStr"/>
      <c r="E181" s="6" t="inlineStr">
        <is>
          <t>Erős</t>
        </is>
      </c>
      <c r="F181" s="6" t="inlineStr">
        <is>
          <t>az elmúlt 30 napban</t>
        </is>
      </c>
      <c r="G181" s="6" t="inlineStr">
        <is>
          <t>Lyukacsos kerek, spirálgyökér-gátló</t>
        </is>
      </c>
    </row>
    <row r="182">
      <c r="A182" s="6" t="inlineStr">
        <is>
          <t>GRO1810</t>
        </is>
      </c>
      <c r="B182" s="6" t="inlineStr">
        <is>
          <t>Lyukacsos kerek virágcserép 12 liter, 30,5 x 26,5 cm, spirálgyökér gátló</t>
        </is>
      </c>
      <c r="C182" s="6" t="inlineStr">
        <is>
          <t>Virágcserép</t>
        </is>
      </c>
      <c r="D182" s="6" t="inlineStr"/>
      <c r="E182" s="6" t="inlineStr">
        <is>
          <t>Erős</t>
        </is>
      </c>
      <c r="F182" s="6" t="inlineStr">
        <is>
          <t>az elmúlt 30 napban</t>
        </is>
      </c>
      <c r="G182" s="6" t="inlineStr">
        <is>
          <t>Lyukacsos kerek, spirálgyökér-gátló</t>
        </is>
      </c>
    </row>
    <row r="183">
      <c r="A183" s="6" t="inlineStr">
        <is>
          <t>GRO2099</t>
        </is>
      </c>
      <c r="B183" s="6" t="inlineStr">
        <is>
          <t>Kerek műanyag virágcserép 3 liter, 16 x 16 cm, fekete, újrahasznosított PE</t>
        </is>
      </c>
      <c r="C183" s="6" t="inlineStr">
        <is>
          <t>Virágcserép</t>
        </is>
      </c>
      <c r="D183" s="6" t="inlineStr"/>
      <c r="E183" s="6" t="inlineStr">
        <is>
          <t>Erős</t>
        </is>
      </c>
      <c r="F183" s="6" t="inlineStr">
        <is>
          <t>az elmúlt 30 napban</t>
        </is>
      </c>
      <c r="G183" s="6" t="inlineStr">
        <is>
          <t>Kerek fekete műanyag cserép</t>
        </is>
      </c>
    </row>
    <row r="184">
      <c r="A184" s="6" t="inlineStr">
        <is>
          <t>GRO2100</t>
        </is>
      </c>
      <c r="B184" s="6" t="inlineStr">
        <is>
          <t>Kerek műanyag virágcserép 5 liter, 20 x 20 cm, fekete, újrahasznosított PE</t>
        </is>
      </c>
      <c r="C184" s="6" t="inlineStr">
        <is>
          <t>Virágcserép</t>
        </is>
      </c>
      <c r="D184" s="6" t="inlineStr"/>
      <c r="E184" s="6" t="inlineStr">
        <is>
          <t>Erős</t>
        </is>
      </c>
      <c r="F184" s="6" t="inlineStr">
        <is>
          <t>az elmúlt 30 napban</t>
        </is>
      </c>
      <c r="G184" s="6" t="inlineStr">
        <is>
          <t>Kerek fekete műanyag cserép</t>
        </is>
      </c>
    </row>
    <row r="185">
      <c r="A185" s="6" t="inlineStr">
        <is>
          <t>GRO2101</t>
        </is>
      </c>
      <c r="B185" s="6" t="inlineStr">
        <is>
          <t>Kerek műanyag virágcserép 7 liter, 22 x 22 cm, fekete, újrahasznosított PE</t>
        </is>
      </c>
      <c r="C185" s="6" t="inlineStr">
        <is>
          <t>Virágcserép</t>
        </is>
      </c>
      <c r="D185" s="6" t="inlineStr"/>
      <c r="E185" s="6" t="inlineStr">
        <is>
          <t>Erős</t>
        </is>
      </c>
      <c r="F185" s="6" t="inlineStr">
        <is>
          <t>az elmúlt 30 napban</t>
        </is>
      </c>
      <c r="G185" s="6" t="inlineStr">
        <is>
          <t>Kerek fekete műanyag cserép</t>
        </is>
      </c>
    </row>
    <row r="186">
      <c r="A186" s="6" t="inlineStr">
        <is>
          <t>GRO2102</t>
        </is>
      </c>
      <c r="B186" s="6" t="inlineStr">
        <is>
          <t>Kerek műanyag virágcserép 9,5 liter, 24 x 24 cm, fekete, újrahasznosított PE</t>
        </is>
      </c>
      <c r="C186" s="6" t="inlineStr">
        <is>
          <t>Virágcserép</t>
        </is>
      </c>
      <c r="D186" s="6" t="inlineStr"/>
      <c r="E186" s="6" t="inlineStr">
        <is>
          <t>Erős</t>
        </is>
      </c>
      <c r="F186" s="6" t="inlineStr">
        <is>
          <t>az elmúlt 30 napban</t>
        </is>
      </c>
      <c r="G186" s="6" t="inlineStr">
        <is>
          <t>Kerek fekete műanyag cserép</t>
        </is>
      </c>
    </row>
    <row r="187">
      <c r="A187" s="6" t="inlineStr">
        <is>
          <t>GRO2103</t>
        </is>
      </c>
      <c r="B187" s="6" t="inlineStr">
        <is>
          <t>Kerek műanyag virágcserép 12 liter, 26 x 26 cm, fekete, újrahasznosított PE</t>
        </is>
      </c>
      <c r="C187" s="6" t="inlineStr">
        <is>
          <t>Virágcserép</t>
        </is>
      </c>
      <c r="D187" s="6" t="inlineStr"/>
      <c r="E187" s="6" t="inlineStr">
        <is>
          <t>Erős</t>
        </is>
      </c>
      <c r="F187" s="6" t="inlineStr">
        <is>
          <t>az elmúlt 30 napban</t>
        </is>
      </c>
      <c r="G187" s="6" t="inlineStr">
        <is>
          <t>Kerek fekete műanyag cserép</t>
        </is>
      </c>
    </row>
    <row r="188">
      <c r="A188" s="6" t="inlineStr">
        <is>
          <t>GRO2104</t>
        </is>
      </c>
      <c r="B188" s="6" t="inlineStr">
        <is>
          <t>Kerek műanyag virágcserép 15 liter, 28 x 28 cm, fekete, újrahasznosított PE</t>
        </is>
      </c>
      <c r="C188" s="6" t="inlineStr">
        <is>
          <t>Virágcserép</t>
        </is>
      </c>
      <c r="D188" s="6" t="inlineStr"/>
      <c r="E188" s="6" t="inlineStr">
        <is>
          <t>Erős</t>
        </is>
      </c>
      <c r="F188" s="6" t="inlineStr">
        <is>
          <t>az elmúlt 30 napban</t>
        </is>
      </c>
      <c r="G188" s="6" t="inlineStr">
        <is>
          <t>Kerek fekete műanyag cserép</t>
        </is>
      </c>
    </row>
    <row r="189">
      <c r="A189" s="6" t="inlineStr">
        <is>
          <t>GRO2107</t>
        </is>
      </c>
      <c r="B189" s="6" t="inlineStr">
        <is>
          <t>Lyukacsos szögletes műanyag cserép 9,6 liter, 20 x 23 x 28 cm, hidropóniához is</t>
        </is>
      </c>
      <c r="C189" s="6" t="inlineStr">
        <is>
          <t>Virágcserép</t>
        </is>
      </c>
      <c r="D189" s="6" t="inlineStr">
        <is>
          <t>Szögletes cserép</t>
        </is>
      </c>
      <c r="E189" s="6" t="inlineStr">
        <is>
          <t>Erős</t>
        </is>
      </c>
      <c r="F189" s="6" t="inlineStr">
        <is>
          <t>az elmúlt 30 napban</t>
        </is>
      </c>
      <c r="G189" s="6" t="inlineStr">
        <is>
          <t>Lyukacsos szögletes, hidropóniához is</t>
        </is>
      </c>
    </row>
    <row r="190">
      <c r="A190" s="6" t="inlineStr">
        <is>
          <t>GRO2108</t>
        </is>
      </c>
      <c r="B190" s="6" t="inlineStr">
        <is>
          <t>Lyukacsos kerek virágcserép 5 liter, 23 x 20 cm, spirálgyökér gátló</t>
        </is>
      </c>
      <c r="C190" s="6" t="inlineStr">
        <is>
          <t>Virágcserép</t>
        </is>
      </c>
      <c r="D190" s="6" t="inlineStr"/>
      <c r="E190" s="6" t="inlineStr">
        <is>
          <t>Erős</t>
        </is>
      </c>
      <c r="F190" s="6" t="inlineStr">
        <is>
          <t>az elmúlt 30 napban</t>
        </is>
      </c>
      <c r="G190" s="6" t="inlineStr">
        <is>
          <t>Lyukacsos kerek, spirálgyökér-gátló</t>
        </is>
      </c>
    </row>
    <row r="191">
      <c r="A191" s="6" t="inlineStr">
        <is>
          <t>GRO2109</t>
        </is>
      </c>
      <c r="B191" s="6" t="inlineStr">
        <is>
          <t>Lyukacsos kerek virágcserép 20 liter, 33 x 29 cm, spirálgyökér gátló</t>
        </is>
      </c>
      <c r="C191" s="6" t="inlineStr">
        <is>
          <t>Virágcserép</t>
        </is>
      </c>
      <c r="D191" s="6" t="inlineStr">
        <is>
          <t>Nagy virágcserép</t>
        </is>
      </c>
      <c r="E191" s="6" t="inlineStr">
        <is>
          <t>Erős</t>
        </is>
      </c>
      <c r="F191" s="6" t="inlineStr">
        <is>
          <t>az elmúlt 30 napban</t>
        </is>
      </c>
      <c r="G191" s="6" t="inlineStr">
        <is>
          <t>Lyukacsos kerek, 20–90 l</t>
        </is>
      </c>
    </row>
    <row r="192">
      <c r="A192" s="6" t="inlineStr">
        <is>
          <t>GRO2110</t>
        </is>
      </c>
      <c r="B192" s="6" t="inlineStr">
        <is>
          <t>Lyukacsos kerek virágcserép 25 liter, 37,5 x 32 cm, spirálgyökér gátló</t>
        </is>
      </c>
      <c r="C192" s="6" t="inlineStr">
        <is>
          <t>Virágcserép</t>
        </is>
      </c>
      <c r="D192" s="6" t="inlineStr">
        <is>
          <t>Nagy virágcserép</t>
        </is>
      </c>
      <c r="E192" s="6" t="inlineStr">
        <is>
          <t>Erős</t>
        </is>
      </c>
      <c r="F192" s="6" t="inlineStr">
        <is>
          <t>az elmúlt 30 napban</t>
        </is>
      </c>
      <c r="G192" s="6" t="inlineStr">
        <is>
          <t>Lyukacsos kerek, 20–90 l</t>
        </is>
      </c>
    </row>
    <row r="193">
      <c r="A193" s="6" t="inlineStr">
        <is>
          <t>GRO2111</t>
        </is>
      </c>
      <c r="B193" s="6" t="inlineStr">
        <is>
          <t>Lyukacsos kerek virágcserép 35 liter, 42 x 36 cm, spirálgyökér gátló</t>
        </is>
      </c>
      <c r="C193" s="6" t="inlineStr">
        <is>
          <t>Virágcserép</t>
        </is>
      </c>
      <c r="D193" s="6" t="inlineStr">
        <is>
          <t>Nagy virágcserép</t>
        </is>
      </c>
      <c r="E193" s="6" t="inlineStr">
        <is>
          <t>Erős</t>
        </is>
      </c>
      <c r="F193" s="6" t="inlineStr">
        <is>
          <t>az elmúlt 30 napban</t>
        </is>
      </c>
      <c r="G193" s="6" t="inlineStr">
        <is>
          <t>Lyukacsos kerek, 20–90 l</t>
        </is>
      </c>
    </row>
    <row r="194">
      <c r="A194" s="6" t="inlineStr">
        <is>
          <t>GRO2356</t>
        </is>
      </c>
      <c r="B194" s="6" t="inlineStr">
        <is>
          <t>Görög mintás négyzetes műanyag virágcserép 6 liter, 21 x 19,2 cm</t>
        </is>
      </c>
      <c r="C194" s="6" t="inlineStr">
        <is>
          <t>Virágcserép</t>
        </is>
      </c>
      <c r="D194" s="6" t="inlineStr">
        <is>
          <t>Szögletes cserép</t>
        </is>
      </c>
      <c r="E194" s="6" t="inlineStr">
        <is>
          <t>Erős</t>
        </is>
      </c>
      <c r="F194" s="6" t="inlineStr">
        <is>
          <t>az elmúlt 30 napban</t>
        </is>
      </c>
      <c r="G194" s="6" t="inlineStr">
        <is>
          <t>Görög mintás négyzetes</t>
        </is>
      </c>
    </row>
    <row r="195">
      <c r="A195" s="6" t="inlineStr">
        <is>
          <t>GRO2359</t>
        </is>
      </c>
      <c r="B195" s="6" t="inlineStr">
        <is>
          <t>Görög mintás négyzetes műanyag virágcserép 2 liter, 14 x 14 cm</t>
        </is>
      </c>
      <c r="C195" s="6" t="inlineStr">
        <is>
          <t>Virágcserép</t>
        </is>
      </c>
      <c r="D195" s="6" t="inlineStr">
        <is>
          <t>Szögletes cserép</t>
        </is>
      </c>
      <c r="E195" s="6" t="inlineStr">
        <is>
          <t>Erős</t>
        </is>
      </c>
      <c r="F195" s="6" t="inlineStr">
        <is>
          <t>az elmúlt 30 napban</t>
        </is>
      </c>
      <c r="G195" s="6" t="inlineStr">
        <is>
          <t>Görög mintás négyzetes</t>
        </is>
      </c>
    </row>
    <row r="196">
      <c r="A196" s="6" t="inlineStr">
        <is>
          <t>GRO2360</t>
        </is>
      </c>
      <c r="B196" s="6" t="inlineStr">
        <is>
          <t>Szögletes műanyag cserép 11 liter, 23 x 23 x 26 cm, gyökércsavarodás gátló</t>
        </is>
      </c>
      <c r="C196" s="6" t="inlineStr">
        <is>
          <t>Virágcserép</t>
        </is>
      </c>
      <c r="D196" s="6" t="inlineStr">
        <is>
          <t>Szögletes cserép</t>
        </is>
      </c>
      <c r="E196" s="6" t="inlineStr">
        <is>
          <t>Erős</t>
        </is>
      </c>
      <c r="F196" s="6" t="inlineStr">
        <is>
          <t>az elmúlt 30 napban</t>
        </is>
      </c>
      <c r="G196" s="6" t="inlineStr">
        <is>
          <t>Szögletes, gyökércsavarodás-gátló</t>
        </is>
      </c>
    </row>
    <row r="197">
      <c r="A197" s="6" t="inlineStr">
        <is>
          <t>GRO2494</t>
        </is>
      </c>
      <c r="B197" s="6" t="inlineStr">
        <is>
          <t>Lyukacsos kerek virágcserép 50 liter, 50 x 39 cm, spirálgyökér gátló</t>
        </is>
      </c>
      <c r="C197" s="6" t="inlineStr">
        <is>
          <t>Virágcserép</t>
        </is>
      </c>
      <c r="D197" s="6" t="inlineStr">
        <is>
          <t>Nagy virágcserép</t>
        </is>
      </c>
      <c r="E197" s="6" t="inlineStr">
        <is>
          <t>Erős</t>
        </is>
      </c>
      <c r="F197" s="6" t="inlineStr">
        <is>
          <t>az elmúlt 30 napban</t>
        </is>
      </c>
      <c r="G197" s="6" t="inlineStr">
        <is>
          <t>Lyukacsos kerek, 20–90 l</t>
        </is>
      </c>
    </row>
    <row r="198">
      <c r="A198" s="6" t="inlineStr">
        <is>
          <t>GRO2495</t>
        </is>
      </c>
      <c r="B198" s="6" t="inlineStr">
        <is>
          <t>Lyukacsos kerek virágcserép 70 liter, 55 x 45 cm, spirálgyökér gátló</t>
        </is>
      </c>
      <c r="C198" s="6" t="inlineStr">
        <is>
          <t>Virágcserép</t>
        </is>
      </c>
      <c r="D198" s="6" t="inlineStr">
        <is>
          <t>Nagy virágcserép</t>
        </is>
      </c>
      <c r="E198" s="6" t="inlineStr">
        <is>
          <t>Erős</t>
        </is>
      </c>
      <c r="F198" s="6" t="inlineStr">
        <is>
          <t>az elmúlt 30 napban</t>
        </is>
      </c>
      <c r="G198" s="6" t="inlineStr">
        <is>
          <t>Lyukacsos kerek, 20–90 l</t>
        </is>
      </c>
    </row>
    <row r="199">
      <c r="A199" s="6" t="inlineStr">
        <is>
          <t>GRO2496</t>
        </is>
      </c>
      <c r="B199" s="6" t="inlineStr">
        <is>
          <t>Lyukacsos kerek virágcserép 90 liter, 60 x 46 cm, spirálgyökér gátló</t>
        </is>
      </c>
      <c r="C199" s="6" t="inlineStr">
        <is>
          <t>Virágcserép</t>
        </is>
      </c>
      <c r="D199" s="6" t="inlineStr">
        <is>
          <t>Nagy virágcserép</t>
        </is>
      </c>
      <c r="E199" s="6" t="inlineStr">
        <is>
          <t>Erős</t>
        </is>
      </c>
      <c r="F199" s="6" t="inlineStr">
        <is>
          <t>az elmúlt 30 napban</t>
        </is>
      </c>
      <c r="G199" s="6" t="inlineStr">
        <is>
          <t>Lyukacsos kerek, 20–90 l</t>
        </is>
      </c>
    </row>
    <row r="200">
      <c r="A200" s="6" t="inlineStr">
        <is>
          <t>GRO2497</t>
        </is>
      </c>
      <c r="B200" s="6" t="inlineStr">
        <is>
          <t>Lyukacsos szögletes műanyag cserép 6,5 liter, 20 x 20 x 25,5 cm, hidropóniához is</t>
        </is>
      </c>
      <c r="C200" s="6" t="inlineStr">
        <is>
          <t>Virágcserép</t>
        </is>
      </c>
      <c r="D200" s="6" t="inlineStr">
        <is>
          <t>Szögletes cserép</t>
        </is>
      </c>
      <c r="E200" s="6" t="inlineStr">
        <is>
          <t>Erős</t>
        </is>
      </c>
      <c r="F200" s="6" t="inlineStr">
        <is>
          <t>az elmúlt 30 napban</t>
        </is>
      </c>
      <c r="G200" s="6" t="inlineStr">
        <is>
          <t>Lyukacsos szögletes, hidropóniához is</t>
        </is>
      </c>
    </row>
    <row r="201">
      <c r="A201" s="6" t="inlineStr">
        <is>
          <t>GRO2498</t>
        </is>
      </c>
      <c r="B201" s="6" t="inlineStr">
        <is>
          <t>Kerek műanyag virágcserép 18,5 liter, 30 x 30 cm, fekete, újrahasznosított PE</t>
        </is>
      </c>
      <c r="C201" s="6" t="inlineStr">
        <is>
          <t>Virágcserép</t>
        </is>
      </c>
      <c r="D201" s="6" t="inlineStr"/>
      <c r="E201" s="6" t="inlineStr">
        <is>
          <t>Erős</t>
        </is>
      </c>
      <c r="F201" s="6" t="inlineStr">
        <is>
          <t>az elmúlt 30 napban</t>
        </is>
      </c>
      <c r="G201" s="6" t="inlineStr">
        <is>
          <t>Kerek fekete műanyag cserép</t>
        </is>
      </c>
    </row>
    <row r="202">
      <c r="A202" s="6" t="inlineStr">
        <is>
          <t>GRO2499</t>
        </is>
      </c>
      <c r="B202" s="6" t="inlineStr">
        <is>
          <t>Műanyag virágcserép (kerek) 33x33 cm 25 liter</t>
        </is>
      </c>
      <c r="C202" s="6" t="inlineStr">
        <is>
          <t>Virágcserép</t>
        </is>
      </c>
      <c r="D202" s="6" t="inlineStr">
        <is>
          <t>Nagy virágcserép</t>
        </is>
      </c>
      <c r="E202" s="6" t="inlineStr">
        <is>
          <t>Erős</t>
        </is>
      </c>
      <c r="F202" s="6" t="inlineStr">
        <is>
          <t>az elmúlt 30 napban</t>
        </is>
      </c>
      <c r="G202" s="6" t="inlineStr">
        <is>
          <t>Kerek fekete műanyag cserép, 25–30 l</t>
        </is>
      </c>
    </row>
    <row r="203">
      <c r="A203" s="6" t="inlineStr">
        <is>
          <t>GRO2500</t>
        </is>
      </c>
      <c r="B203" s="6" t="inlineStr">
        <is>
          <t>Kerek műanyag virágcserép 30 liter, 35 x 37 cm, fekete, újrahasznosított PE</t>
        </is>
      </c>
      <c r="C203" s="6" t="inlineStr">
        <is>
          <t>Virágcserép</t>
        </is>
      </c>
      <c r="D203" s="6" t="inlineStr">
        <is>
          <t>Nagy virágcserép</t>
        </is>
      </c>
      <c r="E203" s="6" t="inlineStr">
        <is>
          <t>Erős</t>
        </is>
      </c>
      <c r="F203" s="6" t="inlineStr">
        <is>
          <t>az elmúlt 30 napban</t>
        </is>
      </c>
      <c r="G203" s="6" t="inlineStr">
        <is>
          <t>Kerek fekete műanyag cserép, 25–30 l</t>
        </is>
      </c>
    </row>
    <row r="204">
      <c r="A204" s="6" t="inlineStr">
        <is>
          <t>GRO4240</t>
        </is>
      </c>
      <c r="B204" s="6" t="inlineStr">
        <is>
          <t>GF Cserép economic 10 L 10 db</t>
        </is>
      </c>
      <c r="C204" s="6" t="inlineStr">
        <is>
          <t>Virágcserép</t>
        </is>
      </c>
      <c r="D204" s="6" t="inlineStr"/>
      <c r="E204" s="6" t="inlineStr">
        <is>
          <t>Erős</t>
        </is>
      </c>
      <c r="F204" s="6" t="inlineStr">
        <is>
          <t>az elmúlt 30 napban</t>
        </is>
      </c>
      <c r="G204" s="6" t="inlineStr">
        <is>
          <t>Gyűjtőcsomag (10 db)</t>
        </is>
      </c>
    </row>
    <row r="205">
      <c r="A205" s="6" t="inlineStr">
        <is>
          <t>GRO4241</t>
        </is>
      </c>
      <c r="B205" s="6" t="inlineStr">
        <is>
          <t>GF Cserép economic 15 L 10 db</t>
        </is>
      </c>
      <c r="C205" s="6" t="inlineStr">
        <is>
          <t>Virágcserép</t>
        </is>
      </c>
      <c r="D205" s="6" t="inlineStr"/>
      <c r="E205" s="6" t="inlineStr">
        <is>
          <t>Erős</t>
        </is>
      </c>
      <c r="F205" s="6" t="inlineStr">
        <is>
          <t>az elmúlt 30 napban</t>
        </is>
      </c>
      <c r="G205" s="6" t="inlineStr">
        <is>
          <t>Gyűjtőcsomag (10 db)</t>
        </is>
      </c>
    </row>
    <row r="206">
      <c r="A206" s="9" t="inlineStr">
        <is>
          <t>GRO4613</t>
        </is>
      </c>
      <c r="B206" s="9" t="inlineStr">
        <is>
          <t>Garland magas falú cserép 37,5x23x12,5 cm</t>
        </is>
      </c>
      <c r="C206" s="9" t="inlineStr">
        <is>
          <t>Virágcserép</t>
        </is>
      </c>
      <c r="D206" s="9" t="inlineStr"/>
      <c r="E206" s="9" t="inlineStr">
        <is>
          <t>Laza</t>
        </is>
      </c>
      <c r="F206" s="9" t="inlineStr">
        <is>
          <t>az elmúlt 30 napban</t>
        </is>
      </c>
      <c r="G206" s="9" t="inlineStr">
        <is>
          <t>Garland magas falú (tálcaszerű) cserép</t>
        </is>
      </c>
    </row>
  </sheetData>
  <autoFilter ref="A6:G2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8" customWidth="1" min="1" max="1"/>
    <col width="44" customWidth="1" min="2" max="2"/>
    <col width="16" customWidth="1" min="3" max="3"/>
    <col width="20" customWidth="1" min="4" max="4"/>
    <col width="16" customWidth="1" min="5" max="5"/>
    <col width="52" customWidth="1" min="6" max="6"/>
  </cols>
  <sheetData>
    <row r="1">
      <c r="A1" s="1" t="inlineStr">
        <is>
          <t>Rokon, cserepekhez kapcsolódó területek (Kulcsszótervező, HU, 12 hó átlag)</t>
        </is>
      </c>
    </row>
    <row r="2">
      <c r="A2" s="2" t="inlineStr">
        <is>
          <t>Más szándékú vagy más főkategóriába tartozó témák – csak ha van hozzá termék.</t>
        </is>
      </c>
    </row>
    <row r="4">
      <c r="A4" s="3" t="inlineStr">
        <is>
          <t>Terület</t>
        </is>
      </c>
      <c r="B4" s="3" t="inlineStr">
        <is>
          <t>Javaslat</t>
        </is>
      </c>
      <c r="C4" s="3" t="inlineStr">
        <is>
          <t>Releváns keresés (Szoros+Laza)</t>
        </is>
      </c>
    </row>
    <row r="5">
      <c r="A5" s="2" t="inlineStr">
        <is>
          <t>Önöntöző cserép</t>
        </is>
      </c>
      <c r="B5" s="2" t="inlineStr">
        <is>
          <t>Nincs önöntöző cserép a kínálatban (csak egy víztartályos alátét) – kategória csak kínálatbővítés esetén</t>
        </is>
      </c>
      <c r="C5" s="20">
        <f>SUMIFS(C13:C34,A13:A34,A5,E13:E34,"&lt;&gt;Nem")</f>
        <v/>
      </c>
    </row>
    <row r="6">
      <c r="A6" s="2" t="inlineStr">
        <is>
          <t>Műanyag vödör</t>
        </is>
      </c>
      <c r="B6" s="2" t="inlineStr">
        <is>
          <t>Csak ha van vödör (pl. DWC / hidro vödör) – akkor a Hidro ágba vagy szűrőként</t>
        </is>
      </c>
      <c r="C6" s="20">
        <f>SUMIFS(C13:C34,A13:A34,A6,E13:E34,"&lt;&gt;Nem")</f>
        <v/>
      </c>
    </row>
    <row r="7">
      <c r="A7" s="2" t="inlineStr">
        <is>
          <t>Hidrokultúrás cserép, hálós kosár</t>
        </is>
      </c>
      <c r="B7" s="2" t="inlineStr">
        <is>
          <t>A Hidro főkategóriába (ha van); innen kereszt-link</t>
        </is>
      </c>
      <c r="C7" s="20">
        <f>SUMIFS(C13:C34,A13:A34,A7,E13:E34,"&lt;&gt;Nem")</f>
        <v/>
      </c>
    </row>
    <row r="8">
      <c r="A8" s="2" t="inlineStr">
        <is>
          <t>Orchidea és átlátszó cserép</t>
        </is>
      </c>
      <c r="B8" s="2" t="inlineStr">
        <is>
          <t>Csak ha van ilyen termék – különben szűrő / említés</t>
        </is>
      </c>
      <c r="C8" s="20">
        <f>SUMIFS(C13:C34,A13:A34,A8,E13:E34,"&lt;&gt;Nem")</f>
        <v/>
      </c>
    </row>
    <row r="9">
      <c r="A9" s="2" t="inlineStr">
        <is>
          <t>Kaspó, virágláda, dekor cserép</t>
        </is>
      </c>
      <c r="B9" s="2" t="inlineStr">
        <is>
          <t>Nem growshop-téma – csak ha forgalmazod</t>
        </is>
      </c>
      <c r="C9" s="20">
        <f>SUMIFS(C13:C34,A13:A34,A9,E13:E34,"&lt;&gt;Nem")</f>
        <v/>
      </c>
    </row>
    <row r="12">
      <c r="A12" s="3" t="inlineStr">
        <is>
          <t>Terület</t>
        </is>
      </c>
      <c r="B12" s="3" t="inlineStr">
        <is>
          <t>Kulcsszó</t>
        </is>
      </c>
      <c r="C12" s="3" t="inlineStr">
        <is>
          <t>Havi keresés</t>
        </is>
      </c>
      <c r="D12" s="3" t="inlineStr">
        <is>
          <t>Kötődés a webshophoz</t>
        </is>
      </c>
      <c r="E12" s="3" t="inlineStr">
        <is>
          <t>Érdemes rá oldal?</t>
        </is>
      </c>
      <c r="F12" s="3" t="inlineStr">
        <is>
          <t>Javasolt felhasználás</t>
        </is>
      </c>
    </row>
    <row r="13">
      <c r="A13" s="7" t="inlineStr">
        <is>
          <t>Önöntöző cserép</t>
        </is>
      </c>
      <c r="B13" s="7" t="inlineStr">
        <is>
          <t>önöntöző cserép</t>
        </is>
      </c>
      <c r="C13" s="8" t="n">
        <v>90</v>
      </c>
      <c r="D13" s="7" t="inlineStr">
        <is>
          <t>Laza</t>
        </is>
      </c>
      <c r="E13" s="7" t="inlineStr">
        <is>
          <t>Igen</t>
        </is>
      </c>
      <c r="F13" s="7" t="inlineStr">
        <is>
          <t>Nincs önöntöző cserép a kínálatban (csak egy víztartályos alátét) – kategória csak kínálatbővítés esetén</t>
        </is>
      </c>
    </row>
    <row r="14">
      <c r="A14" s="7" t="inlineStr">
        <is>
          <t>Önöntöző cserép</t>
        </is>
      </c>
      <c r="B14" s="7" t="inlineStr">
        <is>
          <t>önöntöző virágcserép</t>
        </is>
      </c>
      <c r="C14" s="8" t="n">
        <v>20</v>
      </c>
      <c r="D14" s="7" t="inlineStr">
        <is>
          <t>Laza</t>
        </is>
      </c>
      <c r="E14" s="7" t="inlineStr">
        <is>
          <t>Igen</t>
        </is>
      </c>
      <c r="F14" s="7" t="inlineStr">
        <is>
          <t>Nincs önöntöző cserép a kínálatban (csak egy víztartályos alátét) – kategória csak kínálatbővítés esetén</t>
        </is>
      </c>
    </row>
    <row r="15">
      <c r="A15" s="7" t="inlineStr">
        <is>
          <t>Önöntöző cserép</t>
        </is>
      </c>
      <c r="B15" s="7" t="inlineStr">
        <is>
          <t>cserép öntöző</t>
        </is>
      </c>
      <c r="C15" s="8" t="n">
        <v>20</v>
      </c>
      <c r="D15" s="7" t="inlineStr">
        <is>
          <t>Laza</t>
        </is>
      </c>
      <c r="E15" s="7" t="inlineStr">
        <is>
          <t>Igen</t>
        </is>
      </c>
      <c r="F15" s="7" t="inlineStr">
        <is>
          <t>Nincs önöntöző cserép a kínálatban (csak egy víztartályos alátét) – kategória csak kínálatbővítés esetén</t>
        </is>
      </c>
    </row>
    <row r="16">
      <c r="A16" s="7" t="inlineStr">
        <is>
          <t>Önöntöző cserép</t>
        </is>
      </c>
      <c r="B16" s="7" t="inlineStr">
        <is>
          <t>önlocsoló virágcserép</t>
        </is>
      </c>
      <c r="C16" s="8" t="n">
        <v>10</v>
      </c>
      <c r="D16" s="7" t="inlineStr">
        <is>
          <t>Laza</t>
        </is>
      </c>
      <c r="E16" s="7" t="inlineStr">
        <is>
          <t>Igen</t>
        </is>
      </c>
      <c r="F16" s="7" t="inlineStr">
        <is>
          <t>Nincs önöntöző cserép a kínálatban (csak egy víztartályos alátét) – kategória csak kínálatbővítés esetén</t>
        </is>
      </c>
    </row>
    <row r="17">
      <c r="A17" s="7" t="inlineStr">
        <is>
          <t>Műanyag vödör</t>
        </is>
      </c>
      <c r="B17" s="7" t="inlineStr">
        <is>
          <t>műanyag vödör</t>
        </is>
      </c>
      <c r="C17" s="8" t="n">
        <v>590</v>
      </c>
      <c r="D17" s="7" t="inlineStr">
        <is>
          <t>Laza</t>
        </is>
      </c>
      <c r="E17" s="7" t="inlineStr">
        <is>
          <t>Igen</t>
        </is>
      </c>
      <c r="F17" s="7" t="inlineStr">
        <is>
          <t>Csak ha van vödör (pl. DWC / hidro vödör) – akkor a Hidro ágba vagy szűrőként</t>
        </is>
      </c>
    </row>
    <row r="18">
      <c r="A18" s="7" t="inlineStr">
        <is>
          <t>Műanyag vödör</t>
        </is>
      </c>
      <c r="B18" s="7" t="inlineStr">
        <is>
          <t>műanyagvödör</t>
        </is>
      </c>
      <c r="C18" s="8" t="n">
        <v>590</v>
      </c>
      <c r="D18" s="7" t="inlineStr">
        <is>
          <t>Laza</t>
        </is>
      </c>
      <c r="E18" s="7" t="inlineStr">
        <is>
          <t>Igen</t>
        </is>
      </c>
      <c r="F18" s="7" t="inlineStr">
        <is>
          <t>Csak ha van vödör (pl. DWC / hidro vödör) – akkor a Hidro ágba vagy szűrőként</t>
        </is>
      </c>
    </row>
    <row r="19">
      <c r="A19" s="7" t="inlineStr">
        <is>
          <t>Műanyag vödör</t>
        </is>
      </c>
      <c r="B19" s="7" t="inlineStr">
        <is>
          <t>olcsó műanyag vödör</t>
        </is>
      </c>
      <c r="C19" s="8" t="n">
        <v>70</v>
      </c>
      <c r="D19" s="7" t="inlineStr">
        <is>
          <t>Laza</t>
        </is>
      </c>
      <c r="E19" s="7" t="inlineStr">
        <is>
          <t>Igen</t>
        </is>
      </c>
      <c r="F19" s="7" t="inlineStr">
        <is>
          <t>Csak ha van vödör (pl. DWC / hidro vödör) – akkor a Hidro ágba vagy szűrőként</t>
        </is>
      </c>
    </row>
    <row r="20">
      <c r="A20" s="7" t="inlineStr">
        <is>
          <t>Műanyag vödör</t>
        </is>
      </c>
      <c r="B20" s="7" t="inlineStr">
        <is>
          <t>műanyag vödör fedővel</t>
        </is>
      </c>
      <c r="C20" s="8" t="n">
        <v>20</v>
      </c>
      <c r="D20" s="7" t="inlineStr">
        <is>
          <t>Laza</t>
        </is>
      </c>
      <c r="E20" s="7" t="inlineStr">
        <is>
          <t>Igen</t>
        </is>
      </c>
      <c r="F20" s="7" t="inlineStr">
        <is>
          <t>Csak ha van vödör (pl. DWC / hidro vödör) – akkor a Hidro ágba vagy szűrőként</t>
        </is>
      </c>
    </row>
    <row r="21">
      <c r="A21" s="7" t="inlineStr">
        <is>
          <t>Hidrokultúrás cserép, hálós kosár</t>
        </is>
      </c>
      <c r="B21" s="7" t="inlineStr">
        <is>
          <t>hidrokultúrás cserép</t>
        </is>
      </c>
      <c r="C21" s="8" t="n">
        <v>30</v>
      </c>
      <c r="D21" s="7" t="inlineStr">
        <is>
          <t>Laza</t>
        </is>
      </c>
      <c r="E21" s="7" t="inlineStr">
        <is>
          <t>Igen</t>
        </is>
      </c>
      <c r="F21" s="7" t="inlineStr">
        <is>
          <t>A Hidro főkategóriába (ha van); innen kereszt-link</t>
        </is>
      </c>
    </row>
    <row r="22">
      <c r="A22" s="7" t="inlineStr">
        <is>
          <t>Hidrokultúrás cserép, hálós kosár</t>
        </is>
      </c>
      <c r="B22" s="7" t="inlineStr">
        <is>
          <t>hálós kosár</t>
        </is>
      </c>
      <c r="C22" s="8" t="n">
        <v>20</v>
      </c>
      <c r="D22" s="7" t="inlineStr">
        <is>
          <t>Laza</t>
        </is>
      </c>
      <c r="E22" s="7" t="inlineStr">
        <is>
          <t>Igen</t>
        </is>
      </c>
      <c r="F22" s="7" t="inlineStr">
        <is>
          <t>A Hidro főkategóriába (ha van); innen kereszt-link</t>
        </is>
      </c>
    </row>
    <row r="23">
      <c r="A23" s="7" t="inlineStr">
        <is>
          <t>Hidrokultúrás cserép, hálós kosár</t>
        </is>
      </c>
      <c r="B23" s="7" t="inlineStr">
        <is>
          <t>hidroponikus cserép</t>
        </is>
      </c>
      <c r="C23" s="8" t="n">
        <v>20</v>
      </c>
      <c r="D23" s="7" t="inlineStr">
        <is>
          <t>Laza</t>
        </is>
      </c>
      <c r="E23" s="7" t="inlineStr">
        <is>
          <t>Igen</t>
        </is>
      </c>
      <c r="F23" s="7" t="inlineStr">
        <is>
          <t>A Hidro főkategóriába (ha van); innen kereszt-link</t>
        </is>
      </c>
    </row>
    <row r="24">
      <c r="A24" s="7" t="inlineStr">
        <is>
          <t>Hidrokultúrás cserép, hálós kosár</t>
        </is>
      </c>
      <c r="B24" s="7" t="inlineStr">
        <is>
          <t>hidro cserép</t>
        </is>
      </c>
      <c r="C24" s="8" t="n">
        <v>10</v>
      </c>
      <c r="D24" s="7" t="inlineStr">
        <is>
          <t>Laza</t>
        </is>
      </c>
      <c r="E24" s="7" t="inlineStr">
        <is>
          <t>Igen</t>
        </is>
      </c>
      <c r="F24" s="7" t="inlineStr">
        <is>
          <t>A Hidro főkategóriába (ha van); innen kereszt-link</t>
        </is>
      </c>
    </row>
    <row r="25">
      <c r="A25" s="7" t="inlineStr">
        <is>
          <t>Hidrokultúrás cserép, hálós kosár</t>
        </is>
      </c>
      <c r="B25" s="7" t="inlineStr">
        <is>
          <t>net pot</t>
        </is>
      </c>
      <c r="C25" s="8" t="n">
        <v>10</v>
      </c>
      <c r="D25" s="7" t="inlineStr">
        <is>
          <t>Laza</t>
        </is>
      </c>
      <c r="E25" s="7" t="inlineStr">
        <is>
          <t>Igen</t>
        </is>
      </c>
      <c r="F25" s="7" t="inlineStr">
        <is>
          <t>A Hidro főkategóriába (ha van); innen kereszt-link</t>
        </is>
      </c>
    </row>
    <row r="26">
      <c r="A26" s="7" t="inlineStr">
        <is>
          <t>Orchidea és átlátszó cserép</t>
        </is>
      </c>
      <c r="B26" s="7" t="inlineStr">
        <is>
          <t>orchidea cserép</t>
        </is>
      </c>
      <c r="C26" s="8" t="n">
        <v>720</v>
      </c>
      <c r="D26" s="7" t="inlineStr">
        <is>
          <t>Laza</t>
        </is>
      </c>
      <c r="E26" s="7" t="inlineStr">
        <is>
          <t>Igen</t>
        </is>
      </c>
      <c r="F26" s="7" t="inlineStr">
        <is>
          <t>Csak ha van ilyen termék – különben szűrő / említés</t>
        </is>
      </c>
    </row>
    <row r="27">
      <c r="A27" s="7" t="inlineStr">
        <is>
          <t>Orchidea és átlátszó cserép</t>
        </is>
      </c>
      <c r="B27" s="7" t="inlineStr">
        <is>
          <t>átlátszó cserép</t>
        </is>
      </c>
      <c r="C27" s="8" t="n">
        <v>90</v>
      </c>
      <c r="D27" s="7" t="inlineStr">
        <is>
          <t>Laza</t>
        </is>
      </c>
      <c r="E27" s="7" t="inlineStr">
        <is>
          <t>Igen</t>
        </is>
      </c>
      <c r="F27" s="7" t="inlineStr">
        <is>
          <t>Csak ha van ilyen termék – különben szűrő / említés</t>
        </is>
      </c>
    </row>
    <row r="28">
      <c r="A28" s="7" t="inlineStr">
        <is>
          <t>Orchidea és átlátszó cserép</t>
        </is>
      </c>
      <c r="B28" s="7" t="inlineStr">
        <is>
          <t>orchidea cserép átlátszó</t>
        </is>
      </c>
      <c r="C28" s="8" t="n">
        <v>70</v>
      </c>
      <c r="D28" s="7" t="inlineStr">
        <is>
          <t>Laza</t>
        </is>
      </c>
      <c r="E28" s="7" t="inlineStr">
        <is>
          <t>Igen</t>
        </is>
      </c>
      <c r="F28" s="7" t="inlineStr">
        <is>
          <t>Csak ha van ilyen termék – különben szűrő / említés</t>
        </is>
      </c>
    </row>
    <row r="29">
      <c r="A29" s="7" t="inlineStr">
        <is>
          <t>Orchidea és átlátszó cserép</t>
        </is>
      </c>
      <c r="B29" s="7" t="inlineStr">
        <is>
          <t>átlátszó orchidea cserép</t>
        </is>
      </c>
      <c r="C29" s="8" t="n">
        <v>30</v>
      </c>
      <c r="D29" s="7" t="inlineStr">
        <is>
          <t>Laza</t>
        </is>
      </c>
      <c r="E29" s="7" t="inlineStr">
        <is>
          <t>Igen</t>
        </is>
      </c>
      <c r="F29" s="7" t="inlineStr">
        <is>
          <t>Csak ha van ilyen termék – különben szűrő / említés</t>
        </is>
      </c>
    </row>
    <row r="30">
      <c r="A30" s="11" t="inlineStr">
        <is>
          <t>Kaspó, virágláda, dekor cserép</t>
        </is>
      </c>
      <c r="B30" s="11" t="inlineStr">
        <is>
          <t>kaspó</t>
        </is>
      </c>
      <c r="C30" s="21" t="n">
        <v>2400</v>
      </c>
      <c r="D30" s="11" t="inlineStr">
        <is>
          <t>Laza</t>
        </is>
      </c>
      <c r="E30" s="11" t="inlineStr">
        <is>
          <t>Nem</t>
        </is>
      </c>
      <c r="F30" s="11" t="inlineStr">
        <is>
          <t>Nem growshop-téma – csak ha forgalmazod</t>
        </is>
      </c>
    </row>
    <row r="31">
      <c r="A31" s="11" t="inlineStr">
        <is>
          <t>Kaspó, virágláda, dekor cserép</t>
        </is>
      </c>
      <c r="B31" s="11" t="inlineStr">
        <is>
          <t>virágláda</t>
        </is>
      </c>
      <c r="C31" s="21" t="n">
        <v>2400</v>
      </c>
      <c r="D31" s="11" t="inlineStr">
        <is>
          <t>Laza</t>
        </is>
      </c>
      <c r="E31" s="11" t="inlineStr">
        <is>
          <t>Nem</t>
        </is>
      </c>
      <c r="F31" s="11" t="inlineStr">
        <is>
          <t>Nem growshop-téma – csak ha forgalmazod</t>
        </is>
      </c>
    </row>
    <row r="32">
      <c r="A32" s="11" t="inlineStr">
        <is>
          <t>Kaspó, virágláda, dekor cserép</t>
        </is>
      </c>
      <c r="B32" s="11" t="inlineStr">
        <is>
          <t>virágtartó</t>
        </is>
      </c>
      <c r="C32" s="21" t="n">
        <v>2400</v>
      </c>
      <c r="D32" s="11" t="inlineStr">
        <is>
          <t>Laza</t>
        </is>
      </c>
      <c r="E32" s="11" t="inlineStr">
        <is>
          <t>Nem</t>
        </is>
      </c>
      <c r="F32" s="11" t="inlineStr">
        <is>
          <t>Nem growshop-téma – csak ha forgalmazod</t>
        </is>
      </c>
    </row>
    <row r="33">
      <c r="A33" s="11" t="inlineStr">
        <is>
          <t>Kaspó, virágláda, dekor cserép</t>
        </is>
      </c>
      <c r="B33" s="11" t="inlineStr">
        <is>
          <t>agyag cserép</t>
        </is>
      </c>
      <c r="C33" s="21" t="n">
        <v>720</v>
      </c>
      <c r="D33" s="11" t="inlineStr">
        <is>
          <t>Laza</t>
        </is>
      </c>
      <c r="E33" s="11" t="inlineStr">
        <is>
          <t>Nem</t>
        </is>
      </c>
      <c r="F33" s="11" t="inlineStr">
        <is>
          <t>Nem growshop-téma – csak ha forgalmazod</t>
        </is>
      </c>
    </row>
    <row r="34">
      <c r="A34" s="11" t="inlineStr">
        <is>
          <t>Kaspó, virágláda, dekor cserép</t>
        </is>
      </c>
      <c r="B34" s="11" t="inlineStr">
        <is>
          <t>kerámia cserép</t>
        </is>
      </c>
      <c r="C34" s="21" t="n">
        <v>590</v>
      </c>
      <c r="D34" s="11" t="inlineStr">
        <is>
          <t>Laza</t>
        </is>
      </c>
      <c r="E34" s="11" t="inlineStr">
        <is>
          <t>Nem</t>
        </is>
      </c>
      <c r="F34" s="11" t="inlineStr">
        <is>
          <t>Nem growshop-téma – csak ha forgalmazod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16" customWidth="1" min="3" max="3"/>
    <col width="22" customWidth="1" min="4" max="4"/>
    <col width="16" customWidth="1" min="5" max="5"/>
    <col width="52" customWidth="1" min="6" max="6"/>
  </cols>
  <sheetData>
    <row r="1">
      <c r="A1" s="1" t="inlineStr">
        <is>
          <t>A sandbox „Cserép, tálca” menünevei – keresési volumen és javasolt név</t>
        </is>
      </c>
    </row>
    <row r="2">
      <c r="A2" s="2" t="inlineStr">
        <is>
          <t>Sandbox-tervezet: Virágcserép; Speciális cserép, szövetcserép; Tálca, alátét.</t>
        </is>
      </c>
    </row>
    <row r="4">
      <c r="A4" s="3" t="inlineStr">
        <is>
          <t>Régi kategória</t>
        </is>
      </c>
      <c r="B4" s="3" t="inlineStr">
        <is>
          <t>Javaslat (hova kerüljön)</t>
        </is>
      </c>
      <c r="C4" s="3" t="inlineStr">
        <is>
          <t>Releváns keresés (Szoros+Laza)</t>
        </is>
      </c>
    </row>
    <row r="5">
      <c r="A5" s="2" t="inlineStr">
        <is>
          <t>Cserép, tálca (főkategória)</t>
        </is>
      </c>
      <c r="B5" s="17" t="inlineStr">
        <is>
          <t>A „cserép” (2900) tetőcserép, a „cserép tálca” / „cserép és tálca” kifejezésre nincs mérhető keresés. Menünévnek jó, a H1 / SEO title legyen: „Virágcserép, cserépalátét, tálca”.</t>
        </is>
      </c>
      <c r="C5" s="20">
        <f>SUMIFS(C12:C25,A12:A25,A5,E12:E25,"Igen")</f>
        <v/>
      </c>
    </row>
    <row r="6">
      <c r="A6" s="2" t="inlineStr">
        <is>
          <t>Virágcserép</t>
        </is>
      </c>
      <c r="B6" s="17" t="inlineStr">
        <is>
          <t>Marad; H1: „Műanyag virágcserép”, szűrők: liter, átmérő, forma</t>
        </is>
      </c>
      <c r="C6" s="20">
        <f>SUMIFS(C12:C25,A12:A25,A6,E12:E25,"Igen")</f>
        <v/>
      </c>
    </row>
    <row r="7">
      <c r="A7" s="2" t="inlineStr">
        <is>
          <t>Speciális cserép, szövetcserép</t>
        </is>
      </c>
      <c r="B7" s="17" t="inlineStr">
        <is>
          <t>A „speciális cserép” névre nincs keresés, a „szövetcserép”-re 10. Javaslat: két önálló alkategória – „Air-Pot cserép” és „Szövetcserép, ültetőzsák”.</t>
        </is>
      </c>
      <c r="C7" s="20">
        <f>SUMIFS(C12:C25,A12:A25,A7,E12:E25,"Igen")</f>
        <v/>
      </c>
    </row>
    <row r="8">
      <c r="A8" s="2" t="inlineStr">
        <is>
          <t>Tálca, alátét</t>
        </is>
      </c>
      <c r="B8" s="17" t="inlineStr">
        <is>
          <t>Az „alátét” (720) csavaralátét, a „tálcák” (1000) konyhai. Javaslat: kettébontás – „Cserépalátét” és „Műanyag tálca, árapály asztal”.</t>
        </is>
      </c>
      <c r="C8" s="20">
        <f>SUMIFS(C12:C25,A12:A25,A8,E12:E25,"Igen")</f>
        <v/>
      </c>
    </row>
    <row r="11">
      <c r="A11" s="3" t="inlineStr">
        <is>
          <t>Régi kategória</t>
        </is>
      </c>
      <c r="B11" s="3" t="inlineStr">
        <is>
          <t>Kulcsszó</t>
        </is>
      </c>
      <c r="C11" s="3" t="inlineStr">
        <is>
          <t>Havi keresés</t>
        </is>
      </c>
      <c r="D11" s="3" t="inlineStr">
        <is>
          <t>Kötődés a webshophoz</t>
        </is>
      </c>
      <c r="E11" s="3" t="inlineStr">
        <is>
          <t>Érdemes rá oldal?</t>
        </is>
      </c>
      <c r="F11" s="3" t="inlineStr">
        <is>
          <t>Javasolt felhasználás</t>
        </is>
      </c>
    </row>
    <row r="12">
      <c r="A12" s="11" t="inlineStr">
        <is>
          <t>Cserép, tálca (főkategória)</t>
        </is>
      </c>
      <c r="B12" s="11" t="inlineStr">
        <is>
          <t>cserép</t>
        </is>
      </c>
      <c r="C12" s="21" t="n">
        <v>2900</v>
      </c>
      <c r="D12" s="11" t="inlineStr">
        <is>
          <t>Laza</t>
        </is>
      </c>
      <c r="E12" s="11" t="inlineStr">
        <is>
          <t>Nem</t>
        </is>
      </c>
      <c r="F12" s="11" t="inlineStr">
        <is>
          <t>Nem célozni külön oldallal (max. említés)</t>
        </is>
      </c>
    </row>
    <row r="13">
      <c r="A13" s="4" t="inlineStr">
        <is>
          <t>Cserép, tálca (főkategória)</t>
        </is>
      </c>
      <c r="B13" s="4" t="inlineStr">
        <is>
          <t>virágcserép</t>
        </is>
      </c>
      <c r="C13" s="5" t="n">
        <v>2400</v>
      </c>
      <c r="D13" s="4" t="inlineStr">
        <is>
          <t>Szoros</t>
        </is>
      </c>
      <c r="E13" s="4" t="inlineStr">
        <is>
          <t>Igen</t>
        </is>
      </c>
      <c r="F13" s="4" t="inlineStr">
        <is>
          <t>Az új kategória leírásában / átirányítás (301) a régi URL-ről</t>
        </is>
      </c>
    </row>
    <row r="14">
      <c r="A14" s="4" t="inlineStr">
        <is>
          <t>Cserép, tálca (főkategória)</t>
        </is>
      </c>
      <c r="B14" s="4" t="inlineStr">
        <is>
          <t>cserépalátét</t>
        </is>
      </c>
      <c r="C14" s="5" t="n">
        <v>260</v>
      </c>
      <c r="D14" s="4" t="inlineStr">
        <is>
          <t>Szoros</t>
        </is>
      </c>
      <c r="E14" s="4" t="inlineStr">
        <is>
          <t>Igen</t>
        </is>
      </c>
      <c r="F14" s="4" t="inlineStr">
        <is>
          <t>Az új kategória leírásában / átirányítás (301) a régi URL-ről</t>
        </is>
      </c>
    </row>
    <row r="15">
      <c r="A15" s="4" t="inlineStr">
        <is>
          <t>Virágcserép</t>
        </is>
      </c>
      <c r="B15" s="4" t="inlineStr">
        <is>
          <t>virágcserép</t>
        </is>
      </c>
      <c r="C15" s="5" t="n">
        <v>2400</v>
      </c>
      <c r="D15" s="4" t="inlineStr">
        <is>
          <t>Szoros</t>
        </is>
      </c>
      <c r="E15" s="4" t="inlineStr">
        <is>
          <t>Igen</t>
        </is>
      </c>
      <c r="F15" s="4" t="inlineStr">
        <is>
          <t>Az új kategória leírásában / átirányítás (301) a régi URL-ről</t>
        </is>
      </c>
    </row>
    <row r="16">
      <c r="A16" s="4" t="inlineStr">
        <is>
          <t>Virágcserép</t>
        </is>
      </c>
      <c r="B16" s="4" t="inlineStr">
        <is>
          <t>műanyag virágcserép</t>
        </is>
      </c>
      <c r="C16" s="5" t="n">
        <v>590</v>
      </c>
      <c r="D16" s="4" t="inlineStr">
        <is>
          <t>Szoros</t>
        </is>
      </c>
      <c r="E16" s="4" t="inlineStr">
        <is>
          <t>Igen</t>
        </is>
      </c>
      <c r="F16" s="4" t="inlineStr">
        <is>
          <t>Az új kategória leírásában / átirányítás (301) a régi URL-ről</t>
        </is>
      </c>
    </row>
    <row r="17">
      <c r="A17" s="4" t="inlineStr">
        <is>
          <t>Speciális cserép, szövetcserép</t>
        </is>
      </c>
      <c r="B17" s="4" t="inlineStr">
        <is>
          <t>airpot</t>
        </is>
      </c>
      <c r="C17" s="5" t="n">
        <v>140</v>
      </c>
      <c r="D17" s="4" t="inlineStr">
        <is>
          <t>Szoros</t>
        </is>
      </c>
      <c r="E17" s="4" t="inlineStr">
        <is>
          <t>Igen</t>
        </is>
      </c>
      <c r="F17" s="4" t="inlineStr">
        <is>
          <t>Az új kategória leírásában / átirányítás (301) a régi URL-ről</t>
        </is>
      </c>
    </row>
    <row r="18">
      <c r="A18" s="4" t="inlineStr">
        <is>
          <t>Speciális cserép, szövetcserép</t>
        </is>
      </c>
      <c r="B18" s="4" t="inlineStr">
        <is>
          <t>ültetőzsák</t>
        </is>
      </c>
      <c r="C18" s="5" t="n">
        <v>90</v>
      </c>
      <c r="D18" s="4" t="inlineStr">
        <is>
          <t>Szoros</t>
        </is>
      </c>
      <c r="E18" s="4" t="inlineStr">
        <is>
          <t>Igen</t>
        </is>
      </c>
      <c r="F18" s="4" t="inlineStr">
        <is>
          <t>Az új kategória leírásában / átirányítás (301) a régi URL-ről</t>
        </is>
      </c>
    </row>
    <row r="19">
      <c r="A19" s="4" t="inlineStr">
        <is>
          <t>Speciális cserép, szövetcserép</t>
        </is>
      </c>
      <c r="B19" s="4" t="inlineStr">
        <is>
          <t>szövet cserép</t>
        </is>
      </c>
      <c r="C19" s="5" t="n">
        <v>20</v>
      </c>
      <c r="D19" s="4" t="inlineStr">
        <is>
          <t>Szoros</t>
        </is>
      </c>
      <c r="E19" s="4" t="inlineStr">
        <is>
          <t>Igen</t>
        </is>
      </c>
      <c r="F19" s="4" t="inlineStr">
        <is>
          <t>Az új kategória leírásában / átirányítás (301) a régi URL-ről</t>
        </is>
      </c>
    </row>
    <row r="20">
      <c r="A20" s="4" t="inlineStr">
        <is>
          <t>Speciális cserép, szövetcserép</t>
        </is>
      </c>
      <c r="B20" s="4" t="inlineStr">
        <is>
          <t>szövetcserép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Az új kategória leírásában / átirányítás (301) a régi URL-ről</t>
        </is>
      </c>
    </row>
    <row r="21">
      <c r="A21" s="11" t="inlineStr">
        <is>
          <t>Tálca, alátét</t>
        </is>
      </c>
      <c r="B21" s="11" t="inlineStr">
        <is>
          <t>tálcák</t>
        </is>
      </c>
      <c r="C21" s="21" t="n">
        <v>1000</v>
      </c>
      <c r="D21" s="11" t="inlineStr">
        <is>
          <t>Laza</t>
        </is>
      </c>
      <c r="E21" s="11" t="inlineStr">
        <is>
          <t>Nem</t>
        </is>
      </c>
      <c r="F21" s="11" t="inlineStr">
        <is>
          <t>Nem célozni külön oldallal (max. említés)</t>
        </is>
      </c>
    </row>
    <row r="22">
      <c r="A22" s="11" t="inlineStr">
        <is>
          <t>Tálca, alátét</t>
        </is>
      </c>
      <c r="B22" s="11" t="inlineStr">
        <is>
          <t>alátét</t>
        </is>
      </c>
      <c r="C22" s="21" t="n">
        <v>720</v>
      </c>
      <c r="D22" s="11" t="inlineStr">
        <is>
          <t>Laza</t>
        </is>
      </c>
      <c r="E22" s="11" t="inlineStr">
        <is>
          <t>Nem</t>
        </is>
      </c>
      <c r="F22" s="11" t="inlineStr">
        <is>
          <t>Nem célozni külön oldallal (max. említés)</t>
        </is>
      </c>
    </row>
    <row r="23">
      <c r="A23" s="4" t="inlineStr">
        <is>
          <t>Tálca, alátét</t>
        </is>
      </c>
      <c r="B23" s="4" t="inlineStr">
        <is>
          <t>cserépalátét</t>
        </is>
      </c>
      <c r="C23" s="5" t="n">
        <v>260</v>
      </c>
      <c r="D23" s="4" t="inlineStr">
        <is>
          <t>Szoros</t>
        </is>
      </c>
      <c r="E23" s="4" t="inlineStr">
        <is>
          <t>Igen</t>
        </is>
      </c>
      <c r="F23" s="4" t="inlineStr">
        <is>
          <t>Az új kategória leírásában / átirányítás (301) a régi URL-ről</t>
        </is>
      </c>
    </row>
    <row r="24">
      <c r="A24" s="4" t="inlineStr">
        <is>
          <t>Tálca, alátét</t>
        </is>
      </c>
      <c r="B24" s="4" t="inlineStr">
        <is>
          <t>cserép alátét</t>
        </is>
      </c>
      <c r="C24" s="5" t="n">
        <v>260</v>
      </c>
      <c r="D24" s="4" t="inlineStr">
        <is>
          <t>Szoros</t>
        </is>
      </c>
      <c r="E24" s="4" t="inlineStr">
        <is>
          <t>Igen</t>
        </is>
      </c>
      <c r="F24" s="4" t="inlineStr">
        <is>
          <t>Az új kategória leírásában / átirányítás (301) a régi URL-ről</t>
        </is>
      </c>
    </row>
    <row r="25">
      <c r="A25" s="7" t="inlineStr">
        <is>
          <t>Tálca, alátét</t>
        </is>
      </c>
      <c r="B25" s="7" t="inlineStr">
        <is>
          <t>nagyméretű műanyag tálca</t>
        </is>
      </c>
      <c r="C25" s="8" t="n">
        <v>140</v>
      </c>
      <c r="D25" s="7" t="inlineStr">
        <is>
          <t>Laza</t>
        </is>
      </c>
      <c r="E25" s="7" t="inlineStr">
        <is>
          <t>Igen</t>
        </is>
      </c>
      <c r="F25" s="7" t="inlineStr">
        <is>
          <t>Az új kategória leírásában / átirányítás (301) a régi URL-ről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" customWidth="1" min="2" max="2"/>
    <col width="38" customWidth="1" min="3" max="3"/>
    <col width="22" customWidth="1" min="4" max="4"/>
    <col width="12" customWidth="1" min="5" max="5"/>
    <col width="22" customWidth="1" min="6" max="6"/>
    <col width="16" customWidth="1" min="7" max="7"/>
    <col width="30" customWidth="1" min="8" max="8"/>
    <col width="40" customWidth="1" min="9" max="9"/>
  </cols>
  <sheetData>
    <row r="1">
      <c r="A1" s="3" t="inlineStr">
        <is>
          <t>Kategória</t>
        </is>
      </c>
      <c r="B1" s="3" t="inlineStr">
        <is>
          <t>#</t>
        </is>
      </c>
      <c r="C1" s="3" t="inlineStr">
        <is>
          <t>Kulcsszó</t>
        </is>
      </c>
      <c r="D1" s="3" t="inlineStr">
        <is>
          <t>Megjegyzés (szint)</t>
        </is>
      </c>
      <c r="E1" s="3" t="inlineStr">
        <is>
          <t>Havi keresés</t>
        </is>
      </c>
      <c r="F1" s="3" t="inlineStr">
        <is>
          <t>Kötődés a webshophoz</t>
        </is>
      </c>
      <c r="G1" s="3" t="inlineStr">
        <is>
          <t>Érdemes rá kategória/oldal?</t>
        </is>
      </c>
      <c r="H1" s="3" t="inlineStr">
        <is>
          <t>Felhasználási terület</t>
        </is>
      </c>
      <c r="I1" s="3" t="inlineStr">
        <is>
          <t>Javasolt felhasználás</t>
        </is>
      </c>
    </row>
    <row r="2">
      <c r="A2" s="4" t="inlineStr">
        <is>
          <t>Virágcserép</t>
        </is>
      </c>
      <c r="B2" s="4" t="n">
        <v>1</v>
      </c>
      <c r="C2" s="4" t="inlineStr">
        <is>
          <t>virágcserép</t>
        </is>
      </c>
      <c r="D2" s="4" t="n"/>
      <c r="E2" s="5" t="n">
        <v>2400</v>
      </c>
      <c r="F2" s="4" t="inlineStr">
        <is>
          <t>Szoros</t>
        </is>
      </c>
      <c r="G2" s="4" t="inlineStr">
        <is>
          <t>Igen</t>
        </is>
      </c>
      <c r="H2" s="4" t="inlineStr">
        <is>
          <t>Termesztő cserép – műanyag, kerek, literes méretek</t>
        </is>
      </c>
      <c r="I2" s="4" t="inlineStr">
        <is>
          <t>Kategórianév + H1 + SEO title (fő kulcsszó)</t>
        </is>
      </c>
    </row>
    <row r="3">
      <c r="A3" s="11" t="inlineStr">
        <is>
          <t>Műanyag tálca, árapály asztal</t>
        </is>
      </c>
      <c r="B3" s="11" t="n">
        <v>2</v>
      </c>
      <c r="C3" s="11" t="inlineStr">
        <is>
          <t>tálcák</t>
        </is>
      </c>
      <c r="D3" s="11" t="n"/>
      <c r="E3" s="21" t="n">
        <v>1000</v>
      </c>
      <c r="F3" s="11" t="inlineStr">
        <is>
          <t>Laza</t>
        </is>
      </c>
      <c r="G3" s="11" t="inlineStr">
        <is>
          <t>Nem</t>
        </is>
      </c>
      <c r="H3" s="11" t="inlineStr">
        <is>
          <t>Gyűjtőtálca termesztősátorba, árapály (ebb &amp; flow) rendszer</t>
        </is>
      </c>
      <c r="I3" s="11" t="inlineStr">
        <is>
          <t>Nem célozni külön oldallal (max. említés)</t>
        </is>
      </c>
    </row>
    <row r="4">
      <c r="A4" s="11" t="inlineStr">
        <is>
          <t>Cserépalátét</t>
        </is>
      </c>
      <c r="B4" s="11" t="n">
        <v>2</v>
      </c>
      <c r="C4" s="11" t="inlineStr">
        <is>
          <t>alátét</t>
        </is>
      </c>
      <c r="D4" s="11" t="n"/>
      <c r="E4" s="21" t="n">
        <v>720</v>
      </c>
      <c r="F4" s="11" t="inlineStr">
        <is>
          <t>Laza</t>
        </is>
      </c>
      <c r="G4" s="11" t="inlineStr">
        <is>
          <t>Nem</t>
        </is>
      </c>
      <c r="H4" s="11" t="inlineStr">
        <is>
          <t>Cserép alá – vízfelfogás, gurulós alátét</t>
        </is>
      </c>
      <c r="I4" s="11" t="inlineStr">
        <is>
          <t>Nem célozni külön oldallal (max. említés)</t>
        </is>
      </c>
    </row>
    <row r="5">
      <c r="A5" s="4" t="inlineStr">
        <is>
          <t>Virágcserép</t>
        </is>
      </c>
      <c r="B5" s="4" t="n">
        <v>2</v>
      </c>
      <c r="C5" s="4" t="inlineStr">
        <is>
          <t>műanyag virágcserép</t>
        </is>
      </c>
      <c r="D5" s="4" t="n"/>
      <c r="E5" s="5" t="n">
        <v>590</v>
      </c>
      <c r="F5" s="4" t="inlineStr">
        <is>
          <t>Szoros</t>
        </is>
      </c>
      <c r="G5" s="4" t="inlineStr">
        <is>
          <t>Igen</t>
        </is>
      </c>
      <c r="H5" s="4" t="inlineStr">
        <is>
          <t>Termesztő cserép – műanyag, kerek, literes méretek</t>
        </is>
      </c>
      <c r="I5" s="4" t="inlineStr">
        <is>
          <t>SEO title / H1 / bevezető (másodlagos)</t>
        </is>
      </c>
    </row>
    <row r="6">
      <c r="A6" s="4" t="inlineStr">
        <is>
          <t>Virágcserép</t>
        </is>
      </c>
      <c r="B6" s="4" t="n">
        <v>3</v>
      </c>
      <c r="C6" s="4" t="inlineStr">
        <is>
          <t>műanyag virág cserép</t>
        </is>
      </c>
      <c r="D6" s="4" t="n"/>
      <c r="E6" s="5" t="n">
        <v>590</v>
      </c>
      <c r="F6" s="4" t="inlineStr">
        <is>
          <t>Szoros</t>
        </is>
      </c>
      <c r="G6" s="4" t="inlineStr">
        <is>
          <t>Igen</t>
        </is>
      </c>
      <c r="H6" s="4" t="inlineStr">
        <is>
          <t>Termesztő cserép – műanyag, kerek, literes méretek</t>
        </is>
      </c>
      <c r="I6" s="4" t="inlineStr">
        <is>
          <t>Kategórialeírás (természetes említés)</t>
        </is>
      </c>
    </row>
    <row r="7">
      <c r="A7" s="7" t="inlineStr">
        <is>
          <t>Műanyag tálca, árapály asztal</t>
        </is>
      </c>
      <c r="B7" s="7" t="n">
        <v>3</v>
      </c>
      <c r="C7" s="7" t="inlineStr">
        <is>
          <t>műanyag tálca</t>
        </is>
      </c>
      <c r="D7" s="7" t="n"/>
      <c r="E7" s="8" t="n">
        <v>590</v>
      </c>
      <c r="F7" s="7" t="inlineStr">
        <is>
          <t>Laza</t>
        </is>
      </c>
      <c r="G7" s="7" t="inlineStr">
        <is>
          <t>Igen</t>
        </is>
      </c>
      <c r="H7" s="7" t="inlineStr">
        <is>
          <t>Gyűjtőtálca termesztősátorba, árapály (ebb &amp; flow) rendszer</t>
        </is>
      </c>
      <c r="I7" s="7" t="inlineStr">
        <is>
          <t>SEO title / H1 / bevezető (másodlagos)</t>
        </is>
      </c>
    </row>
    <row r="8">
      <c r="A8" s="4" t="inlineStr">
        <is>
          <t>Virágcserép</t>
        </is>
      </c>
      <c r="B8" s="4" t="n">
        <v>4</v>
      </c>
      <c r="C8" s="4" t="inlineStr">
        <is>
          <t>műanyag cserép</t>
        </is>
      </c>
      <c r="D8" s="4" t="n"/>
      <c r="E8" s="5" t="n">
        <v>480</v>
      </c>
      <c r="F8" s="4" t="inlineStr">
        <is>
          <t>Szoros</t>
        </is>
      </c>
      <c r="G8" s="4" t="inlineStr">
        <is>
          <t>Igen</t>
        </is>
      </c>
      <c r="H8" s="4" t="inlineStr">
        <is>
          <t>Termesztő cserép – műanyag, kerek, literes méretek</t>
        </is>
      </c>
      <c r="I8" s="4" t="inlineStr">
        <is>
          <t>SEO title / H1 / bevezető (másodlagos)</t>
        </is>
      </c>
    </row>
    <row r="9">
      <c r="A9" s="4" t="inlineStr">
        <is>
          <t>Virágcserép</t>
        </is>
      </c>
      <c r="B9" s="4" t="n">
        <v>5</v>
      </c>
      <c r="C9" s="4" t="inlineStr">
        <is>
          <t>műanyagcserép</t>
        </is>
      </c>
      <c r="D9" s="4" t="n"/>
      <c r="E9" s="5" t="n">
        <v>480</v>
      </c>
      <c r="F9" s="4" t="inlineStr">
        <is>
          <t>Szoros</t>
        </is>
      </c>
      <c r="G9" s="4" t="inlineStr">
        <is>
          <t>Igen</t>
        </is>
      </c>
      <c r="H9" s="4" t="inlineStr">
        <is>
          <t>Termesztő cserép – műanyag, kerek, literes méretek</t>
        </is>
      </c>
      <c r="I9" s="4" t="inlineStr">
        <is>
          <t>Kategórialeírás (természetes említés)</t>
        </is>
      </c>
    </row>
    <row r="10">
      <c r="A10" s="4" t="inlineStr">
        <is>
          <t>Nagy virágcserép</t>
        </is>
      </c>
      <c r="B10" s="4" t="n">
        <v>1</v>
      </c>
      <c r="C10" s="4" t="inlineStr">
        <is>
          <t>nagy virágcserép</t>
        </is>
      </c>
      <c r="D10" s="4" t="n"/>
      <c r="E10" s="5" t="n">
        <v>480</v>
      </c>
      <c r="F10" s="4" t="inlineStr">
        <is>
          <t>Szoros</t>
        </is>
      </c>
      <c r="G10" s="4" t="inlineStr">
        <is>
          <t>Igen</t>
        </is>
      </c>
      <c r="H10" s="4" t="inlineStr">
        <is>
          <t>Nagy térfogatú cserép – 20–100 literes termesztés, kültér</t>
        </is>
      </c>
      <c r="I10" s="4" t="inlineStr">
        <is>
          <t>Kategórianév + H1 + SEO title (fő kulcsszó)</t>
        </is>
      </c>
    </row>
    <row r="11">
      <c r="A11" s="11" t="inlineStr">
        <is>
          <t>Műanyag tálca, árapály asztal</t>
        </is>
      </c>
      <c r="B11" s="11" t="n">
        <v>4</v>
      </c>
      <c r="C11" s="11" t="inlineStr">
        <is>
          <t>kármentő tálca</t>
        </is>
      </c>
      <c r="D11" s="11" t="n"/>
      <c r="E11" s="21" t="n">
        <v>480</v>
      </c>
      <c r="F11" s="11" t="inlineStr">
        <is>
          <t>Laza</t>
        </is>
      </c>
      <c r="G11" s="11" t="inlineStr">
        <is>
          <t>Nem</t>
        </is>
      </c>
      <c r="H11" s="11" t="inlineStr">
        <is>
          <t>Gyűjtőtálca termesztősátorba, árapály (ebb &amp; flow) rendszer</t>
        </is>
      </c>
      <c r="I11" s="11" t="inlineStr">
        <is>
          <t>Nem célozni külön oldallal (max. említés)</t>
        </is>
      </c>
    </row>
    <row r="12">
      <c r="A12" s="11" t="inlineStr">
        <is>
          <t>Nagy virágcserép</t>
        </is>
      </c>
      <c r="B12" s="11" t="n">
        <v>2</v>
      </c>
      <c r="C12" s="11" t="inlineStr">
        <is>
          <t>műanyag virágcserép 100 cm</t>
        </is>
      </c>
      <c r="D12" s="11" t="n"/>
      <c r="E12" s="21" t="n">
        <v>390</v>
      </c>
      <c r="F12" s="11" t="inlineStr">
        <is>
          <t>Laza</t>
        </is>
      </c>
      <c r="G12" s="11" t="inlineStr">
        <is>
          <t>Nem</t>
        </is>
      </c>
      <c r="H12" s="11" t="inlineStr">
        <is>
          <t>Nagy térfogatú cserép – 20–100 literes termesztés, kültér</t>
        </is>
      </c>
      <c r="I12" s="11" t="inlineStr">
        <is>
          <t>Nem célozni külön oldallal (max. említés)</t>
        </is>
      </c>
    </row>
    <row r="13">
      <c r="A13" s="12" t="inlineStr">
        <is>
          <t>Virágcserép</t>
        </is>
      </c>
      <c r="B13" s="12" t="n">
        <v>6</v>
      </c>
      <c r="C13" s="12" t="inlineStr">
        <is>
          <t>obi virágcserép</t>
        </is>
      </c>
      <c r="D13" s="12" t="n"/>
      <c r="E13" s="22" t="n">
        <v>320</v>
      </c>
      <c r="F13" s="12" t="inlineStr">
        <is>
          <t>Nincs (áruházi / nem vásárlási szándék)</t>
        </is>
      </c>
      <c r="G13" s="12" t="inlineStr">
        <is>
          <t>Nem – kizárandó</t>
        </is>
      </c>
      <c r="H13" s="12" t="inlineStr">
        <is>
          <t>Termesztő cserép – műanyag, kerek, literes méretek</t>
        </is>
      </c>
      <c r="I13" s="12" t="inlineStr">
        <is>
          <t>Nem használni (áruházi/nem vásárlási szándék)</t>
        </is>
      </c>
    </row>
    <row r="14">
      <c r="A14" s="4" t="inlineStr">
        <is>
          <t>Nagy virágcserép</t>
        </is>
      </c>
      <c r="B14" s="4" t="n">
        <v>3</v>
      </c>
      <c r="C14" s="4" t="inlineStr">
        <is>
          <t>nagyméretű műanyag virágcserép</t>
        </is>
      </c>
      <c r="D14" s="4" t="n"/>
      <c r="E14" s="5" t="n">
        <v>320</v>
      </c>
      <c r="F14" s="4" t="inlineStr">
        <is>
          <t>Szoros</t>
        </is>
      </c>
      <c r="G14" s="4" t="inlineStr">
        <is>
          <t>Igen</t>
        </is>
      </c>
      <c r="H14" s="4" t="inlineStr">
        <is>
          <t>Nagy térfogatú cserép – 20–100 literes termesztés, kültér</t>
        </is>
      </c>
      <c r="I14" s="4" t="inlineStr">
        <is>
          <t>SEO title / H1 / bevezető (másodlagos)</t>
        </is>
      </c>
    </row>
    <row r="15">
      <c r="A15" s="11" t="inlineStr">
        <is>
          <t>Nagy virágcserép</t>
        </is>
      </c>
      <c r="B15" s="11" t="n">
        <v>4</v>
      </c>
      <c r="C15" s="11" t="inlineStr">
        <is>
          <t>műanyag virágcserép 60 cm</t>
        </is>
      </c>
      <c r="D15" s="11" t="n"/>
      <c r="E15" s="21" t="n">
        <v>320</v>
      </c>
      <c r="F15" s="11" t="inlineStr">
        <is>
          <t>Laza</t>
        </is>
      </c>
      <c r="G15" s="11" t="inlineStr">
        <is>
          <t>Nem</t>
        </is>
      </c>
      <c r="H15" s="11" t="inlineStr">
        <is>
          <t>Nagy térfogatú cserép – 20–100 literes termesztés, kültér</t>
        </is>
      </c>
      <c r="I15" s="11" t="inlineStr">
        <is>
          <t>Nem célozni külön oldallal (max. említés)</t>
        </is>
      </c>
    </row>
    <row r="16">
      <c r="A16" s="12" t="inlineStr">
        <is>
          <t>Cserépalátét</t>
        </is>
      </c>
      <c r="B16" s="12" t="n">
        <v>3</v>
      </c>
      <c r="C16" s="12" t="inlineStr">
        <is>
          <t>obi cserépalátét</t>
        </is>
      </c>
      <c r="D16" s="12" t="n"/>
      <c r="E16" s="22" t="n">
        <v>320</v>
      </c>
      <c r="F16" s="12" t="inlineStr">
        <is>
          <t>Nincs (áruházi / nem vásárlási szándék)</t>
        </is>
      </c>
      <c r="G16" s="12" t="inlineStr">
        <is>
          <t>Nem – kizárandó</t>
        </is>
      </c>
      <c r="H16" s="12" t="inlineStr">
        <is>
          <t>Cserép alá – vízfelfogás, gurulós alátét</t>
        </is>
      </c>
      <c r="I16" s="12" t="inlineStr">
        <is>
          <t>Nem használni (áruházi/nem vásárlási szándék)</t>
        </is>
      </c>
    </row>
    <row r="17">
      <c r="A17" s="11" t="inlineStr">
        <is>
          <t>Műanyag tálca, árapály asztal</t>
        </is>
      </c>
      <c r="B17" s="11" t="n">
        <v>5</v>
      </c>
      <c r="C17" s="11" t="inlineStr">
        <is>
          <t>szaporító tálca</t>
        </is>
      </c>
      <c r="D17" s="11" t="n"/>
      <c r="E17" s="21" t="n">
        <v>320</v>
      </c>
      <c r="F17" s="11" t="inlineStr">
        <is>
          <t>Laza</t>
        </is>
      </c>
      <c r="G17" s="11" t="inlineStr">
        <is>
          <t>Nem</t>
        </is>
      </c>
      <c r="H17" s="11" t="inlineStr">
        <is>
          <t>Gyűjtőtálca termesztősátorba, árapály (ebb &amp; flow) rendszer</t>
        </is>
      </c>
      <c r="I17" s="11" t="inlineStr">
        <is>
          <t>Nem célozni külön oldallal (max. említés)</t>
        </is>
      </c>
    </row>
    <row r="18">
      <c r="A18" s="4" t="inlineStr">
        <is>
          <t>Virágcserép</t>
        </is>
      </c>
      <c r="B18" s="4" t="n">
        <v>7</v>
      </c>
      <c r="C18" s="4" t="inlineStr">
        <is>
          <t>virágcserép műanyag</t>
        </is>
      </c>
      <c r="D18" s="4" t="n"/>
      <c r="E18" s="5" t="n">
        <v>260</v>
      </c>
      <c r="F18" s="4" t="inlineStr">
        <is>
          <t>Szoros</t>
        </is>
      </c>
      <c r="G18" s="4" t="inlineStr">
        <is>
          <t>Igen</t>
        </is>
      </c>
      <c r="H18" s="4" t="inlineStr">
        <is>
          <t>Termesztő cserép – műanyag, kerek, literes méretek</t>
        </is>
      </c>
      <c r="I18" s="4" t="inlineStr">
        <is>
          <t>Kategórialeírás (természetes említés)</t>
        </is>
      </c>
    </row>
    <row r="19">
      <c r="A19" s="4" t="inlineStr">
        <is>
          <t>Nagy virágcserép</t>
        </is>
      </c>
      <c r="B19" s="4" t="n">
        <v>5</v>
      </c>
      <c r="C19" s="4" t="inlineStr">
        <is>
          <t>virágcserép nagy</t>
        </is>
      </c>
      <c r="D19" s="4" t="n"/>
      <c r="E19" s="5" t="n">
        <v>260</v>
      </c>
      <c r="F19" s="4" t="inlineStr">
        <is>
          <t>Szoros</t>
        </is>
      </c>
      <c r="G19" s="4" t="inlineStr">
        <is>
          <t>Igen</t>
        </is>
      </c>
      <c r="H19" s="4" t="inlineStr">
        <is>
          <t>Nagy térfogatú cserép – 20–100 literes termesztés, kültér</t>
        </is>
      </c>
      <c r="I19" s="4" t="inlineStr">
        <is>
          <t>SEO title / H1 / bevezető (másodlagos)</t>
        </is>
      </c>
    </row>
    <row r="20">
      <c r="A20" s="4" t="inlineStr">
        <is>
          <t>Cserépalátét</t>
        </is>
      </c>
      <c r="B20" s="4" t="n">
        <v>1</v>
      </c>
      <c r="C20" s="4" t="inlineStr">
        <is>
          <t>cserépalátét</t>
        </is>
      </c>
      <c r="D20" s="4" t="n"/>
      <c r="E20" s="5" t="n">
        <v>260</v>
      </c>
      <c r="F20" s="4" t="inlineStr">
        <is>
          <t>Szoros</t>
        </is>
      </c>
      <c r="G20" s="4" t="inlineStr">
        <is>
          <t>Igen</t>
        </is>
      </c>
      <c r="H20" s="4" t="inlineStr">
        <is>
          <t>Cserép alá – vízfelfogás, gurulós alátét</t>
        </is>
      </c>
      <c r="I20" s="4" t="inlineStr">
        <is>
          <t>Kategórianév + H1 + SEO title (fő kulcsszó)</t>
        </is>
      </c>
    </row>
    <row r="21">
      <c r="A21" s="4" t="inlineStr">
        <is>
          <t>Cserépalátét</t>
        </is>
      </c>
      <c r="B21" s="4" t="n">
        <v>4</v>
      </c>
      <c r="C21" s="4" t="inlineStr">
        <is>
          <t>cserép alátét</t>
        </is>
      </c>
      <c r="D21" s="4" t="n"/>
      <c r="E21" s="5" t="n">
        <v>260</v>
      </c>
      <c r="F21" s="4" t="inlineStr">
        <is>
          <t>Szoros</t>
        </is>
      </c>
      <c r="G21" s="4" t="inlineStr">
        <is>
          <t>Igen</t>
        </is>
      </c>
      <c r="H21" s="4" t="inlineStr">
        <is>
          <t>Cserép alá – vízfelfogás, gurulós alátét</t>
        </is>
      </c>
      <c r="I21" s="4" t="inlineStr">
        <is>
          <t>SEO title / H1 / bevezető (másodlagos)</t>
        </is>
      </c>
    </row>
    <row r="22">
      <c r="A22" s="7" t="inlineStr">
        <is>
          <t>Cserépalátét</t>
        </is>
      </c>
      <c r="B22" s="7" t="n">
        <v>5</v>
      </c>
      <c r="C22" s="7" t="inlineStr">
        <is>
          <t>gurulós virágtartó</t>
        </is>
      </c>
      <c r="D22" s="7" t="n"/>
      <c r="E22" s="8" t="n">
        <v>260</v>
      </c>
      <c r="F22" s="7" t="inlineStr">
        <is>
          <t>Laza</t>
        </is>
      </c>
      <c r="G22" s="7" t="inlineStr">
        <is>
          <t>Igen</t>
        </is>
      </c>
      <c r="H22" s="7" t="inlineStr">
        <is>
          <t>Cserép alá – vízfelfogás, gurulós alátét</t>
        </is>
      </c>
      <c r="I22" s="7" t="inlineStr">
        <is>
          <t>Kategórialeírás (természetes említés)</t>
        </is>
      </c>
    </row>
    <row r="23">
      <c r="A23" s="11" t="inlineStr">
        <is>
          <t>Műanyag tálca, árapály asztal</t>
        </is>
      </c>
      <c r="B23" s="11" t="n">
        <v>6</v>
      </c>
      <c r="C23" s="11" t="inlineStr">
        <is>
          <t>csepptálca</t>
        </is>
      </c>
      <c r="D23" s="11" t="n"/>
      <c r="E23" s="21" t="n">
        <v>210</v>
      </c>
      <c r="F23" s="11" t="inlineStr">
        <is>
          <t>Laza</t>
        </is>
      </c>
      <c r="G23" s="11" t="inlineStr">
        <is>
          <t>Nem</t>
        </is>
      </c>
      <c r="H23" s="11" t="inlineStr">
        <is>
          <t>Gyűjtőtálca termesztősátorba, árapály (ebb &amp; flow) rendszer</t>
        </is>
      </c>
      <c r="I23" s="11" t="inlineStr">
        <is>
          <t>Nem célozni külön oldallal (max. említés)</t>
        </is>
      </c>
    </row>
    <row r="24">
      <c r="A24" s="4" t="inlineStr">
        <is>
          <t>Virágcserép</t>
        </is>
      </c>
      <c r="B24" s="4" t="n">
        <v>8</v>
      </c>
      <c r="C24" s="4" t="inlineStr">
        <is>
          <t>könnyű cserepek</t>
        </is>
      </c>
      <c r="D24" s="4" t="n"/>
      <c r="E24" s="5" t="n">
        <v>140</v>
      </c>
      <c r="F24" s="4" t="inlineStr">
        <is>
          <t>Szoros</t>
        </is>
      </c>
      <c r="G24" s="4" t="inlineStr">
        <is>
          <t>Igen</t>
        </is>
      </c>
      <c r="H24" s="4" t="inlineStr">
        <is>
          <t>Termesztő cserép – műanyag, kerek, literes méretek</t>
        </is>
      </c>
      <c r="I24" s="4" t="inlineStr">
        <is>
          <t>Kategórialeírás (természetes említés)</t>
        </is>
      </c>
    </row>
    <row r="25">
      <c r="A25" s="4" t="inlineStr">
        <is>
          <t>Virágcserép</t>
        </is>
      </c>
      <c r="B25" s="4" t="n">
        <v>9</v>
      </c>
      <c r="C25" s="4" t="inlineStr">
        <is>
          <t>cserepek</t>
        </is>
      </c>
      <c r="D25" s="4" t="n"/>
      <c r="E25" s="5" t="n">
        <v>140</v>
      </c>
      <c r="F25" s="4" t="inlineStr">
        <is>
          <t>Szoros</t>
        </is>
      </c>
      <c r="G25" s="4" t="inlineStr">
        <is>
          <t>Igen</t>
        </is>
      </c>
      <c r="H25" s="4" t="inlineStr">
        <is>
          <t>Termesztő cserép – műanyag, kerek, literes méretek</t>
        </is>
      </c>
      <c r="I25" s="4" t="inlineStr">
        <is>
          <t>Kategórialeírás (természetes említés)</t>
        </is>
      </c>
    </row>
    <row r="26">
      <c r="A26" s="12" t="inlineStr">
        <is>
          <t>Virágcserép</t>
        </is>
      </c>
      <c r="B26" s="12" t="n">
        <v>10</v>
      </c>
      <c r="C26" s="12" t="inlineStr">
        <is>
          <t>praktiker virágcserép</t>
        </is>
      </c>
      <c r="D26" s="12" t="n"/>
      <c r="E26" s="22" t="n">
        <v>140</v>
      </c>
      <c r="F26" s="12" t="inlineStr">
        <is>
          <t>Nincs (áruházi / nem vásárlási szándék)</t>
        </is>
      </c>
      <c r="G26" s="12" t="inlineStr">
        <is>
          <t>Nem – kizárandó</t>
        </is>
      </c>
      <c r="H26" s="12" t="inlineStr">
        <is>
          <t>Termesztő cserép – műanyag, kerek, literes méretek</t>
        </is>
      </c>
      <c r="I26" s="12" t="inlineStr">
        <is>
          <t>Nem használni (áruházi/nem vásárlási szándék)</t>
        </is>
      </c>
    </row>
    <row r="27">
      <c r="A27" s="4" t="inlineStr">
        <is>
          <t>Nagy virágcserép</t>
        </is>
      </c>
      <c r="B27" s="4" t="n">
        <v>6</v>
      </c>
      <c r="C27" s="4" t="inlineStr">
        <is>
          <t>nagy cserép</t>
        </is>
      </c>
      <c r="D27" s="4" t="n"/>
      <c r="E27" s="5" t="n">
        <v>140</v>
      </c>
      <c r="F27" s="4" t="inlineStr">
        <is>
          <t>Szoros</t>
        </is>
      </c>
      <c r="G27" s="4" t="inlineStr">
        <is>
          <t>Igen</t>
        </is>
      </c>
      <c r="H27" s="4" t="inlineStr">
        <is>
          <t>Nagy térfogatú cserép – 20–100 literes termesztés, kültér</t>
        </is>
      </c>
      <c r="I27" s="4" t="inlineStr">
        <is>
          <t>SEO title / H1 / bevezető (másodlagos)</t>
        </is>
      </c>
    </row>
    <row r="28">
      <c r="A28" s="4" t="inlineStr">
        <is>
          <t>Air-Pot cserép</t>
        </is>
      </c>
      <c r="B28" s="4" t="n">
        <v>1</v>
      </c>
      <c r="C28" s="4" t="inlineStr">
        <is>
          <t>airpot</t>
        </is>
      </c>
      <c r="D28" s="4" t="n"/>
      <c r="E28" s="5" t="n">
        <v>140</v>
      </c>
      <c r="F28" s="4" t="inlineStr">
        <is>
          <t>Szoros</t>
        </is>
      </c>
      <c r="G28" s="4" t="inlineStr">
        <is>
          <t>Igen</t>
        </is>
      </c>
      <c r="H28" s="4" t="inlineStr">
        <is>
          <t>Gyökérlégzés, gyökérmetszés – termesztés konténerben</t>
        </is>
      </c>
      <c r="I28" s="4" t="inlineStr">
        <is>
          <t>Kategórianév + H1 + SEO title (fő kulcsszó)</t>
        </is>
      </c>
    </row>
    <row r="29">
      <c r="A29" s="4" t="inlineStr">
        <is>
          <t>Cserépalátét</t>
        </is>
      </c>
      <c r="B29" s="4" t="n">
        <v>6</v>
      </c>
      <c r="C29" s="4" t="inlineStr">
        <is>
          <t>virágcserép alátét</t>
        </is>
      </c>
      <c r="D29" s="4" t="n"/>
      <c r="E29" s="5" t="n">
        <v>140</v>
      </c>
      <c r="F29" s="4" t="inlineStr">
        <is>
          <t>Szoros</t>
        </is>
      </c>
      <c r="G29" s="4" t="inlineStr">
        <is>
          <t>Igen</t>
        </is>
      </c>
      <c r="H29" s="4" t="inlineStr">
        <is>
          <t>Cserép alá – vízfelfogás, gurulós alátét</t>
        </is>
      </c>
      <c r="I29" s="4" t="inlineStr">
        <is>
          <t>SEO title / H1 / bevezető (másodlagos)</t>
        </is>
      </c>
    </row>
    <row r="30">
      <c r="A30" s="4" t="inlineStr">
        <is>
          <t>Cserépalátét</t>
        </is>
      </c>
      <c r="B30" s="4" t="n">
        <v>7</v>
      </c>
      <c r="C30" s="4" t="inlineStr">
        <is>
          <t>virágcserép alátéttel</t>
        </is>
      </c>
      <c r="D30" s="4" t="n"/>
      <c r="E30" s="5" t="n">
        <v>140</v>
      </c>
      <c r="F30" s="4" t="inlineStr">
        <is>
          <t>Szoros</t>
        </is>
      </c>
      <c r="G30" s="4" t="inlineStr">
        <is>
          <t>Igen</t>
        </is>
      </c>
      <c r="H30" s="4" t="inlineStr">
        <is>
          <t>Cserép alá – vízfelfogás, gurulós alátét</t>
        </is>
      </c>
      <c r="I30" s="4" t="inlineStr">
        <is>
          <t>Kategórialeírás (természetes említés)</t>
        </is>
      </c>
    </row>
    <row r="31">
      <c r="A31" s="7" t="inlineStr">
        <is>
          <t>Műanyag tálca, árapály asztal</t>
        </is>
      </c>
      <c r="B31" s="7" t="n">
        <v>1</v>
      </c>
      <c r="C31" s="7" t="inlineStr">
        <is>
          <t>nagyméretű műanyag tálca</t>
        </is>
      </c>
      <c r="D31" s="7" t="n"/>
      <c r="E31" s="8" t="n">
        <v>140</v>
      </c>
      <c r="F31" s="7" t="inlineStr">
        <is>
          <t>Laza</t>
        </is>
      </c>
      <c r="G31" s="7" t="inlineStr">
        <is>
          <t>Igen</t>
        </is>
      </c>
      <c r="H31" s="7" t="inlineStr">
        <is>
          <t>Gyűjtőtálca termesztősátorba, árapály (ebb &amp; flow) rendszer</t>
        </is>
      </c>
      <c r="I31" s="7" t="inlineStr">
        <is>
          <t>Kategórianév + H1 + SEO title (fő kulcsszó)</t>
        </is>
      </c>
    </row>
    <row r="32">
      <c r="A32" s="4" t="inlineStr">
        <is>
          <t>Virágcserép</t>
        </is>
      </c>
      <c r="B32" s="4" t="n">
        <v>11</v>
      </c>
      <c r="C32" s="4" t="inlineStr">
        <is>
          <t>olcsó műanyag virágcserép</t>
        </is>
      </c>
      <c r="D32" s="4" t="n"/>
      <c r="E32" s="5" t="n">
        <v>110</v>
      </c>
      <c r="F32" s="4" t="inlineStr">
        <is>
          <t>Szoros</t>
        </is>
      </c>
      <c r="G32" s="4" t="inlineStr">
        <is>
          <t>Igen</t>
        </is>
      </c>
      <c r="H32" s="4" t="inlineStr">
        <is>
          <t>Termesztő cserép – műanyag, kerek, literes méretek</t>
        </is>
      </c>
      <c r="I32" s="4" t="inlineStr">
        <is>
          <t>Kategórialeírás (természetes említés)</t>
        </is>
      </c>
    </row>
    <row r="33">
      <c r="A33" s="4" t="inlineStr">
        <is>
          <t>Virágcserép</t>
        </is>
      </c>
      <c r="B33" s="4" t="n">
        <v>12</v>
      </c>
      <c r="C33" s="4" t="inlineStr">
        <is>
          <t>virágcserepek</t>
        </is>
      </c>
      <c r="D33" s="4" t="n"/>
      <c r="E33" s="5" t="n">
        <v>110</v>
      </c>
      <c r="F33" s="4" t="inlineStr">
        <is>
          <t>Szoros</t>
        </is>
      </c>
      <c r="G33" s="4" t="inlineStr">
        <is>
          <t>Igen</t>
        </is>
      </c>
      <c r="H33" s="4" t="inlineStr">
        <is>
          <t>Termesztő cserép – műanyag, kerek, literes méretek</t>
        </is>
      </c>
      <c r="I33" s="4" t="inlineStr">
        <is>
          <t>Kategórialeírás (természetes említés)</t>
        </is>
      </c>
    </row>
    <row r="34">
      <c r="A34" s="4" t="inlineStr">
        <is>
          <t>Virágcserép</t>
        </is>
      </c>
      <c r="B34" s="4" t="n">
        <v>13</v>
      </c>
      <c r="C34" s="4" t="inlineStr">
        <is>
          <t>műanyag cserép nagykereskedés</t>
        </is>
      </c>
      <c r="D34" s="4" t="n"/>
      <c r="E34" s="5" t="n">
        <v>110</v>
      </c>
      <c r="F34" s="4" t="inlineStr">
        <is>
          <t>Szoros</t>
        </is>
      </c>
      <c r="G34" s="4" t="inlineStr">
        <is>
          <t>Igen</t>
        </is>
      </c>
      <c r="H34" s="4" t="inlineStr">
        <is>
          <t>Termesztő cserép – műanyag, kerek, literes méretek</t>
        </is>
      </c>
      <c r="I34" s="4" t="inlineStr">
        <is>
          <t>Kategórialeírás (természetes említés)</t>
        </is>
      </c>
    </row>
    <row r="35">
      <c r="A35" s="4" t="inlineStr">
        <is>
          <t>Virágcserép</t>
        </is>
      </c>
      <c r="B35" s="4" t="n">
        <v>14</v>
      </c>
      <c r="C35" s="4" t="inlineStr">
        <is>
          <t>virágcserép méretek</t>
        </is>
      </c>
      <c r="D35" s="4" t="n"/>
      <c r="E35" s="5" t="n">
        <v>110</v>
      </c>
      <c r="F35" s="4" t="inlineStr">
        <is>
          <t>Szoros</t>
        </is>
      </c>
      <c r="G35" s="4" t="inlineStr">
        <is>
          <t>Igen</t>
        </is>
      </c>
      <c r="H35" s="4" t="inlineStr">
        <is>
          <t>Termesztő cserép – műanyag, kerek, literes méretek</t>
        </is>
      </c>
      <c r="I35" s="4" t="inlineStr">
        <is>
          <t>Leírás alsó része, GYIK vagy blog</t>
        </is>
      </c>
    </row>
    <row r="36">
      <c r="A36" s="4" t="inlineStr">
        <is>
          <t>Cserépalátét</t>
        </is>
      </c>
      <c r="B36" s="4" t="n">
        <v>8</v>
      </c>
      <c r="C36" s="4" t="inlineStr">
        <is>
          <t>műanyag cserépalátét</t>
        </is>
      </c>
      <c r="D36" s="4" t="n"/>
      <c r="E36" s="5" t="n">
        <v>110</v>
      </c>
      <c r="F36" s="4" t="inlineStr">
        <is>
          <t>Szoros</t>
        </is>
      </c>
      <c r="G36" s="4" t="inlineStr">
        <is>
          <t>Igen</t>
        </is>
      </c>
      <c r="H36" s="4" t="inlineStr">
        <is>
          <t>Cserép alá – vízfelfogás, gurulós alátét</t>
        </is>
      </c>
      <c r="I36" s="4" t="inlineStr">
        <is>
          <t>SEO title / H1 / bevezető (másodlagos)</t>
        </is>
      </c>
    </row>
    <row r="37">
      <c r="A37" s="4" t="inlineStr">
        <is>
          <t>Nagy virágcserép</t>
        </is>
      </c>
      <c r="B37" s="4" t="n">
        <v>7</v>
      </c>
      <c r="C37" s="4" t="inlineStr">
        <is>
          <t>nagy méretű virágcserép</t>
        </is>
      </c>
      <c r="D37" s="4" t="n"/>
      <c r="E37" s="5" t="n">
        <v>90</v>
      </c>
      <c r="F37" s="4" t="inlineStr">
        <is>
          <t>Szoros</t>
        </is>
      </c>
      <c r="G37" s="4" t="inlineStr">
        <is>
          <t>Igen</t>
        </is>
      </c>
      <c r="H37" s="4" t="inlineStr">
        <is>
          <t>Nagy térfogatú cserép – 20–100 literes termesztés, kültér</t>
        </is>
      </c>
      <c r="I37" s="4" t="inlineStr">
        <is>
          <t>Kategórialeírás (természetes említés)</t>
        </is>
      </c>
    </row>
    <row r="38">
      <c r="A38" s="4" t="inlineStr">
        <is>
          <t>Szögletes cserép</t>
        </is>
      </c>
      <c r="B38" s="4" t="n">
        <v>1</v>
      </c>
      <c r="C38" s="4" t="inlineStr">
        <is>
          <t>szögletes virágcserép</t>
        </is>
      </c>
      <c r="D38" s="4" t="n"/>
      <c r="E38" s="5" t="n">
        <v>90</v>
      </c>
      <c r="F38" s="4" t="inlineStr">
        <is>
          <t>Szoros</t>
        </is>
      </c>
      <c r="G38" s="4" t="inlineStr">
        <is>
          <t>Igen</t>
        </is>
      </c>
      <c r="H38" s="4" t="inlineStr">
        <is>
          <t>Helytakarékos termesztés sátorban / polcon</t>
        </is>
      </c>
      <c r="I38" s="4" t="inlineStr">
        <is>
          <t>Kategórianév + H1 + SEO title (fő kulcsszó)</t>
        </is>
      </c>
    </row>
    <row r="39">
      <c r="A39" s="4" t="inlineStr">
        <is>
          <t>Air-Pot cserép</t>
        </is>
      </c>
      <c r="B39" s="4" t="n">
        <v>2</v>
      </c>
      <c r="C39" s="4" t="inlineStr">
        <is>
          <t>air pot</t>
        </is>
      </c>
      <c r="D39" s="4" t="n"/>
      <c r="E39" s="5" t="n">
        <v>90</v>
      </c>
      <c r="F39" s="4" t="inlineStr">
        <is>
          <t>Szoros</t>
        </is>
      </c>
      <c r="G39" s="4" t="inlineStr">
        <is>
          <t>Igen</t>
        </is>
      </c>
      <c r="H39" s="4" t="inlineStr">
        <is>
          <t>Gyökérlégzés, gyökérmetszés – termesztés konténerben</t>
        </is>
      </c>
      <c r="I39" s="4" t="inlineStr">
        <is>
          <t>SEO title / H1 / bevezető (másodlagos)</t>
        </is>
      </c>
    </row>
    <row r="40">
      <c r="A40" s="4" t="inlineStr">
        <is>
          <t>Szövetcserép, ültetőzsák</t>
        </is>
      </c>
      <c r="B40" s="4" t="n">
        <v>1</v>
      </c>
      <c r="C40" s="4" t="inlineStr">
        <is>
          <t>ültetőzsák</t>
        </is>
      </c>
      <c r="D40" s="4" t="n"/>
      <c r="E40" s="5" t="n">
        <v>90</v>
      </c>
      <c r="F40" s="4" t="inlineStr">
        <is>
          <t>Szoros</t>
        </is>
      </c>
      <c r="G40" s="4" t="inlineStr">
        <is>
          <t>Igen</t>
        </is>
      </c>
      <c r="H40" s="4" t="inlineStr">
        <is>
          <t>Szövet / textil / filc cserép, ültető- és termesztőzsák</t>
        </is>
      </c>
      <c r="I40" s="4" t="inlineStr">
        <is>
          <t>Kategórianév + H1 + SEO title (fő kulcsszó)</t>
        </is>
      </c>
    </row>
    <row r="41">
      <c r="A41" s="11" t="inlineStr">
        <is>
          <t>Cserépalátét</t>
        </is>
      </c>
      <c r="B41" s="11" t="n">
        <v>9</v>
      </c>
      <c r="C41" s="11" t="inlineStr">
        <is>
          <t>kerámia cserépalátét</t>
        </is>
      </c>
      <c r="D41" s="11" t="n"/>
      <c r="E41" s="21" t="n">
        <v>90</v>
      </c>
      <c r="F41" s="11" t="inlineStr">
        <is>
          <t>Laza</t>
        </is>
      </c>
      <c r="G41" s="11" t="inlineStr">
        <is>
          <t>Nem</t>
        </is>
      </c>
      <c r="H41" s="11" t="inlineStr">
        <is>
          <t>Cserép alá – vízfelfogás, gurulós alátét</t>
        </is>
      </c>
      <c r="I41" s="11" t="inlineStr">
        <is>
          <t>Nem célozni külön oldallal (max. említés)</t>
        </is>
      </c>
    </row>
    <row r="42">
      <c r="A42" s="4" t="inlineStr">
        <is>
          <t>Virágcserép</t>
        </is>
      </c>
      <c r="B42" s="4" t="n">
        <v>15</v>
      </c>
      <c r="C42" s="4" t="inlineStr">
        <is>
          <t>műanyag virágcserép 40 cm</t>
        </is>
      </c>
      <c r="D42" s="4" t="n"/>
      <c r="E42" s="5" t="n">
        <v>70</v>
      </c>
      <c r="F42" s="4" t="inlineStr">
        <is>
          <t>Szoros</t>
        </is>
      </c>
      <c r="G42" s="4" t="inlineStr">
        <is>
          <t>Igen</t>
        </is>
      </c>
      <c r="H42" s="4" t="inlineStr">
        <is>
          <t>Termesztő cserép – műanyag, kerek, literes méretek</t>
        </is>
      </c>
      <c r="I42" s="4" t="inlineStr">
        <is>
          <t>Kategórialeírás (természetes említés)</t>
        </is>
      </c>
    </row>
    <row r="43">
      <c r="A43" s="4" t="inlineStr">
        <is>
          <t>Nagy virágcserép</t>
        </is>
      </c>
      <c r="B43" s="4" t="n">
        <v>8</v>
      </c>
      <c r="C43" s="4" t="inlineStr">
        <is>
          <t>nagyméretű cserép</t>
        </is>
      </c>
      <c r="D43" s="4" t="n"/>
      <c r="E43" s="5" t="n">
        <v>70</v>
      </c>
      <c r="F43" s="4" t="inlineStr">
        <is>
          <t>Szoros</t>
        </is>
      </c>
      <c r="G43" s="4" t="inlineStr">
        <is>
          <t>Igen</t>
        </is>
      </c>
      <c r="H43" s="4" t="inlineStr">
        <is>
          <t>Nagy térfogatú cserép – 20–100 literes termesztés, kültér</t>
        </is>
      </c>
      <c r="I43" s="4" t="inlineStr">
        <is>
          <t>Kategórialeírás (természetes említés)</t>
        </is>
      </c>
    </row>
    <row r="44">
      <c r="A44" s="4" t="inlineStr">
        <is>
          <t>Nagy virágcserép</t>
        </is>
      </c>
      <c r="B44" s="4" t="n">
        <v>9</v>
      </c>
      <c r="C44" s="4" t="inlineStr">
        <is>
          <t>nagy virágcserép olcsón</t>
        </is>
      </c>
      <c r="D44" s="4" t="n"/>
      <c r="E44" s="5" t="n">
        <v>70</v>
      </c>
      <c r="F44" s="4" t="inlineStr">
        <is>
          <t>Szoros</t>
        </is>
      </c>
      <c r="G44" s="4" t="inlineStr">
        <is>
          <t>Igen</t>
        </is>
      </c>
      <c r="H44" s="4" t="inlineStr">
        <is>
          <t>Nagy térfogatú cserép – 20–100 literes termesztés, kültér</t>
        </is>
      </c>
      <c r="I44" s="4" t="inlineStr">
        <is>
          <t>Kategórialeírás (természetes említés)</t>
        </is>
      </c>
    </row>
    <row r="45">
      <c r="A45" s="4" t="inlineStr">
        <is>
          <t>Szögletes cserép</t>
        </is>
      </c>
      <c r="B45" s="4" t="n">
        <v>2</v>
      </c>
      <c r="C45" s="4" t="inlineStr">
        <is>
          <t>magas cserép</t>
        </is>
      </c>
      <c r="D45" s="4" t="n"/>
      <c r="E45" s="5" t="n">
        <v>70</v>
      </c>
      <c r="F45" s="4" t="inlineStr">
        <is>
          <t>Szoros</t>
        </is>
      </c>
      <c r="G45" s="4" t="inlineStr">
        <is>
          <t>Igen</t>
        </is>
      </c>
      <c r="H45" s="4" t="inlineStr">
        <is>
          <t>Helytakarékos termesztés sátorban / polcon</t>
        </is>
      </c>
      <c r="I45" s="4" t="inlineStr">
        <is>
          <t>SEO title / H1 / bevezető (másodlagos)</t>
        </is>
      </c>
    </row>
    <row r="46">
      <c r="A46" s="7" t="inlineStr">
        <is>
          <t>Cserépalátét</t>
        </is>
      </c>
      <c r="B46" s="7" t="n">
        <v>10</v>
      </c>
      <c r="C46" s="7" t="inlineStr">
        <is>
          <t>gurulós virágállvány</t>
        </is>
      </c>
      <c r="D46" s="7" t="n"/>
      <c r="E46" s="8" t="n">
        <v>70</v>
      </c>
      <c r="F46" s="7" t="inlineStr">
        <is>
          <t>Laza</t>
        </is>
      </c>
      <c r="G46" s="7" t="inlineStr">
        <is>
          <t>Igen</t>
        </is>
      </c>
      <c r="H46" s="7" t="inlineStr">
        <is>
          <t>Cserép alá – vízfelfogás, gurulós alátét</t>
        </is>
      </c>
      <c r="I46" s="7" t="inlineStr">
        <is>
          <t>Kategórialeírás (természetes említés)</t>
        </is>
      </c>
    </row>
    <row r="47">
      <c r="A47" s="11" t="inlineStr">
        <is>
          <t>Cserépalátét</t>
        </is>
      </c>
      <c r="B47" s="11" t="n">
        <v>11</v>
      </c>
      <c r="C47" s="11" t="inlineStr">
        <is>
          <t>agyag cserépalátét</t>
        </is>
      </c>
      <c r="D47" s="11" t="n"/>
      <c r="E47" s="21" t="n">
        <v>70</v>
      </c>
      <c r="F47" s="11" t="inlineStr">
        <is>
          <t>Laza</t>
        </is>
      </c>
      <c r="G47" s="11" t="inlineStr">
        <is>
          <t>Nem</t>
        </is>
      </c>
      <c r="H47" s="11" t="inlineStr">
        <is>
          <t>Cserép alá – vízfelfogás, gurulós alátét</t>
        </is>
      </c>
      <c r="I47" s="11" t="inlineStr">
        <is>
          <t>Nem célozni külön oldallal (max. említés)</t>
        </is>
      </c>
    </row>
    <row r="48">
      <c r="A48" s="4" t="inlineStr">
        <is>
          <t>Műanyag tálca, árapály asztal</t>
        </is>
      </c>
      <c r="B48" s="4" t="n">
        <v>7</v>
      </c>
      <c r="C48" s="4" t="inlineStr">
        <is>
          <t>ebb and flow</t>
        </is>
      </c>
      <c r="D48" s="4" t="n"/>
      <c r="E48" s="5" t="n">
        <v>70</v>
      </c>
      <c r="F48" s="4" t="inlineStr">
        <is>
          <t>Szoros</t>
        </is>
      </c>
      <c r="G48" s="4" t="inlineStr">
        <is>
          <t>Igen</t>
        </is>
      </c>
      <c r="H48" s="4" t="inlineStr">
        <is>
          <t>Gyűjtőtálca termesztősátorba, árapály (ebb &amp; flow) rendszer</t>
        </is>
      </c>
      <c r="I48" s="4" t="inlineStr">
        <is>
          <t>SEO title / H1 / bevezető (másodlagos)</t>
        </is>
      </c>
    </row>
    <row r="49">
      <c r="A49" s="7" t="inlineStr">
        <is>
          <t>Műanyag tálca, árapály asztal</t>
        </is>
      </c>
      <c r="B49" s="7" t="n">
        <v>8</v>
      </c>
      <c r="C49" s="7" t="inlineStr">
        <is>
          <t>műanyag csepegtető tálca</t>
        </is>
      </c>
      <c r="D49" s="7" t="n"/>
      <c r="E49" s="8" t="n">
        <v>70</v>
      </c>
      <c r="F49" s="7" t="inlineStr">
        <is>
          <t>Laza</t>
        </is>
      </c>
      <c r="G49" s="7" t="inlineStr">
        <is>
          <t>Igen</t>
        </is>
      </c>
      <c r="H49" s="7" t="inlineStr">
        <is>
          <t>Gyűjtőtálca termesztősátorba, árapály (ebb &amp; flow) rendszer</t>
        </is>
      </c>
      <c r="I49" s="7" t="inlineStr">
        <is>
          <t>Kategórialeírás (természetes említés)</t>
        </is>
      </c>
    </row>
    <row r="50">
      <c r="A50" s="4" t="inlineStr">
        <is>
          <t>Virágcserép</t>
        </is>
      </c>
      <c r="B50" s="4" t="n">
        <v>16</v>
      </c>
      <c r="C50" s="4" t="inlineStr">
        <is>
          <t>olcsó virágcserép</t>
        </is>
      </c>
      <c r="D50" s="4" t="n"/>
      <c r="E50" s="5" t="n">
        <v>50</v>
      </c>
      <c r="F50" s="4" t="inlineStr">
        <is>
          <t>Szoros</t>
        </is>
      </c>
      <c r="G50" s="4" t="inlineStr">
        <is>
          <t>Igen</t>
        </is>
      </c>
      <c r="H50" s="4" t="inlineStr">
        <is>
          <t>Termesztő cserép – műanyag, kerek, literes méretek</t>
        </is>
      </c>
      <c r="I50" s="4" t="inlineStr">
        <is>
          <t>Kategórialeírás (természetes említés)</t>
        </is>
      </c>
    </row>
    <row r="51">
      <c r="A51" s="4" t="inlineStr">
        <is>
          <t>Virágcserép</t>
        </is>
      </c>
      <c r="B51" s="4" t="n">
        <v>17</v>
      </c>
      <c r="C51" s="4" t="inlineStr">
        <is>
          <t>20 literes cserép</t>
        </is>
      </c>
      <c r="D51" s="4" t="n"/>
      <c r="E51" s="5" t="n">
        <v>50</v>
      </c>
      <c r="F51" s="4" t="inlineStr">
        <is>
          <t>Szoros</t>
        </is>
      </c>
      <c r="G51" s="4" t="inlineStr">
        <is>
          <t>Igen</t>
        </is>
      </c>
      <c r="H51" s="4" t="inlineStr">
        <is>
          <t>Termesztő cserép – műanyag, kerek, literes méretek</t>
        </is>
      </c>
      <c r="I51" s="4" t="inlineStr">
        <is>
          <t>Kategórialeírás (természetes említés)</t>
        </is>
      </c>
    </row>
    <row r="52">
      <c r="A52" s="4" t="inlineStr">
        <is>
          <t>Nagy virágcserép</t>
        </is>
      </c>
      <c r="B52" s="4" t="n">
        <v>10</v>
      </c>
      <c r="C52" s="4" t="inlineStr">
        <is>
          <t>nagy műanyag cserép</t>
        </is>
      </c>
      <c r="D52" s="4" t="n"/>
      <c r="E52" s="5" t="n">
        <v>50</v>
      </c>
      <c r="F52" s="4" t="inlineStr">
        <is>
          <t>Szoros</t>
        </is>
      </c>
      <c r="G52" s="4" t="inlineStr">
        <is>
          <t>Igen</t>
        </is>
      </c>
      <c r="H52" s="4" t="inlineStr">
        <is>
          <t>Nagy térfogatú cserép – 20–100 literes termesztés, kültér</t>
        </is>
      </c>
      <c r="I52" s="4" t="inlineStr">
        <is>
          <t>Kategórialeírás (természetes említés)</t>
        </is>
      </c>
    </row>
    <row r="53">
      <c r="A53" s="4" t="inlineStr">
        <is>
          <t>Szövetcserép, ültetőzsák</t>
        </is>
      </c>
      <c r="B53" s="4" t="n">
        <v>2</v>
      </c>
      <c r="C53" s="4" t="inlineStr">
        <is>
          <t>ultetozsak</t>
        </is>
      </c>
      <c r="D53" s="4" t="n"/>
      <c r="E53" s="5" t="n">
        <v>50</v>
      </c>
      <c r="F53" s="4" t="inlineStr">
        <is>
          <t>Szoros</t>
        </is>
      </c>
      <c r="G53" s="4" t="inlineStr">
        <is>
          <t>Igen</t>
        </is>
      </c>
      <c r="H53" s="4" t="inlineStr">
        <is>
          <t>Szövet / textil / filc cserép, ültető- és termesztőzsák</t>
        </is>
      </c>
      <c r="I53" s="4" t="inlineStr">
        <is>
          <t>Kategórialeírás (természetes említés)</t>
        </is>
      </c>
    </row>
    <row r="54">
      <c r="A54" s="4" t="inlineStr">
        <is>
          <t>Cserépalátét</t>
        </is>
      </c>
      <c r="B54" s="4" t="n">
        <v>12</v>
      </c>
      <c r="C54" s="4" t="inlineStr">
        <is>
          <t>virágcserép alátét 60 cm</t>
        </is>
      </c>
      <c r="D54" s="4" t="n"/>
      <c r="E54" s="5" t="n">
        <v>50</v>
      </c>
      <c r="F54" s="4" t="inlineStr">
        <is>
          <t>Szoros</t>
        </is>
      </c>
      <c r="G54" s="4" t="inlineStr">
        <is>
          <t>Igen</t>
        </is>
      </c>
      <c r="H54" s="4" t="inlineStr">
        <is>
          <t>Cserép alá – vízfelfogás, gurulós alátét</t>
        </is>
      </c>
      <c r="I54" s="4" t="inlineStr">
        <is>
          <t>Kategórialeírás (természetes említés)</t>
        </is>
      </c>
    </row>
    <row r="55">
      <c r="A55" s="4" t="inlineStr">
        <is>
          <t>Cserépalátét</t>
        </is>
      </c>
      <c r="B55" s="4" t="n">
        <v>13</v>
      </c>
      <c r="C55" s="4" t="inlineStr">
        <is>
          <t>cserépalátét 80 cm</t>
        </is>
      </c>
      <c r="D55" s="4" t="n"/>
      <c r="E55" s="5" t="n">
        <v>50</v>
      </c>
      <c r="F55" s="4" t="inlineStr">
        <is>
          <t>Szoros</t>
        </is>
      </c>
      <c r="G55" s="4" t="inlineStr">
        <is>
          <t>Igen</t>
        </is>
      </c>
      <c r="H55" s="4" t="inlineStr">
        <is>
          <t>Cserép alá – vízfelfogás, gurulós alátét</t>
        </is>
      </c>
      <c r="I55" s="4" t="inlineStr">
        <is>
          <t>Kategórialeírás (természetes említés)</t>
        </is>
      </c>
    </row>
    <row r="56">
      <c r="A56" s="4" t="inlineStr">
        <is>
          <t>Műanyag tálca, árapály asztal</t>
        </is>
      </c>
      <c r="B56" s="4" t="n">
        <v>9</v>
      </c>
      <c r="C56" s="4" t="inlineStr">
        <is>
          <t>árapály asztal</t>
        </is>
      </c>
      <c r="D56" s="4" t="n"/>
      <c r="E56" s="5" t="n">
        <v>50</v>
      </c>
      <c r="F56" s="4" t="inlineStr">
        <is>
          <t>Szoros</t>
        </is>
      </c>
      <c r="G56" s="4" t="inlineStr">
        <is>
          <t>Igen</t>
        </is>
      </c>
      <c r="H56" s="4" t="inlineStr">
        <is>
          <t>Gyűjtőtálca termesztősátorba, árapály (ebb &amp; flow) rendszer</t>
        </is>
      </c>
      <c r="I56" s="4" t="inlineStr">
        <is>
          <t>SEO title / H1 / bevezető (másodlagos)</t>
        </is>
      </c>
    </row>
    <row r="57">
      <c r="A57" s="7" t="inlineStr">
        <is>
          <t>Műanyag tálca, árapály asztal</t>
        </is>
      </c>
      <c r="B57" s="7" t="n">
        <v>10</v>
      </c>
      <c r="C57" s="7" t="inlineStr">
        <is>
          <t>műanyag kármentő tálca</t>
        </is>
      </c>
      <c r="D57" s="7" t="n"/>
      <c r="E57" s="8" t="n">
        <v>50</v>
      </c>
      <c r="F57" s="7" t="inlineStr">
        <is>
          <t>Laza</t>
        </is>
      </c>
      <c r="G57" s="7" t="inlineStr">
        <is>
          <t>Igen</t>
        </is>
      </c>
      <c r="H57" s="7" t="inlineStr">
        <is>
          <t>Gyűjtőtálca termesztősátorba, árapály (ebb &amp; flow) rendszer</t>
        </is>
      </c>
      <c r="I57" s="7" t="inlineStr">
        <is>
          <t>Kategórialeírás (természetes említés)</t>
        </is>
      </c>
    </row>
    <row r="58">
      <c r="A58" s="12" t="inlineStr">
        <is>
          <t>Műanyag tálca, árapály asztal</t>
        </is>
      </c>
      <c r="B58" s="12" t="n">
        <v>11</v>
      </c>
      <c r="C58" s="12" t="inlineStr">
        <is>
          <t>műanyag tálca obi</t>
        </is>
      </c>
      <c r="D58" s="12" t="n"/>
      <c r="E58" s="22" t="n">
        <v>50</v>
      </c>
      <c r="F58" s="12" t="inlineStr">
        <is>
          <t>Nincs (áruházi / nem vásárlási szándék)</t>
        </is>
      </c>
      <c r="G58" s="12" t="inlineStr">
        <is>
          <t>Nem – kizárandó</t>
        </is>
      </c>
      <c r="H58" s="12" t="inlineStr">
        <is>
          <t>Gyűjtőtálca termesztősátorba, árapály (ebb &amp; flow) rendszer</t>
        </is>
      </c>
      <c r="I58" s="12" t="inlineStr">
        <is>
          <t>Nem használni (áruházi/nem vásárlási szándék)</t>
        </is>
      </c>
    </row>
    <row r="59">
      <c r="A59" s="7" t="inlineStr">
        <is>
          <t>Virágcserép</t>
        </is>
      </c>
      <c r="B59" s="7" t="n">
        <v>18</v>
      </c>
      <c r="C59" s="7" t="inlineStr">
        <is>
          <t>kerti cserép</t>
        </is>
      </c>
      <c r="D59" s="7" t="n"/>
      <c r="E59" s="8" t="n">
        <v>40</v>
      </c>
      <c r="F59" s="7" t="inlineStr">
        <is>
          <t>Laza</t>
        </is>
      </c>
      <c r="G59" s="7" t="inlineStr">
        <is>
          <t>Igen</t>
        </is>
      </c>
      <c r="H59" s="7" t="inlineStr">
        <is>
          <t>Termesztő cserép – műanyag, kerek, literes méretek</t>
        </is>
      </c>
      <c r="I59" s="7" t="inlineStr">
        <is>
          <t>Kategórialeírás (természetes említés)</t>
        </is>
      </c>
    </row>
    <row r="60">
      <c r="A60" s="4" t="inlineStr">
        <is>
          <t>Nagy virágcserép</t>
        </is>
      </c>
      <c r="B60" s="4" t="n">
        <v>11</v>
      </c>
      <c r="C60" s="4" t="inlineStr">
        <is>
          <t>nagy műanyag virágcserép</t>
        </is>
      </c>
      <c r="D60" s="4" t="n"/>
      <c r="E60" s="5" t="n">
        <v>40</v>
      </c>
      <c r="F60" s="4" t="inlineStr">
        <is>
          <t>Szoros</t>
        </is>
      </c>
      <c r="G60" s="4" t="inlineStr">
        <is>
          <t>Igen</t>
        </is>
      </c>
      <c r="H60" s="4" t="inlineStr">
        <is>
          <t>Nagy térfogatú cserép – 20–100 literes termesztés, kültér</t>
        </is>
      </c>
      <c r="I60" s="4" t="inlineStr">
        <is>
          <t>Kategórialeírás (természetes említés)</t>
        </is>
      </c>
    </row>
    <row r="61">
      <c r="A61" s="4" t="inlineStr">
        <is>
          <t>Nagy virágcserép</t>
        </is>
      </c>
      <c r="B61" s="4" t="n">
        <v>12</v>
      </c>
      <c r="C61" s="4" t="inlineStr">
        <is>
          <t>nagyméretű műanyag cserép</t>
        </is>
      </c>
      <c r="D61" s="4" t="n"/>
      <c r="E61" s="5" t="n">
        <v>40</v>
      </c>
      <c r="F61" s="4" t="inlineStr">
        <is>
          <t>Szoros</t>
        </is>
      </c>
      <c r="G61" s="4" t="inlineStr">
        <is>
          <t>Igen</t>
        </is>
      </c>
      <c r="H61" s="4" t="inlineStr">
        <is>
          <t>Nagy térfogatú cserép – 20–100 literes termesztés, kültér</t>
        </is>
      </c>
      <c r="I61" s="4" t="inlineStr">
        <is>
          <t>Kategórialeírás (természetes említés)</t>
        </is>
      </c>
    </row>
    <row r="62">
      <c r="A62" s="7" t="inlineStr">
        <is>
          <t>Nagy virágcserép</t>
        </is>
      </c>
      <c r="B62" s="7" t="n">
        <v>13</v>
      </c>
      <c r="C62" s="7" t="inlineStr">
        <is>
          <t>xxl cserép</t>
        </is>
      </c>
      <c r="D62" s="7" t="n"/>
      <c r="E62" s="8" t="n">
        <v>40</v>
      </c>
      <c r="F62" s="7" t="inlineStr">
        <is>
          <t>Laza</t>
        </is>
      </c>
      <c r="G62" s="7" t="inlineStr">
        <is>
          <t>Igen</t>
        </is>
      </c>
      <c r="H62" s="7" t="inlineStr">
        <is>
          <t>Nagy térfogatú cserép – 20–100 literes termesztés, kültér</t>
        </is>
      </c>
      <c r="I62" s="7" t="inlineStr">
        <is>
          <t>Kategórialeírás (természetes említés)</t>
        </is>
      </c>
    </row>
    <row r="63">
      <c r="A63" s="4" t="inlineStr">
        <is>
          <t>Szögletes cserép</t>
        </is>
      </c>
      <c r="B63" s="4" t="n">
        <v>3</v>
      </c>
      <c r="C63" s="4" t="inlineStr">
        <is>
          <t>szögletes cserép</t>
        </is>
      </c>
      <c r="D63" s="4" t="n"/>
      <c r="E63" s="5" t="n">
        <v>40</v>
      </c>
      <c r="F63" s="4" t="inlineStr">
        <is>
          <t>Szoros</t>
        </is>
      </c>
      <c r="G63" s="4" t="inlineStr">
        <is>
          <t>Igen</t>
        </is>
      </c>
      <c r="H63" s="4" t="inlineStr">
        <is>
          <t>Helytakarékos termesztés sátorban / polcon</t>
        </is>
      </c>
      <c r="I63" s="4" t="inlineStr">
        <is>
          <t>SEO title / H1 / bevezető (másodlagos)</t>
        </is>
      </c>
    </row>
    <row r="64">
      <c r="A64" s="7" t="inlineStr">
        <is>
          <t>Szövetcserép, ültetőzsák</t>
        </is>
      </c>
      <c r="B64" s="7" t="n">
        <v>3</v>
      </c>
      <c r="C64" s="7" t="inlineStr">
        <is>
          <t>burgonya ültető zsák</t>
        </is>
      </c>
      <c r="D64" s="7" t="n"/>
      <c r="E64" s="8" t="n">
        <v>40</v>
      </c>
      <c r="F64" s="7" t="inlineStr">
        <is>
          <t>Laza</t>
        </is>
      </c>
      <c r="G64" s="7" t="inlineStr">
        <is>
          <t>Igen</t>
        </is>
      </c>
      <c r="H64" s="7" t="inlineStr">
        <is>
          <t>Szövet / textil / filc cserép, ültető- és termesztőzsák</t>
        </is>
      </c>
      <c r="I64" s="7" t="inlineStr">
        <is>
          <t>Kategórialeírás (természetes említés)</t>
        </is>
      </c>
    </row>
    <row r="65">
      <c r="A65" s="7" t="inlineStr">
        <is>
          <t>Szövetcserép, ültetőzsák</t>
        </is>
      </c>
      <c r="B65" s="7" t="n">
        <v>4</v>
      </c>
      <c r="C65" s="7" t="inlineStr">
        <is>
          <t>krumpli ültető zsák</t>
        </is>
      </c>
      <c r="D65" s="7" t="n"/>
      <c r="E65" s="8" t="n">
        <v>40</v>
      </c>
      <c r="F65" s="7" t="inlineStr">
        <is>
          <t>Laza</t>
        </is>
      </c>
      <c r="G65" s="7" t="inlineStr">
        <is>
          <t>Igen</t>
        </is>
      </c>
      <c r="H65" s="7" t="inlineStr">
        <is>
          <t>Szövet / textil / filc cserép, ültető- és termesztőzsák</t>
        </is>
      </c>
      <c r="I65" s="7" t="inlineStr">
        <is>
          <t>Kategórialeírás (természetes említés)</t>
        </is>
      </c>
    </row>
    <row r="66">
      <c r="A66" s="4" t="inlineStr">
        <is>
          <t>Cserépalátét</t>
        </is>
      </c>
      <c r="B66" s="4" t="n">
        <v>14</v>
      </c>
      <c r="C66" s="4" t="inlineStr">
        <is>
          <t>cserépalátét 60 cm</t>
        </is>
      </c>
      <c r="D66" s="4" t="n"/>
      <c r="E66" s="5" t="n">
        <v>40</v>
      </c>
      <c r="F66" s="4" t="inlineStr">
        <is>
          <t>Szoros</t>
        </is>
      </c>
      <c r="G66" s="4" t="inlineStr">
        <is>
          <t>Igen</t>
        </is>
      </c>
      <c r="H66" s="4" t="inlineStr">
        <is>
          <t>Cserép alá – vízfelfogás, gurulós alátét</t>
        </is>
      </c>
      <c r="I66" s="4" t="inlineStr">
        <is>
          <t>Kategórialeírás (természetes említés)</t>
        </is>
      </c>
    </row>
    <row r="67">
      <c r="A67" s="7" t="inlineStr">
        <is>
          <t>Műanyag tálca, árapály asztal</t>
        </is>
      </c>
      <c r="B67" s="7" t="n">
        <v>12</v>
      </c>
      <c r="C67" s="7" t="inlineStr">
        <is>
          <t>nagy műanyag tálca</t>
        </is>
      </c>
      <c r="D67" s="7" t="n"/>
      <c r="E67" s="8" t="n">
        <v>40</v>
      </c>
      <c r="F67" s="7" t="inlineStr">
        <is>
          <t>Laza</t>
        </is>
      </c>
      <c r="G67" s="7" t="inlineStr">
        <is>
          <t>Igen</t>
        </is>
      </c>
      <c r="H67" s="7" t="inlineStr">
        <is>
          <t>Gyűjtőtálca termesztősátorba, árapály (ebb &amp; flow) rendszer</t>
        </is>
      </c>
      <c r="I67" s="7" t="inlineStr">
        <is>
          <t>Kategórialeírás (természetes említés)</t>
        </is>
      </c>
    </row>
    <row r="68">
      <c r="A68" s="7" t="inlineStr">
        <is>
          <t>Műanyag tálca, árapály asztal</t>
        </is>
      </c>
      <c r="B68" s="7" t="n">
        <v>13</v>
      </c>
      <c r="C68" s="7" t="inlineStr">
        <is>
          <t>kármentő tálca műanyag</t>
        </is>
      </c>
      <c r="D68" s="7" t="n"/>
      <c r="E68" s="8" t="n">
        <v>40</v>
      </c>
      <c r="F68" s="7" t="inlineStr">
        <is>
          <t>Laza</t>
        </is>
      </c>
      <c r="G68" s="7" t="inlineStr">
        <is>
          <t>Igen</t>
        </is>
      </c>
      <c r="H68" s="7" t="inlineStr">
        <is>
          <t>Gyűjtőtálca termesztősátorba, árapály (ebb &amp; flow) rendszer</t>
        </is>
      </c>
      <c r="I68" s="7" t="inlineStr">
        <is>
          <t>Kategórialeírás (természetes említés)</t>
        </is>
      </c>
    </row>
    <row r="69">
      <c r="A69" s="4" t="inlineStr">
        <is>
          <t>Virágcserép</t>
        </is>
      </c>
      <c r="B69" s="4" t="n">
        <v>19</v>
      </c>
      <c r="C69" s="4" t="inlineStr">
        <is>
          <t>10 literes cserép</t>
        </is>
      </c>
      <c r="D69" s="4" t="n"/>
      <c r="E69" s="5" t="n">
        <v>30</v>
      </c>
      <c r="F69" s="4" t="inlineStr">
        <is>
          <t>Szoros</t>
        </is>
      </c>
      <c r="G69" s="4" t="inlineStr">
        <is>
          <t>Igen</t>
        </is>
      </c>
      <c r="H69" s="4" t="inlineStr">
        <is>
          <t>Termesztő cserép – műanyag, kerek, literes méretek</t>
        </is>
      </c>
      <c r="I69" s="4" t="inlineStr">
        <is>
          <t>Kategórialeírás (természetes említés)</t>
        </is>
      </c>
    </row>
    <row r="70">
      <c r="A70" s="4" t="inlineStr">
        <is>
          <t>Virágcserép</t>
        </is>
      </c>
      <c r="B70" s="4" t="n">
        <v>20</v>
      </c>
      <c r="C70" s="4" t="inlineStr">
        <is>
          <t>50 literes cserép</t>
        </is>
      </c>
      <c r="D70" s="4" t="n"/>
      <c r="E70" s="5" t="n">
        <v>30</v>
      </c>
      <c r="F70" s="4" t="inlineStr">
        <is>
          <t>Szoros</t>
        </is>
      </c>
      <c r="G70" s="4" t="inlineStr">
        <is>
          <t>Igen</t>
        </is>
      </c>
      <c r="H70" s="4" t="inlineStr">
        <is>
          <t>Termesztő cserép – műanyag, kerek, literes méretek</t>
        </is>
      </c>
      <c r="I70" s="4" t="inlineStr">
        <is>
          <t>Kategórialeírás (természetes említés)</t>
        </is>
      </c>
    </row>
    <row r="71">
      <c r="A71" s="4" t="inlineStr">
        <is>
          <t>Virágcserép</t>
        </is>
      </c>
      <c r="B71" s="4" t="n">
        <v>21</v>
      </c>
      <c r="C71" s="4" t="inlineStr">
        <is>
          <t>virágcserép 30 cm</t>
        </is>
      </c>
      <c r="D71" s="4" t="n"/>
      <c r="E71" s="5" t="n">
        <v>30</v>
      </c>
      <c r="F71" s="4" t="inlineStr">
        <is>
          <t>Szoros</t>
        </is>
      </c>
      <c r="G71" s="4" t="inlineStr">
        <is>
          <t>Igen</t>
        </is>
      </c>
      <c r="H71" s="4" t="inlineStr">
        <is>
          <t>Termesztő cserép – műanyag, kerek, literes méretek</t>
        </is>
      </c>
      <c r="I71" s="4" t="inlineStr">
        <is>
          <t>Kategórialeírás (természetes említés)</t>
        </is>
      </c>
    </row>
    <row r="72">
      <c r="A72" s="4" t="inlineStr">
        <is>
          <t>Szögletes cserép</t>
        </is>
      </c>
      <c r="B72" s="4" t="n">
        <v>4</v>
      </c>
      <c r="C72" s="4" t="inlineStr">
        <is>
          <t>szögletes műanyag cserép</t>
        </is>
      </c>
      <c r="D72" s="4" t="n"/>
      <c r="E72" s="5" t="n">
        <v>30</v>
      </c>
      <c r="F72" s="4" t="inlineStr">
        <is>
          <t>Szoros</t>
        </is>
      </c>
      <c r="G72" s="4" t="inlineStr">
        <is>
          <t>Igen</t>
        </is>
      </c>
      <c r="H72" s="4" t="inlineStr">
        <is>
          <t>Helytakarékos termesztés sátorban / polcon</t>
        </is>
      </c>
      <c r="I72" s="4" t="inlineStr">
        <is>
          <t>SEO title / H1 / bevezető (másodlagos)</t>
        </is>
      </c>
    </row>
    <row r="73">
      <c r="A73" s="4" t="inlineStr">
        <is>
          <t>Cserépalátét</t>
        </is>
      </c>
      <c r="B73" s="4" t="n">
        <v>15</v>
      </c>
      <c r="C73" s="4" t="inlineStr">
        <is>
          <t>cserépalátét 50 cm</t>
        </is>
      </c>
      <c r="D73" s="4" t="n"/>
      <c r="E73" s="5" t="n">
        <v>30</v>
      </c>
      <c r="F73" s="4" t="inlineStr">
        <is>
          <t>Szoros</t>
        </is>
      </c>
      <c r="G73" s="4" t="inlineStr">
        <is>
          <t>Igen</t>
        </is>
      </c>
      <c r="H73" s="4" t="inlineStr">
        <is>
          <t>Cserép alá – vízfelfogás, gurulós alátét</t>
        </is>
      </c>
      <c r="I73" s="4" t="inlineStr">
        <is>
          <t>Kategórialeírás (természetes említés)</t>
        </is>
      </c>
    </row>
    <row r="74">
      <c r="A74" s="4" t="inlineStr">
        <is>
          <t>Cserépalátét</t>
        </is>
      </c>
      <c r="B74" s="4" t="n">
        <v>16</v>
      </c>
      <c r="C74" s="4" t="inlineStr">
        <is>
          <t>virágcserép alátét 50 cm</t>
        </is>
      </c>
      <c r="D74" s="4" t="n"/>
      <c r="E74" s="5" t="n">
        <v>30</v>
      </c>
      <c r="F74" s="4" t="inlineStr">
        <is>
          <t>Szoros</t>
        </is>
      </c>
      <c r="G74" s="4" t="inlineStr">
        <is>
          <t>Igen</t>
        </is>
      </c>
      <c r="H74" s="4" t="inlineStr">
        <is>
          <t>Cserép alá – vízfelfogás, gurulós alátét</t>
        </is>
      </c>
      <c r="I74" s="4" t="inlineStr">
        <is>
          <t>Kategórialeírás (természetes említés)</t>
        </is>
      </c>
    </row>
    <row r="75">
      <c r="A75" s="7" t="inlineStr">
        <is>
          <t>Cserépalátét</t>
        </is>
      </c>
      <c r="B75" s="7" t="n">
        <v>17</v>
      </c>
      <c r="C75" s="7" t="inlineStr">
        <is>
          <t>gurulós alátét</t>
        </is>
      </c>
      <c r="D75" s="7" t="n"/>
      <c r="E75" s="8" t="n">
        <v>30</v>
      </c>
      <c r="F75" s="7" t="inlineStr">
        <is>
          <t>Laza</t>
        </is>
      </c>
      <c r="G75" s="7" t="inlineStr">
        <is>
          <t>Igen</t>
        </is>
      </c>
      <c r="H75" s="7" t="inlineStr">
        <is>
          <t>Cserép alá – vízfelfogás, gurulós alátét</t>
        </is>
      </c>
      <c r="I75" s="7" t="inlineStr">
        <is>
          <t>Kategórialeírás (természetes említés)</t>
        </is>
      </c>
    </row>
    <row r="76">
      <c r="A76" s="7" t="inlineStr">
        <is>
          <t>Cserépalátét</t>
        </is>
      </c>
      <c r="B76" s="7" t="n">
        <v>18</v>
      </c>
      <c r="C76" s="7" t="inlineStr">
        <is>
          <t>guruló virágtartó</t>
        </is>
      </c>
      <c r="D76" s="7" t="n"/>
      <c r="E76" s="8" t="n">
        <v>30</v>
      </c>
      <c r="F76" s="7" t="inlineStr">
        <is>
          <t>Laza</t>
        </is>
      </c>
      <c r="G76" s="7" t="inlineStr">
        <is>
          <t>Igen</t>
        </is>
      </c>
      <c r="H76" s="7" t="inlineStr">
        <is>
          <t>Cserép alá – vízfelfogás, gurulós alátét</t>
        </is>
      </c>
      <c r="I76" s="7" t="inlineStr">
        <is>
          <t>Kategórialeírás (természetes említés)</t>
        </is>
      </c>
    </row>
    <row r="77">
      <c r="A77" s="4" t="inlineStr">
        <is>
          <t>Műanyag tálca, árapály asztal</t>
        </is>
      </c>
      <c r="B77" s="4" t="n">
        <v>14</v>
      </c>
      <c r="C77" s="4" t="inlineStr">
        <is>
          <t>árapály asztal eladó</t>
        </is>
      </c>
      <c r="D77" s="4" t="n"/>
      <c r="E77" s="5" t="n">
        <v>30</v>
      </c>
      <c r="F77" s="4" t="inlineStr">
        <is>
          <t>Szoros</t>
        </is>
      </c>
      <c r="G77" s="4" t="inlineStr">
        <is>
          <t>Igen</t>
        </is>
      </c>
      <c r="H77" s="4" t="inlineStr">
        <is>
          <t>Gyűjtőtálca termesztősátorba, árapály (ebb &amp; flow) rendszer</t>
        </is>
      </c>
      <c r="I77" s="4" t="inlineStr">
        <is>
          <t>Kategórialeírás (természetes említés)</t>
        </is>
      </c>
    </row>
    <row r="78">
      <c r="A78" s="4" t="inlineStr">
        <is>
          <t>Műanyag tálca, árapály asztal</t>
        </is>
      </c>
      <c r="B78" s="4" t="n">
        <v>15</v>
      </c>
      <c r="C78" s="4" t="inlineStr">
        <is>
          <t>termesztő tálca</t>
        </is>
      </c>
      <c r="D78" s="4" t="n"/>
      <c r="E78" s="5" t="n">
        <v>30</v>
      </c>
      <c r="F78" s="4" t="inlineStr">
        <is>
          <t>Szoros</t>
        </is>
      </c>
      <c r="G78" s="4" t="inlineStr">
        <is>
          <t>Igen</t>
        </is>
      </c>
      <c r="H78" s="4" t="inlineStr">
        <is>
          <t>Gyűjtőtálca termesztősátorba, árapály (ebb &amp; flow) rendszer</t>
        </is>
      </c>
      <c r="I78" s="4" t="inlineStr">
        <is>
          <t>Kategórialeírás (természetes említés)</t>
        </is>
      </c>
    </row>
    <row r="79">
      <c r="A79" s="7" t="inlineStr">
        <is>
          <t>Műanyag tálca, árapály asztal</t>
        </is>
      </c>
      <c r="B79" s="7" t="n">
        <v>16</v>
      </c>
      <c r="C79" s="7" t="inlineStr">
        <is>
          <t>fekete műanyag tálca</t>
        </is>
      </c>
      <c r="D79" s="7" t="n"/>
      <c r="E79" s="8" t="n">
        <v>30</v>
      </c>
      <c r="F79" s="7" t="inlineStr">
        <is>
          <t>Laza</t>
        </is>
      </c>
      <c r="G79" s="7" t="inlineStr">
        <is>
          <t>Igen</t>
        </is>
      </c>
      <c r="H79" s="7" t="inlineStr">
        <is>
          <t>Gyűjtőtálca termesztősátorba, árapály (ebb &amp; flow) rendszer</t>
        </is>
      </c>
      <c r="I79" s="7" t="inlineStr">
        <is>
          <t>Kategórialeírás (természetes említés)</t>
        </is>
      </c>
    </row>
    <row r="80">
      <c r="A80" s="7" t="inlineStr">
        <is>
          <t>Műanyag tálca, árapály asztal</t>
        </is>
      </c>
      <c r="B80" s="7" t="n">
        <v>17</v>
      </c>
      <c r="C80" s="7" t="inlineStr">
        <is>
          <t>kerek műanyag tálca</t>
        </is>
      </c>
      <c r="D80" s="7" t="n"/>
      <c r="E80" s="8" t="n">
        <v>30</v>
      </c>
      <c r="F80" s="7" t="inlineStr">
        <is>
          <t>Laza</t>
        </is>
      </c>
      <c r="G80" s="7" t="inlineStr">
        <is>
          <t>Igen</t>
        </is>
      </c>
      <c r="H80" s="7" t="inlineStr">
        <is>
          <t>Gyűjtőtálca termesztősátorba, árapály (ebb &amp; flow) rendszer</t>
        </is>
      </c>
      <c r="I80" s="7" t="inlineStr">
        <is>
          <t>Kategórialeírás (természetes említés)</t>
        </is>
      </c>
    </row>
    <row r="81">
      <c r="A81" s="4" t="inlineStr">
        <is>
          <t>Virágcserép</t>
        </is>
      </c>
      <c r="B81" s="4" t="n">
        <v>22</v>
      </c>
      <c r="C81" s="4" t="inlineStr">
        <is>
          <t>30 literes cserép</t>
        </is>
      </c>
      <c r="D81" s="4" t="n"/>
      <c r="E81" s="5" t="n">
        <v>20</v>
      </c>
      <c r="F81" s="4" t="inlineStr">
        <is>
          <t>Szoros</t>
        </is>
      </c>
      <c r="G81" s="4" t="inlineStr">
        <is>
          <t>Igen</t>
        </is>
      </c>
      <c r="H81" s="4" t="inlineStr">
        <is>
          <t>Termesztő cserép – műanyag, kerek, literes méretek</t>
        </is>
      </c>
      <c r="I81" s="4" t="inlineStr">
        <is>
          <t>Kategórialeírás (természetes említés)</t>
        </is>
      </c>
    </row>
    <row r="82">
      <c r="A82" s="4" t="inlineStr">
        <is>
          <t>Virágcserép</t>
        </is>
      </c>
      <c r="B82" s="4" t="n">
        <v>23</v>
      </c>
      <c r="C82" s="4" t="inlineStr">
        <is>
          <t>15 literes cserép</t>
        </is>
      </c>
      <c r="D82" s="4" t="n"/>
      <c r="E82" s="5" t="n">
        <v>20</v>
      </c>
      <c r="F82" s="4" t="inlineStr">
        <is>
          <t>Szoros</t>
        </is>
      </c>
      <c r="G82" s="4" t="inlineStr">
        <is>
          <t>Igen</t>
        </is>
      </c>
      <c r="H82" s="4" t="inlineStr">
        <is>
          <t>Termesztő cserép – műanyag, kerek, literes méretek</t>
        </is>
      </c>
      <c r="I82" s="4" t="inlineStr">
        <is>
          <t>Kategórialeírás (természetes említés)</t>
        </is>
      </c>
    </row>
    <row r="83">
      <c r="A83" s="4" t="inlineStr">
        <is>
          <t>Virágcserép</t>
        </is>
      </c>
      <c r="B83" s="4" t="n">
        <v>24</v>
      </c>
      <c r="C83" s="4" t="inlineStr">
        <is>
          <t>műanyag virágcserepek</t>
        </is>
      </c>
      <c r="D83" s="4" t="n"/>
      <c r="E83" s="5" t="n">
        <v>20</v>
      </c>
      <c r="F83" s="4" t="inlineStr">
        <is>
          <t>Szoros</t>
        </is>
      </c>
      <c r="G83" s="4" t="inlineStr">
        <is>
          <t>Igen</t>
        </is>
      </c>
      <c r="H83" s="4" t="inlineStr">
        <is>
          <t>Termesztő cserép – műanyag, kerek, literes méretek</t>
        </is>
      </c>
      <c r="I83" s="4" t="inlineStr">
        <is>
          <t>Kategórialeírás (természetes említés)</t>
        </is>
      </c>
    </row>
    <row r="84">
      <c r="A84" s="4" t="inlineStr">
        <is>
          <t>Virágcserép</t>
        </is>
      </c>
      <c r="B84" s="4" t="n">
        <v>25</v>
      </c>
      <c r="C84" s="4" t="inlineStr">
        <is>
          <t>virágcserép olcsón</t>
        </is>
      </c>
      <c r="D84" s="4" t="n"/>
      <c r="E84" s="5" t="n">
        <v>20</v>
      </c>
      <c r="F84" s="4" t="inlineStr">
        <is>
          <t>Szoros</t>
        </is>
      </c>
      <c r="G84" s="4" t="inlineStr">
        <is>
          <t>Igen</t>
        </is>
      </c>
      <c r="H84" s="4" t="inlineStr">
        <is>
          <t>Termesztő cserép – műanyag, kerek, literes méretek</t>
        </is>
      </c>
      <c r="I84" s="4" t="inlineStr">
        <is>
          <t>Kategórialeírás (természetes említés)</t>
        </is>
      </c>
    </row>
    <row r="85">
      <c r="A85" s="4" t="inlineStr">
        <is>
          <t>Nagy virágcserép</t>
        </is>
      </c>
      <c r="B85" s="4" t="n">
        <v>14</v>
      </c>
      <c r="C85" s="4" t="inlineStr">
        <is>
          <t>50 literes virágcserép</t>
        </is>
      </c>
      <c r="D85" s="4" t="n"/>
      <c r="E85" s="5" t="n">
        <v>20</v>
      </c>
      <c r="F85" s="4" t="inlineStr">
        <is>
          <t>Szoros</t>
        </is>
      </c>
      <c r="G85" s="4" t="inlineStr">
        <is>
          <t>Igen</t>
        </is>
      </c>
      <c r="H85" s="4" t="inlineStr">
        <is>
          <t>Nagy térfogatú cserép – 20–100 literes termesztés, kültér</t>
        </is>
      </c>
      <c r="I85" s="4" t="inlineStr">
        <is>
          <t>Kategórialeírás (természetes említés)</t>
        </is>
      </c>
    </row>
    <row r="86">
      <c r="A86" s="4" t="inlineStr">
        <is>
          <t>Szögletes cserép</t>
        </is>
      </c>
      <c r="B86" s="4" t="n">
        <v>5</v>
      </c>
      <c r="C86" s="4" t="inlineStr">
        <is>
          <t>magas műanyag virágcserép</t>
        </is>
      </c>
      <c r="D86" s="4" t="n"/>
      <c r="E86" s="5" t="n">
        <v>20</v>
      </c>
      <c r="F86" s="4" t="inlineStr">
        <is>
          <t>Szoros</t>
        </is>
      </c>
      <c r="G86" s="4" t="inlineStr">
        <is>
          <t>Igen</t>
        </is>
      </c>
      <c r="H86" s="4" t="inlineStr">
        <is>
          <t>Helytakarékos termesztés sátorban / polcon</t>
        </is>
      </c>
      <c r="I86" s="4" t="inlineStr">
        <is>
          <t>Kategórialeírás (természetes említés)</t>
        </is>
      </c>
    </row>
    <row r="87">
      <c r="A87" s="4" t="inlineStr">
        <is>
          <t>Szögletes cserép</t>
        </is>
      </c>
      <c r="B87" s="4" t="n">
        <v>6</v>
      </c>
      <c r="C87" s="4" t="inlineStr">
        <is>
          <t>négyszögletes virágcserép</t>
        </is>
      </c>
      <c r="D87" s="4" t="n"/>
      <c r="E87" s="5" t="n">
        <v>20</v>
      </c>
      <c r="F87" s="4" t="inlineStr">
        <is>
          <t>Szoros</t>
        </is>
      </c>
      <c r="G87" s="4" t="inlineStr">
        <is>
          <t>Igen</t>
        </is>
      </c>
      <c r="H87" s="4" t="inlineStr">
        <is>
          <t>Helytakarékos termesztés sátorban / polcon</t>
        </is>
      </c>
      <c r="I87" s="4" t="inlineStr">
        <is>
          <t>Kategórialeírás (természetes említés)</t>
        </is>
      </c>
    </row>
    <row r="88">
      <c r="A88" s="4" t="inlineStr">
        <is>
          <t>Szögletes cserép</t>
        </is>
      </c>
      <c r="B88" s="4" t="n">
        <v>7</v>
      </c>
      <c r="C88" s="4" t="inlineStr">
        <is>
          <t>négyzet alakú virágcserép</t>
        </is>
      </c>
      <c r="D88" s="4" t="n"/>
      <c r="E88" s="5" t="n">
        <v>20</v>
      </c>
      <c r="F88" s="4" t="inlineStr">
        <is>
          <t>Szoros</t>
        </is>
      </c>
      <c r="G88" s="4" t="inlineStr">
        <is>
          <t>Igen</t>
        </is>
      </c>
      <c r="H88" s="4" t="inlineStr">
        <is>
          <t>Helytakarékos termesztés sátorban / polcon</t>
        </is>
      </c>
      <c r="I88" s="4" t="inlineStr">
        <is>
          <t>Kategórialeírás (természetes említés)</t>
        </is>
      </c>
    </row>
    <row r="89">
      <c r="A89" s="4" t="inlineStr">
        <is>
          <t>Szövetcserép, ültetőzsák</t>
        </is>
      </c>
      <c r="B89" s="4" t="n">
        <v>5</v>
      </c>
      <c r="C89" s="4" t="inlineStr">
        <is>
          <t>szövet cserép</t>
        </is>
      </c>
      <c r="D89" s="4" t="n"/>
      <c r="E89" s="5" t="n">
        <v>20</v>
      </c>
      <c r="F89" s="4" t="inlineStr">
        <is>
          <t>Szoros</t>
        </is>
      </c>
      <c r="G89" s="4" t="inlineStr">
        <is>
          <t>Igen</t>
        </is>
      </c>
      <c r="H89" s="4" t="inlineStr">
        <is>
          <t>Szövet / textil / filc cserép, ültető- és termesztőzsák</t>
        </is>
      </c>
      <c r="I89" s="4" t="inlineStr">
        <is>
          <t>SEO title / H1 / bevezető (másodlagos)</t>
        </is>
      </c>
    </row>
    <row r="90">
      <c r="A90" s="4" t="inlineStr">
        <is>
          <t>Szövetcserép, ültetőzsák</t>
        </is>
      </c>
      <c r="B90" s="4" t="n">
        <v>6</v>
      </c>
      <c r="C90" s="4" t="inlineStr">
        <is>
          <t>textil cserép</t>
        </is>
      </c>
      <c r="D90" s="4" t="n"/>
      <c r="E90" s="5" t="n">
        <v>20</v>
      </c>
      <c r="F90" s="4" t="inlineStr">
        <is>
          <t>Szoros</t>
        </is>
      </c>
      <c r="G90" s="4" t="inlineStr">
        <is>
          <t>Igen</t>
        </is>
      </c>
      <c r="H90" s="4" t="inlineStr">
        <is>
          <t>Szövet / textil / filc cserép, ültető- és termesztőzsák</t>
        </is>
      </c>
      <c r="I90" s="4" t="inlineStr">
        <is>
          <t>SEO title / H1 / bevezető (másodlagos)</t>
        </is>
      </c>
    </row>
    <row r="91">
      <c r="A91" s="4" t="inlineStr">
        <is>
          <t>Szövetcserép, ültetőzsák</t>
        </is>
      </c>
      <c r="B91" s="4" t="n">
        <v>7</v>
      </c>
      <c r="C91" s="4" t="inlineStr">
        <is>
          <t>textil virágcserép</t>
        </is>
      </c>
      <c r="D91" s="4" t="n"/>
      <c r="E91" s="5" t="n">
        <v>20</v>
      </c>
      <c r="F91" s="4" t="inlineStr">
        <is>
          <t>Szoros</t>
        </is>
      </c>
      <c r="G91" s="4" t="inlineStr">
        <is>
          <t>Igen</t>
        </is>
      </c>
      <c r="H91" s="4" t="inlineStr">
        <is>
          <t>Szövet / textil / filc cserép, ültető- és termesztőzsák</t>
        </is>
      </c>
      <c r="I91" s="4" t="inlineStr">
        <is>
          <t>SEO title / H1 / bevezető (másodlagos)</t>
        </is>
      </c>
    </row>
    <row r="92">
      <c r="A92" s="4" t="inlineStr">
        <is>
          <t>Szövetcserép, ültetőzsák</t>
        </is>
      </c>
      <c r="B92" s="4" t="n">
        <v>8</v>
      </c>
      <c r="C92" s="4" t="inlineStr">
        <is>
          <t>smart pot</t>
        </is>
      </c>
      <c r="D92" s="4" t="n"/>
      <c r="E92" s="5" t="n">
        <v>20</v>
      </c>
      <c r="F92" s="4" t="inlineStr">
        <is>
          <t>Szoros</t>
        </is>
      </c>
      <c r="G92" s="4" t="inlineStr">
        <is>
          <t>Igen</t>
        </is>
      </c>
      <c r="H92" s="4" t="inlineStr">
        <is>
          <t>Szövet / textil / filc cserép, ültető- és termesztőzsák</t>
        </is>
      </c>
      <c r="I92" s="4" t="inlineStr">
        <is>
          <t>Kategórialeírás (természetes említés)</t>
        </is>
      </c>
    </row>
    <row r="93">
      <c r="A93" s="4" t="inlineStr">
        <is>
          <t>Szövetcserép, ültetőzsák</t>
        </is>
      </c>
      <c r="B93" s="4" t="n">
        <v>9</v>
      </c>
      <c r="C93" s="4" t="inlineStr">
        <is>
          <t>grow bag</t>
        </is>
      </c>
      <c r="D93" s="4" t="n"/>
      <c r="E93" s="5" t="n">
        <v>20</v>
      </c>
      <c r="F93" s="4" t="inlineStr">
        <is>
          <t>Szoros</t>
        </is>
      </c>
      <c r="G93" s="4" t="inlineStr">
        <is>
          <t>Igen</t>
        </is>
      </c>
      <c r="H93" s="4" t="inlineStr">
        <is>
          <t>Szövet / textil / filc cserép, ültető- és termesztőzsák</t>
        </is>
      </c>
      <c r="I93" s="4" t="inlineStr">
        <is>
          <t>Kategórialeírás (természetes említés)</t>
        </is>
      </c>
    </row>
    <row r="94">
      <c r="A94" s="7" t="inlineStr">
        <is>
          <t>Szövetcserép, ültetőzsák</t>
        </is>
      </c>
      <c r="B94" s="7" t="n">
        <v>10</v>
      </c>
      <c r="C94" s="7" t="inlineStr">
        <is>
          <t>krumpli termesztő zsák</t>
        </is>
      </c>
      <c r="D94" s="7" t="n"/>
      <c r="E94" s="8" t="n">
        <v>20</v>
      </c>
      <c r="F94" s="7" t="inlineStr">
        <is>
          <t>Laza</t>
        </is>
      </c>
      <c r="G94" s="7" t="inlineStr">
        <is>
          <t>Igen</t>
        </is>
      </c>
      <c r="H94" s="7" t="inlineStr">
        <is>
          <t>Szövet / textil / filc cserép, ültető- és termesztőzsák</t>
        </is>
      </c>
      <c r="I94" s="7" t="inlineStr">
        <is>
          <t>Kategórialeírás (természetes említés)</t>
        </is>
      </c>
    </row>
    <row r="95">
      <c r="A95" s="4" t="inlineStr">
        <is>
          <t>Cserépalátét</t>
        </is>
      </c>
      <c r="B95" s="4" t="n">
        <v>19</v>
      </c>
      <c r="C95" s="4" t="inlineStr">
        <is>
          <t>műanyag virágcserép alátét</t>
        </is>
      </c>
      <c r="D95" s="4" t="n"/>
      <c r="E95" s="5" t="n">
        <v>20</v>
      </c>
      <c r="F95" s="4" t="inlineStr">
        <is>
          <t>Szoros</t>
        </is>
      </c>
      <c r="G95" s="4" t="inlineStr">
        <is>
          <t>Igen</t>
        </is>
      </c>
      <c r="H95" s="4" t="inlineStr">
        <is>
          <t>Cserép alá – vízfelfogás, gurulós alátét</t>
        </is>
      </c>
      <c r="I95" s="4" t="inlineStr">
        <is>
          <t>Kategórialeírás (természetes említés)</t>
        </is>
      </c>
    </row>
    <row r="96">
      <c r="A96" s="4" t="inlineStr">
        <is>
          <t>Műanyag tálca, árapály asztal</t>
        </is>
      </c>
      <c r="B96" s="4" t="n">
        <v>18</v>
      </c>
      <c r="C96" s="4" t="inlineStr">
        <is>
          <t>növény tálca</t>
        </is>
      </c>
      <c r="D96" s="4" t="n"/>
      <c r="E96" s="5" t="n">
        <v>20</v>
      </c>
      <c r="F96" s="4" t="inlineStr">
        <is>
          <t>Szoros</t>
        </is>
      </c>
      <c r="G96" s="4" t="inlineStr">
        <is>
          <t>Igen</t>
        </is>
      </c>
      <c r="H96" s="4" t="inlineStr">
        <is>
          <t>Gyűjtőtálca termesztősátorba, árapály (ebb &amp; flow) rendszer</t>
        </is>
      </c>
      <c r="I96" s="4" t="inlineStr">
        <is>
          <t>Kategórialeírás (természetes említés)</t>
        </is>
      </c>
    </row>
    <row r="97">
      <c r="A97" s="4" t="inlineStr">
        <is>
          <t>Műanyag tálca, árapály asztal</t>
        </is>
      </c>
      <c r="B97" s="4" t="n">
        <v>19</v>
      </c>
      <c r="C97" s="4" t="inlineStr">
        <is>
          <t>vízgyűjtő tálca</t>
        </is>
      </c>
      <c r="D97" s="4" t="n"/>
      <c r="E97" s="5" t="n">
        <v>20</v>
      </c>
      <c r="F97" s="4" t="inlineStr">
        <is>
          <t>Szoros</t>
        </is>
      </c>
      <c r="G97" s="4" t="inlineStr">
        <is>
          <t>Igen</t>
        </is>
      </c>
      <c r="H97" s="4" t="inlineStr">
        <is>
          <t>Gyűjtőtálca termesztősátorba, árapály (ebb &amp; flow) rendszer</t>
        </is>
      </c>
      <c r="I97" s="4" t="inlineStr">
        <is>
          <t>Kategórialeírás (természetes említés)</t>
        </is>
      </c>
    </row>
    <row r="98">
      <c r="A98" s="7" t="inlineStr">
        <is>
          <t>Műanyag tálca, árapály asztal</t>
        </is>
      </c>
      <c r="B98" s="7" t="n">
        <v>20</v>
      </c>
      <c r="C98" s="7" t="inlineStr">
        <is>
          <t>csepegtető tálca műanyag</t>
        </is>
      </c>
      <c r="D98" s="7" t="n"/>
      <c r="E98" s="8" t="n">
        <v>20</v>
      </c>
      <c r="F98" s="7" t="inlineStr">
        <is>
          <t>Laza</t>
        </is>
      </c>
      <c r="G98" s="7" t="inlineStr">
        <is>
          <t>Igen</t>
        </is>
      </c>
      <c r="H98" s="7" t="inlineStr">
        <is>
          <t>Gyűjtőtálca termesztősátorba, árapály (ebb &amp; flow) rendszer</t>
        </is>
      </c>
      <c r="I98" s="7" t="inlineStr">
        <is>
          <t>Kategórialeírás (természetes említés)</t>
        </is>
      </c>
    </row>
    <row r="99">
      <c r="A99" s="4" t="inlineStr">
        <is>
          <t>Virágcserép</t>
        </is>
      </c>
      <c r="B99" s="4" t="n">
        <v>26</v>
      </c>
      <c r="C99" s="4" t="inlineStr">
        <is>
          <t>kerek virágcserép</t>
        </is>
      </c>
      <c r="D99" s="4" t="n"/>
      <c r="E99" s="5" t="n">
        <v>10</v>
      </c>
      <c r="F99" s="4" t="inlineStr">
        <is>
          <t>Szoros</t>
        </is>
      </c>
      <c r="G99" s="4" t="inlineStr">
        <is>
          <t>Igen</t>
        </is>
      </c>
      <c r="H99" s="4" t="inlineStr">
        <is>
          <t>Termesztő cserép – műanyag, kerek, literes méretek</t>
        </is>
      </c>
      <c r="I99" s="4" t="inlineStr">
        <is>
          <t>Kategórialeírás (természetes említés)</t>
        </is>
      </c>
    </row>
    <row r="100">
      <c r="A100" s="4" t="inlineStr">
        <is>
          <t>Virágcserép</t>
        </is>
      </c>
      <c r="B100" s="4" t="n">
        <v>27</v>
      </c>
      <c r="C100" s="4" t="inlineStr">
        <is>
          <t>virágcserép webáruház</t>
        </is>
      </c>
      <c r="D100" s="4" t="n"/>
      <c r="E100" s="5" t="n">
        <v>10</v>
      </c>
      <c r="F100" s="4" t="inlineStr">
        <is>
          <t>Szoros</t>
        </is>
      </c>
      <c r="G100" s="4" t="inlineStr">
        <is>
          <t>Igen</t>
        </is>
      </c>
      <c r="H100" s="4" t="inlineStr">
        <is>
          <t>Termesztő cserép – műanyag, kerek, literes méretek</t>
        </is>
      </c>
      <c r="I100" s="4" t="inlineStr">
        <is>
          <t>Kategórialeírás (természetes említés)</t>
        </is>
      </c>
    </row>
    <row r="101">
      <c r="A101" s="4" t="inlineStr">
        <is>
          <t>Virágcserép</t>
        </is>
      </c>
      <c r="B101" s="4" t="n">
        <v>28</v>
      </c>
      <c r="C101" s="4" t="inlineStr">
        <is>
          <t>konténer cserép</t>
        </is>
      </c>
      <c r="D101" s="4" t="n"/>
      <c r="E101" s="5" t="n">
        <v>10</v>
      </c>
      <c r="F101" s="4" t="inlineStr">
        <is>
          <t>Szoros</t>
        </is>
      </c>
      <c r="G101" s="4" t="inlineStr">
        <is>
          <t>Igen</t>
        </is>
      </c>
      <c r="H101" s="4" t="inlineStr">
        <is>
          <t>Termesztő cserép – műanyag, kerek, literes méretek</t>
        </is>
      </c>
      <c r="I101" s="4" t="inlineStr">
        <is>
          <t>Kategórialeírás (természetes említés)</t>
        </is>
      </c>
    </row>
    <row r="102">
      <c r="A102" s="4" t="inlineStr">
        <is>
          <t>Virágcserép</t>
        </is>
      </c>
      <c r="B102" s="4" t="n">
        <v>29</v>
      </c>
      <c r="C102" s="4" t="inlineStr">
        <is>
          <t>5 literes cserép</t>
        </is>
      </c>
      <c r="D102" s="4" t="n"/>
      <c r="E102" s="5" t="n">
        <v>10</v>
      </c>
      <c r="F102" s="4" t="inlineStr">
        <is>
          <t>Szoros</t>
        </is>
      </c>
      <c r="G102" s="4" t="inlineStr">
        <is>
          <t>Igen</t>
        </is>
      </c>
      <c r="H102" s="4" t="inlineStr">
        <is>
          <t>Termesztő cserép – műanyag, kerek, literes méretek</t>
        </is>
      </c>
      <c r="I102" s="4" t="inlineStr">
        <is>
          <t>Kategórialeírás (természetes említés)</t>
        </is>
      </c>
    </row>
    <row r="103">
      <c r="A103" s="4" t="inlineStr">
        <is>
          <t>Virágcserép</t>
        </is>
      </c>
      <c r="B103" s="4" t="n">
        <v>30</v>
      </c>
      <c r="C103" s="4" t="inlineStr">
        <is>
          <t>műanyag palántázó cserép</t>
        </is>
      </c>
      <c r="D103" s="4" t="n"/>
      <c r="E103" s="5" t="n">
        <v>10</v>
      </c>
      <c r="F103" s="4" t="inlineStr">
        <is>
          <t>Szoros</t>
        </is>
      </c>
      <c r="G103" s="4" t="inlineStr">
        <is>
          <t>Igen</t>
        </is>
      </c>
      <c r="H103" s="4" t="inlineStr">
        <is>
          <t>Termesztő cserép – műanyag, kerek, literes méretek</t>
        </is>
      </c>
      <c r="I103" s="4" t="inlineStr">
        <is>
          <t>Kategórialeírás (természetes említés)</t>
        </is>
      </c>
    </row>
    <row r="104">
      <c r="A104" s="4" t="inlineStr">
        <is>
          <t>Szögletes cserép</t>
        </is>
      </c>
      <c r="B104" s="4" t="n">
        <v>8</v>
      </c>
      <c r="C104" s="4" t="inlineStr">
        <is>
          <t>négyszögletes műanyag cserép</t>
        </is>
      </c>
      <c r="D104" s="4" t="n"/>
      <c r="E104" s="5" t="n">
        <v>10</v>
      </c>
      <c r="F104" s="4" t="inlineStr">
        <is>
          <t>Szoros</t>
        </is>
      </c>
      <c r="G104" s="4" t="inlineStr">
        <is>
          <t>Igen</t>
        </is>
      </c>
      <c r="H104" s="4" t="inlineStr">
        <is>
          <t>Helytakarékos termesztés sátorban / polcon</t>
        </is>
      </c>
      <c r="I104" s="4" t="inlineStr">
        <is>
          <t>Kategórialeírás (természetes említés)</t>
        </is>
      </c>
    </row>
    <row r="105">
      <c r="A105" s="4" t="inlineStr">
        <is>
          <t>Szögletes cserép</t>
        </is>
      </c>
      <c r="B105" s="4" t="n">
        <v>9</v>
      </c>
      <c r="C105" s="4" t="inlineStr">
        <is>
          <t>mély cserép</t>
        </is>
      </c>
      <c r="D105" s="4" t="n"/>
      <c r="E105" s="5" t="n">
        <v>10</v>
      </c>
      <c r="F105" s="4" t="inlineStr">
        <is>
          <t>Szoros</t>
        </is>
      </c>
      <c r="G105" s="4" t="inlineStr">
        <is>
          <t>Igen</t>
        </is>
      </c>
      <c r="H105" s="4" t="inlineStr">
        <is>
          <t>Helytakarékos termesztés sátorban / polcon</t>
        </is>
      </c>
      <c r="I105" s="4" t="inlineStr">
        <is>
          <t>Kategórialeírás (természetes említés)</t>
        </is>
      </c>
    </row>
    <row r="106">
      <c r="A106" s="4" t="inlineStr">
        <is>
          <t>Air-Pot cserép</t>
        </is>
      </c>
      <c r="B106" s="4" t="n">
        <v>3</v>
      </c>
      <c r="C106" s="4" t="inlineStr">
        <is>
          <t>air pot 50l</t>
        </is>
      </c>
      <c r="D106" s="4" t="n"/>
      <c r="E106" s="5" t="n">
        <v>10</v>
      </c>
      <c r="F106" s="4" t="inlineStr">
        <is>
          <t>Szoros</t>
        </is>
      </c>
      <c r="G106" s="4" t="inlineStr">
        <is>
          <t>Igen</t>
        </is>
      </c>
      <c r="H106" s="4" t="inlineStr">
        <is>
          <t>Gyökérlégzés, gyökérmetszés – termesztés konténerben</t>
        </is>
      </c>
      <c r="I106" s="4" t="inlineStr">
        <is>
          <t>Gyártóoldal / szűrő / termékoldal</t>
        </is>
      </c>
    </row>
    <row r="107">
      <c r="A107" s="4" t="inlineStr">
        <is>
          <t>Air-Pot cserép</t>
        </is>
      </c>
      <c r="B107" s="4" t="n">
        <v>4</v>
      </c>
      <c r="C107" s="4" t="inlineStr">
        <is>
          <t>air pot hydro</t>
        </is>
      </c>
      <c r="D107" s="4" t="n"/>
      <c r="E107" s="5" t="n">
        <v>10</v>
      </c>
      <c r="F107" s="4" t="inlineStr">
        <is>
          <t>Szoros</t>
        </is>
      </c>
      <c r="G107" s="4" t="inlineStr">
        <is>
          <t>Igen</t>
        </is>
      </c>
      <c r="H107" s="4" t="inlineStr">
        <is>
          <t>Gyökérlégzés, gyökérmetszés – termesztés konténerben</t>
        </is>
      </c>
      <c r="I107" s="4" t="inlineStr">
        <is>
          <t>Gyártóoldal / szűrő / termékoldal</t>
        </is>
      </c>
    </row>
    <row r="108">
      <c r="A108" s="4" t="inlineStr">
        <is>
          <t>Air-Pot cserép</t>
        </is>
      </c>
      <c r="B108" s="4" t="n">
        <v>5</v>
      </c>
      <c r="C108" s="4" t="inlineStr">
        <is>
          <t>air pot 9l</t>
        </is>
      </c>
      <c r="D108" s="4" t="n"/>
      <c r="E108" s="5" t="n">
        <v>10</v>
      </c>
      <c r="F108" s="4" t="inlineStr">
        <is>
          <t>Szoros</t>
        </is>
      </c>
      <c r="G108" s="4" t="inlineStr">
        <is>
          <t>Igen</t>
        </is>
      </c>
      <c r="H108" s="4" t="inlineStr">
        <is>
          <t>Gyökérlégzés, gyökérmetszés – termesztés konténerben</t>
        </is>
      </c>
      <c r="I108" s="4" t="inlineStr">
        <is>
          <t>Gyártóoldal / szűrő / termékoldal</t>
        </is>
      </c>
    </row>
    <row r="109">
      <c r="A109" s="4" t="inlineStr">
        <is>
          <t>Szövetcserép, ültetőzsák</t>
        </is>
      </c>
      <c r="B109" s="4" t="n">
        <v>11</v>
      </c>
      <c r="C109" s="4" t="inlineStr">
        <is>
          <t>szövetcserép</t>
        </is>
      </c>
      <c r="D109" s="4" t="n"/>
      <c r="E109" s="5" t="n">
        <v>10</v>
      </c>
      <c r="F109" s="4" t="inlineStr">
        <is>
          <t>Szoros</t>
        </is>
      </c>
      <c r="G109" s="4" t="inlineStr">
        <is>
          <t>Igen</t>
        </is>
      </c>
      <c r="H109" s="4" t="inlineStr">
        <is>
          <t>Szövet / textil / filc cserép, ültető- és termesztőzsák</t>
        </is>
      </c>
      <c r="I109" s="4" t="inlineStr">
        <is>
          <t>Kategórialeírás (természetes említés)</t>
        </is>
      </c>
    </row>
    <row r="110">
      <c r="A110" s="4" t="inlineStr">
        <is>
          <t>Szövetcserép, ültetőzsák</t>
        </is>
      </c>
      <c r="B110" s="4" t="n">
        <v>12</v>
      </c>
      <c r="C110" s="4" t="inlineStr">
        <is>
          <t>growbag</t>
        </is>
      </c>
      <c r="D110" s="4" t="n"/>
      <c r="E110" s="5" t="n">
        <v>10</v>
      </c>
      <c r="F110" s="4" t="inlineStr">
        <is>
          <t>Szoros</t>
        </is>
      </c>
      <c r="G110" s="4" t="inlineStr">
        <is>
          <t>Igen</t>
        </is>
      </c>
      <c r="H110" s="4" t="inlineStr">
        <is>
          <t>Szövet / textil / filc cserép, ültető- és termesztőzsák</t>
        </is>
      </c>
      <c r="I110" s="4" t="inlineStr">
        <is>
          <t>Kategórialeírás (természetes említés)</t>
        </is>
      </c>
    </row>
    <row r="111">
      <c r="A111" s="4" t="inlineStr">
        <is>
          <t>Szövetcserép, ültetőzsák</t>
        </is>
      </c>
      <c r="B111" s="4" t="n">
        <v>13</v>
      </c>
      <c r="C111" s="4" t="inlineStr">
        <is>
          <t>termesztőzsák</t>
        </is>
      </c>
      <c r="D111" s="4" t="n"/>
      <c r="E111" s="5" t="n">
        <v>10</v>
      </c>
      <c r="F111" s="4" t="inlineStr">
        <is>
          <t>Szoros</t>
        </is>
      </c>
      <c r="G111" s="4" t="inlineStr">
        <is>
          <t>Igen</t>
        </is>
      </c>
      <c r="H111" s="4" t="inlineStr">
        <is>
          <t>Szövet / textil / filc cserép, ültető- és termesztőzsák</t>
        </is>
      </c>
      <c r="I111" s="4" t="inlineStr">
        <is>
          <t>Kategórialeírás (természetes említés)</t>
        </is>
      </c>
    </row>
    <row r="112">
      <c r="A112" s="4" t="inlineStr">
        <is>
          <t>Szövetcserép, ültetőzsák</t>
        </is>
      </c>
      <c r="B112" s="4" t="n">
        <v>14</v>
      </c>
      <c r="C112" s="4" t="inlineStr">
        <is>
          <t>növénynevelő zsák</t>
        </is>
      </c>
      <c r="D112" s="4" t="n"/>
      <c r="E112" s="5" t="n">
        <v>10</v>
      </c>
      <c r="F112" s="4" t="inlineStr">
        <is>
          <t>Szoros</t>
        </is>
      </c>
      <c r="G112" s="4" t="inlineStr">
        <is>
          <t>Igen</t>
        </is>
      </c>
      <c r="H112" s="4" t="inlineStr">
        <is>
          <t>Szövet / textil / filc cserép, ültető- és termesztőzsák</t>
        </is>
      </c>
      <c r="I112" s="4" t="inlineStr">
        <is>
          <t>Kategórialeírás (természetes említés)</t>
        </is>
      </c>
    </row>
    <row r="113">
      <c r="A113" s="4" t="inlineStr">
        <is>
          <t>Szövetcserép, ültetőzsák</t>
        </is>
      </c>
      <c r="B113" s="4" t="n">
        <v>15</v>
      </c>
      <c r="C113" s="4" t="inlineStr">
        <is>
          <t>root pouch</t>
        </is>
      </c>
      <c r="D113" s="4" t="n"/>
      <c r="E113" s="5" t="n">
        <v>10</v>
      </c>
      <c r="F113" s="4" t="inlineStr">
        <is>
          <t>Szoros</t>
        </is>
      </c>
      <c r="G113" s="4" t="inlineStr">
        <is>
          <t>Igen</t>
        </is>
      </c>
      <c r="H113" s="4" t="inlineStr">
        <is>
          <t>Szövet / textil / filc cserép, ültető- és termesztőzsák</t>
        </is>
      </c>
      <c r="I113" s="4" t="inlineStr">
        <is>
          <t>Gyártóoldal / szűrő / termékoldal</t>
        </is>
      </c>
    </row>
    <row r="114">
      <c r="A114" s="4" t="inlineStr">
        <is>
          <t>Szövetcserép, ültetőzsák</t>
        </is>
      </c>
      <c r="B114" s="4" t="n">
        <v>16</v>
      </c>
      <c r="C114" s="4" t="inlineStr">
        <is>
          <t>smarpot</t>
        </is>
      </c>
      <c r="D114" s="4" t="n"/>
      <c r="E114" s="5" t="n">
        <v>10</v>
      </c>
      <c r="F114" s="4" t="inlineStr">
        <is>
          <t>Szoros</t>
        </is>
      </c>
      <c r="G114" s="4" t="inlineStr">
        <is>
          <t>Igen</t>
        </is>
      </c>
      <c r="H114" s="4" t="inlineStr">
        <is>
          <t>Szövet / textil / filc cserép, ültető- és termesztőzsák</t>
        </is>
      </c>
      <c r="I114" s="4" t="inlineStr">
        <is>
          <t>Kategórialeírás (természetes említés)</t>
        </is>
      </c>
    </row>
    <row r="115">
      <c r="A115" s="4" t="inlineStr">
        <is>
          <t>Cserépalátét</t>
        </is>
      </c>
      <c r="B115" s="4" t="n">
        <v>20</v>
      </c>
      <c r="C115" s="4" t="inlineStr">
        <is>
          <t>cserépalátét 70 cm</t>
        </is>
      </c>
      <c r="D115" s="4" t="n"/>
      <c r="E115" s="5" t="n">
        <v>10</v>
      </c>
      <c r="F115" s="4" t="inlineStr">
        <is>
          <t>Szoros</t>
        </is>
      </c>
      <c r="G115" s="4" t="inlineStr">
        <is>
          <t>Igen</t>
        </is>
      </c>
      <c r="H115" s="4" t="inlineStr">
        <is>
          <t>Cserép alá – vízfelfogás, gurulós alátét</t>
        </is>
      </c>
      <c r="I115" s="4" t="inlineStr">
        <is>
          <t>Kategórialeírás (természetes említés)</t>
        </is>
      </c>
    </row>
    <row r="116">
      <c r="A116" s="4" t="inlineStr">
        <is>
          <t>Cserépalátét</t>
        </is>
      </c>
      <c r="B116" s="4" t="n">
        <v>21</v>
      </c>
      <c r="C116" s="4" t="inlineStr">
        <is>
          <t>műanyag virágláda alátét</t>
        </is>
      </c>
      <c r="D116" s="4" t="n"/>
      <c r="E116" s="5" t="n">
        <v>10</v>
      </c>
      <c r="F116" s="4" t="inlineStr">
        <is>
          <t>Szoros</t>
        </is>
      </c>
      <c r="G116" s="4" t="inlineStr">
        <is>
          <t>Igen</t>
        </is>
      </c>
      <c r="H116" s="4" t="inlineStr">
        <is>
          <t>Cserép alá – vízfelfogás, gurulós alátét</t>
        </is>
      </c>
      <c r="I116" s="4" t="inlineStr">
        <is>
          <t>Kategórialeírás (természetes említés)</t>
        </is>
      </c>
    </row>
    <row r="117">
      <c r="A117" s="4" t="inlineStr">
        <is>
          <t>Cserépalátét</t>
        </is>
      </c>
      <c r="B117" s="4" t="n">
        <v>22</v>
      </c>
      <c r="C117" s="4" t="inlineStr">
        <is>
          <t>gurulós virágcserép alátét</t>
        </is>
      </c>
      <c r="D117" s="4" t="n"/>
      <c r="E117" s="5" t="n">
        <v>10</v>
      </c>
      <c r="F117" s="4" t="inlineStr">
        <is>
          <t>Szoros</t>
        </is>
      </c>
      <c r="G117" s="4" t="inlineStr">
        <is>
          <t>Igen</t>
        </is>
      </c>
      <c r="H117" s="4" t="inlineStr">
        <is>
          <t>Cserép alá – vízfelfogás, gurulós alátét</t>
        </is>
      </c>
      <c r="I117" s="4" t="inlineStr">
        <is>
          <t>Kategórialeírás (természetes említés)</t>
        </is>
      </c>
    </row>
    <row r="118">
      <c r="A118" s="4" t="inlineStr">
        <is>
          <t>Cserépalátét</t>
        </is>
      </c>
      <c r="B118" s="4" t="n">
        <v>23</v>
      </c>
      <c r="C118" s="4" t="inlineStr">
        <is>
          <t>virágcserép alátét méretek</t>
        </is>
      </c>
      <c r="D118" s="4" t="n"/>
      <c r="E118" s="5" t="n">
        <v>10</v>
      </c>
      <c r="F118" s="4" t="inlineStr">
        <is>
          <t>Szoros</t>
        </is>
      </c>
      <c r="G118" s="4" t="inlineStr">
        <is>
          <t>Igen</t>
        </is>
      </c>
      <c r="H118" s="4" t="inlineStr">
        <is>
          <t>Cserép alá – vízfelfogás, gurulós alátét</t>
        </is>
      </c>
      <c r="I118" s="4" t="inlineStr">
        <is>
          <t>Leírás alsó része, GYIK vagy blog</t>
        </is>
      </c>
    </row>
    <row r="119">
      <c r="A119" s="4" t="inlineStr">
        <is>
          <t>Műanyag tálca, árapály asztal</t>
        </is>
      </c>
      <c r="B119" s="4" t="n">
        <v>21</v>
      </c>
      <c r="C119" s="4" t="inlineStr">
        <is>
          <t>kerti tálca</t>
        </is>
      </c>
      <c r="D119" s="4" t="n"/>
      <c r="E119" s="5" t="n">
        <v>10</v>
      </c>
      <c r="F119" s="4" t="inlineStr">
        <is>
          <t>Szoros</t>
        </is>
      </c>
      <c r="G119" s="4" t="inlineStr">
        <is>
          <t>Igen</t>
        </is>
      </c>
      <c r="H119" s="4" t="inlineStr">
        <is>
          <t>Gyűjtőtálca termesztősátorba, árapály (ebb &amp; flow) rendszer</t>
        </is>
      </c>
      <c r="I119" s="4" t="inlineStr">
        <is>
          <t>Kategórialeírás (természetes említés)</t>
        </is>
      </c>
    </row>
  </sheetData>
  <autoFilter ref="A1:I1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Virágcserép  –  fő kulcsszó: „virágcserép”</t>
        </is>
      </c>
    </row>
    <row r="2">
      <c r="A2" s="2" t="inlineStr">
        <is>
          <t>Felhasználási terület: Termesztő cserép – műanyag, kerek, literes méretek</t>
        </is>
      </c>
    </row>
    <row r="3">
      <c r="A3" s="2" t="inlineStr">
        <is>
          <t>Megjegyzés: A literes keresések kicsik (20 literes 50, 10 literes 30, 50 literes 30, 30 literes 20, 15 literes 20) – a térfogat legyen szűrő, ne kategória. A „cserép” (2900) önmagában tetőcserép, a „műanyag vödör” (590) a Bővítés lapon van.</t>
        </is>
      </c>
    </row>
    <row r="4">
      <c r="A4" s="2" t="inlineStr">
        <is>
          <t>Felvett releváns kulcsszavak: 30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virágcserép</t>
        </is>
      </c>
      <c r="C7" s="5" t="n">
        <v>2400</v>
      </c>
      <c r="D7" s="4" t="inlineStr">
        <is>
          <t>Szoros</t>
        </is>
      </c>
      <c r="E7" s="4" t="inlineStr">
        <is>
          <t>Igen</t>
        </is>
      </c>
      <c r="F7" s="4" t="inlineStr">
        <is>
          <t>Termesztő cserép – műanyag, kerek, literes méretek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műanyag virágcserép</t>
        </is>
      </c>
      <c r="C8" s="5" t="n">
        <v>590</v>
      </c>
      <c r="D8" s="4" t="inlineStr">
        <is>
          <t>Szoros</t>
        </is>
      </c>
      <c r="E8" s="4" t="inlineStr">
        <is>
          <t>Igen</t>
        </is>
      </c>
      <c r="F8" s="4" t="inlineStr">
        <is>
          <t>Termesztő cserép – műanyag, kerek, literes méretek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műanyag virág cserép</t>
        </is>
      </c>
      <c r="C9" s="5" t="n">
        <v>590</v>
      </c>
      <c r="D9" s="4" t="inlineStr">
        <is>
          <t>Szoros</t>
        </is>
      </c>
      <c r="E9" s="4" t="inlineStr">
        <is>
          <t>Igen</t>
        </is>
      </c>
      <c r="F9" s="4" t="inlineStr">
        <is>
          <t>Termesztő cserép – műanyag, kerek, literes méretek</t>
        </is>
      </c>
      <c r="G9" s="4" t="inlineStr">
        <is>
          <t>Kategórialeírás (természetes említés)</t>
        </is>
      </c>
    </row>
    <row r="10">
      <c r="A10" s="4" t="n">
        <v>4</v>
      </c>
      <c r="B10" s="4" t="inlineStr">
        <is>
          <t>műanyag cserép</t>
        </is>
      </c>
      <c r="C10" s="5" t="n">
        <v>480</v>
      </c>
      <c r="D10" s="4" t="inlineStr">
        <is>
          <t>Szoros</t>
        </is>
      </c>
      <c r="E10" s="4" t="inlineStr">
        <is>
          <t>Igen</t>
        </is>
      </c>
      <c r="F10" s="4" t="inlineStr">
        <is>
          <t>Termesztő cserép – műanyag, kerek, literes méretek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műanyagcserép</t>
        </is>
      </c>
      <c r="C11" s="5" t="n">
        <v>480</v>
      </c>
      <c r="D11" s="4" t="inlineStr">
        <is>
          <t>Szoros</t>
        </is>
      </c>
      <c r="E11" s="4" t="inlineStr">
        <is>
          <t>Igen</t>
        </is>
      </c>
      <c r="F11" s="4" t="inlineStr">
        <is>
          <t>Termesztő cserép – műanyag, kerek, literes méretek</t>
        </is>
      </c>
      <c r="G11" s="4" t="inlineStr">
        <is>
          <t>Kategórialeírás (természetes említés)</t>
        </is>
      </c>
    </row>
    <row r="12">
      <c r="A12" s="12" t="n">
        <v>6</v>
      </c>
      <c r="B12" s="12" t="inlineStr">
        <is>
          <t>obi virágcserép</t>
        </is>
      </c>
      <c r="C12" s="22" t="n">
        <v>320</v>
      </c>
      <c r="D12" s="12" t="inlineStr">
        <is>
          <t>Nincs (áruházi / nem vásárlási szándék)</t>
        </is>
      </c>
      <c r="E12" s="12" t="inlineStr">
        <is>
          <t>Nem – kizárandó</t>
        </is>
      </c>
      <c r="F12" s="12" t="inlineStr">
        <is>
          <t>Termesztő cserép – műanyag, kerek, literes méretek</t>
        </is>
      </c>
      <c r="G12" s="12" t="inlineStr">
        <is>
          <t>Nem használni (áruházi/nem vásárlási szándék)</t>
        </is>
      </c>
    </row>
    <row r="13">
      <c r="A13" s="4" t="n">
        <v>7</v>
      </c>
      <c r="B13" s="4" t="inlineStr">
        <is>
          <t>virágcserép műanyag</t>
        </is>
      </c>
      <c r="C13" s="5" t="n">
        <v>260</v>
      </c>
      <c r="D13" s="4" t="inlineStr">
        <is>
          <t>Szoros</t>
        </is>
      </c>
      <c r="E13" s="4" t="inlineStr">
        <is>
          <t>Igen</t>
        </is>
      </c>
      <c r="F13" s="4" t="inlineStr">
        <is>
          <t>Termesztő cserép – műanyag, kerek, literes méretek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könnyű cserepek</t>
        </is>
      </c>
      <c r="C14" s="5" t="n">
        <v>140</v>
      </c>
      <c r="D14" s="4" t="inlineStr">
        <is>
          <t>Szoros</t>
        </is>
      </c>
      <c r="E14" s="4" t="inlineStr">
        <is>
          <t>Igen</t>
        </is>
      </c>
      <c r="F14" s="4" t="inlineStr">
        <is>
          <t>Termesztő cserép – műanyag, kerek, literes méretek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cserepek</t>
        </is>
      </c>
      <c r="C15" s="5" t="n">
        <v>140</v>
      </c>
      <c r="D15" s="4" t="inlineStr">
        <is>
          <t>Szoros</t>
        </is>
      </c>
      <c r="E15" s="4" t="inlineStr">
        <is>
          <t>Igen</t>
        </is>
      </c>
      <c r="F15" s="4" t="inlineStr">
        <is>
          <t>Termesztő cserép – műanyag, kerek, literes méretek</t>
        </is>
      </c>
      <c r="G15" s="4" t="inlineStr">
        <is>
          <t>Kategórialeírás (természetes említés)</t>
        </is>
      </c>
    </row>
    <row r="16">
      <c r="A16" s="12" t="n">
        <v>10</v>
      </c>
      <c r="B16" s="12" t="inlineStr">
        <is>
          <t>praktiker virágcserép</t>
        </is>
      </c>
      <c r="C16" s="22" t="n">
        <v>140</v>
      </c>
      <c r="D16" s="12" t="inlineStr">
        <is>
          <t>Nincs (áruházi / nem vásárlási szándék)</t>
        </is>
      </c>
      <c r="E16" s="12" t="inlineStr">
        <is>
          <t>Nem – kizárandó</t>
        </is>
      </c>
      <c r="F16" s="12" t="inlineStr">
        <is>
          <t>Termesztő cserép – műanyag, kerek, literes méretek</t>
        </is>
      </c>
      <c r="G16" s="12" t="inlineStr">
        <is>
          <t>Nem használni (áruházi/nem vásárlási szándék)</t>
        </is>
      </c>
    </row>
    <row r="17">
      <c r="A17" s="4" t="n">
        <v>11</v>
      </c>
      <c r="B17" s="4" t="inlineStr">
        <is>
          <t>olcsó műanyag virágcserép</t>
        </is>
      </c>
      <c r="C17" s="5" t="n">
        <v>110</v>
      </c>
      <c r="D17" s="4" t="inlineStr">
        <is>
          <t>Szoros</t>
        </is>
      </c>
      <c r="E17" s="4" t="inlineStr">
        <is>
          <t>Igen</t>
        </is>
      </c>
      <c r="F17" s="4" t="inlineStr">
        <is>
          <t>Termesztő cserép – műanyag, kerek, literes méretek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virágcserepek</t>
        </is>
      </c>
      <c r="C18" s="5" t="n">
        <v>110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Termesztő cserép – műanyag, kerek, literes méretek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műanyag cserép nagykereskedés</t>
        </is>
      </c>
      <c r="C19" s="5" t="n">
        <v>110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Termesztő cserép – műanyag, kerek, literes méretek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virágcserép méretek</t>
        </is>
      </c>
      <c r="C20" s="5" t="n">
        <v>110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Termesztő cserép – műanyag, kerek, literes méretek</t>
        </is>
      </c>
      <c r="G20" s="4" t="inlineStr">
        <is>
          <t>Leírás alsó része, GYIK vagy blog</t>
        </is>
      </c>
    </row>
    <row r="21">
      <c r="A21" s="4" t="n">
        <v>15</v>
      </c>
      <c r="B21" s="4" t="inlineStr">
        <is>
          <t>műanyag virágcserép 40 cm</t>
        </is>
      </c>
      <c r="C21" s="5" t="n">
        <v>70</v>
      </c>
      <c r="D21" s="4" t="inlineStr">
        <is>
          <t>Szoros</t>
        </is>
      </c>
      <c r="E21" s="4" t="inlineStr">
        <is>
          <t>Igen</t>
        </is>
      </c>
      <c r="F21" s="4" t="inlineStr">
        <is>
          <t>Termesztő cserép – műanyag, kerek, literes méretek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olcsó virágcserép</t>
        </is>
      </c>
      <c r="C22" s="5" t="n">
        <v>50</v>
      </c>
      <c r="D22" s="4" t="inlineStr">
        <is>
          <t>Szoros</t>
        </is>
      </c>
      <c r="E22" s="4" t="inlineStr">
        <is>
          <t>Igen</t>
        </is>
      </c>
      <c r="F22" s="4" t="inlineStr">
        <is>
          <t>Termesztő cserép – műanyag, kerek, literes méretek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20 literes cserép</t>
        </is>
      </c>
      <c r="C23" s="5" t="n">
        <v>50</v>
      </c>
      <c r="D23" s="4" t="inlineStr">
        <is>
          <t>Szoros</t>
        </is>
      </c>
      <c r="E23" s="4" t="inlineStr">
        <is>
          <t>Igen</t>
        </is>
      </c>
      <c r="F23" s="4" t="inlineStr">
        <is>
          <t>Termesztő cserép – műanyag, kerek, literes méretek</t>
        </is>
      </c>
      <c r="G23" s="4" t="inlineStr">
        <is>
          <t>Kategórialeírás (természetes említés)</t>
        </is>
      </c>
    </row>
    <row r="24">
      <c r="A24" s="7" t="n">
        <v>18</v>
      </c>
      <c r="B24" s="7" t="inlineStr">
        <is>
          <t>kerti cserép</t>
        </is>
      </c>
      <c r="C24" s="8" t="n">
        <v>40</v>
      </c>
      <c r="D24" s="7" t="inlineStr">
        <is>
          <t>Laza</t>
        </is>
      </c>
      <c r="E24" s="7" t="inlineStr">
        <is>
          <t>Igen</t>
        </is>
      </c>
      <c r="F24" s="7" t="inlineStr">
        <is>
          <t>Termesztő cserép – műanyag, kerek, literes méretek</t>
        </is>
      </c>
      <c r="G24" s="7" t="inlineStr">
        <is>
          <t>Kategórialeírás (természetes említés)</t>
        </is>
      </c>
    </row>
    <row r="25">
      <c r="A25" s="4" t="n">
        <v>19</v>
      </c>
      <c r="B25" s="4" t="inlineStr">
        <is>
          <t>10 literes cserép</t>
        </is>
      </c>
      <c r="C25" s="5" t="n">
        <v>30</v>
      </c>
      <c r="D25" s="4" t="inlineStr">
        <is>
          <t>Szoros</t>
        </is>
      </c>
      <c r="E25" s="4" t="inlineStr">
        <is>
          <t>Igen</t>
        </is>
      </c>
      <c r="F25" s="4" t="inlineStr">
        <is>
          <t>Termesztő cserép – műanyag, kerek, literes méretek</t>
        </is>
      </c>
      <c r="G25" s="4" t="inlineStr">
        <is>
          <t>Kategórialeírás (természetes említés)</t>
        </is>
      </c>
    </row>
    <row r="26">
      <c r="A26" s="4" t="n">
        <v>20</v>
      </c>
      <c r="B26" s="4" t="inlineStr">
        <is>
          <t>50 literes cserép</t>
        </is>
      </c>
      <c r="C26" s="5" t="n">
        <v>30</v>
      </c>
      <c r="D26" s="4" t="inlineStr">
        <is>
          <t>Szoros</t>
        </is>
      </c>
      <c r="E26" s="4" t="inlineStr">
        <is>
          <t>Igen</t>
        </is>
      </c>
      <c r="F26" s="4" t="inlineStr">
        <is>
          <t>Termesztő cserép – műanyag, kerek, literes méretek</t>
        </is>
      </c>
      <c r="G26" s="4" t="inlineStr">
        <is>
          <t>Kategórialeírás (természetes említés)</t>
        </is>
      </c>
    </row>
    <row r="27">
      <c r="A27" s="4" t="n">
        <v>21</v>
      </c>
      <c r="B27" s="4" t="inlineStr">
        <is>
          <t>virágcserép 30 cm</t>
        </is>
      </c>
      <c r="C27" s="5" t="n">
        <v>30</v>
      </c>
      <c r="D27" s="4" t="inlineStr">
        <is>
          <t>Szoros</t>
        </is>
      </c>
      <c r="E27" s="4" t="inlineStr">
        <is>
          <t>Igen</t>
        </is>
      </c>
      <c r="F27" s="4" t="inlineStr">
        <is>
          <t>Termesztő cserép – műanyag, kerek, literes méretek</t>
        </is>
      </c>
      <c r="G27" s="4" t="inlineStr">
        <is>
          <t>Kategórialeírás (természetes említés)</t>
        </is>
      </c>
    </row>
    <row r="28">
      <c r="A28" s="4" t="n">
        <v>22</v>
      </c>
      <c r="B28" s="4" t="inlineStr">
        <is>
          <t>30 literes cserép</t>
        </is>
      </c>
      <c r="C28" s="5" t="n">
        <v>20</v>
      </c>
      <c r="D28" s="4" t="inlineStr">
        <is>
          <t>Szoros</t>
        </is>
      </c>
      <c r="E28" s="4" t="inlineStr">
        <is>
          <t>Igen</t>
        </is>
      </c>
      <c r="F28" s="4" t="inlineStr">
        <is>
          <t>Termesztő cserép – műanyag, kerek, literes méretek</t>
        </is>
      </c>
      <c r="G28" s="4" t="inlineStr">
        <is>
          <t>Kategórialeírás (természetes említés)</t>
        </is>
      </c>
    </row>
    <row r="29">
      <c r="A29" s="4" t="n">
        <v>23</v>
      </c>
      <c r="B29" s="4" t="inlineStr">
        <is>
          <t>15 literes cserép</t>
        </is>
      </c>
      <c r="C29" s="5" t="n">
        <v>20</v>
      </c>
      <c r="D29" s="4" t="inlineStr">
        <is>
          <t>Szoros</t>
        </is>
      </c>
      <c r="E29" s="4" t="inlineStr">
        <is>
          <t>Igen</t>
        </is>
      </c>
      <c r="F29" s="4" t="inlineStr">
        <is>
          <t>Termesztő cserép – műanyag, kerek, literes méretek</t>
        </is>
      </c>
      <c r="G29" s="4" t="inlineStr">
        <is>
          <t>Kategórialeírás (természetes említés)</t>
        </is>
      </c>
    </row>
    <row r="30">
      <c r="A30" s="4" t="n">
        <v>24</v>
      </c>
      <c r="B30" s="4" t="inlineStr">
        <is>
          <t>műanyag virágcserepek</t>
        </is>
      </c>
      <c r="C30" s="5" t="n">
        <v>20</v>
      </c>
      <c r="D30" s="4" t="inlineStr">
        <is>
          <t>Szoros</t>
        </is>
      </c>
      <c r="E30" s="4" t="inlineStr">
        <is>
          <t>Igen</t>
        </is>
      </c>
      <c r="F30" s="4" t="inlineStr">
        <is>
          <t>Termesztő cserép – műanyag, kerek, literes méretek</t>
        </is>
      </c>
      <c r="G30" s="4" t="inlineStr">
        <is>
          <t>Kategórialeírás (természetes említés)</t>
        </is>
      </c>
    </row>
    <row r="31">
      <c r="A31" s="4" t="n">
        <v>25</v>
      </c>
      <c r="B31" s="4" t="inlineStr">
        <is>
          <t>virágcserép olcsón</t>
        </is>
      </c>
      <c r="C31" s="5" t="n">
        <v>20</v>
      </c>
      <c r="D31" s="4" t="inlineStr">
        <is>
          <t>Szoros</t>
        </is>
      </c>
      <c r="E31" s="4" t="inlineStr">
        <is>
          <t>Igen</t>
        </is>
      </c>
      <c r="F31" s="4" t="inlineStr">
        <is>
          <t>Termesztő cserép – műanyag, kerek, literes méretek</t>
        </is>
      </c>
      <c r="G31" s="4" t="inlineStr">
        <is>
          <t>Kategórialeírás (természetes említés)</t>
        </is>
      </c>
    </row>
    <row r="32">
      <c r="A32" s="4" t="n">
        <v>26</v>
      </c>
      <c r="B32" s="4" t="inlineStr">
        <is>
          <t>kerek virágcserép</t>
        </is>
      </c>
      <c r="C32" s="5" t="n">
        <v>10</v>
      </c>
      <c r="D32" s="4" t="inlineStr">
        <is>
          <t>Szoros</t>
        </is>
      </c>
      <c r="E32" s="4" t="inlineStr">
        <is>
          <t>Igen</t>
        </is>
      </c>
      <c r="F32" s="4" t="inlineStr">
        <is>
          <t>Termesztő cserép – műanyag, kerek, literes méretek</t>
        </is>
      </c>
      <c r="G32" s="4" t="inlineStr">
        <is>
          <t>Kategórialeírás (természetes említés)</t>
        </is>
      </c>
    </row>
    <row r="33">
      <c r="A33" s="4" t="n">
        <v>27</v>
      </c>
      <c r="B33" s="4" t="inlineStr">
        <is>
          <t>virágcserép webáruház</t>
        </is>
      </c>
      <c r="C33" s="5" t="n">
        <v>10</v>
      </c>
      <c r="D33" s="4" t="inlineStr">
        <is>
          <t>Szoros</t>
        </is>
      </c>
      <c r="E33" s="4" t="inlineStr">
        <is>
          <t>Igen</t>
        </is>
      </c>
      <c r="F33" s="4" t="inlineStr">
        <is>
          <t>Termesztő cserép – műanyag, kerek, literes méretek</t>
        </is>
      </c>
      <c r="G33" s="4" t="inlineStr">
        <is>
          <t>Kategórialeírás (természetes említés)</t>
        </is>
      </c>
    </row>
    <row r="34">
      <c r="A34" s="4" t="n">
        <v>28</v>
      </c>
      <c r="B34" s="4" t="inlineStr">
        <is>
          <t>konténer cserép</t>
        </is>
      </c>
      <c r="C34" s="5" t="n">
        <v>10</v>
      </c>
      <c r="D34" s="4" t="inlineStr">
        <is>
          <t>Szoros</t>
        </is>
      </c>
      <c r="E34" s="4" t="inlineStr">
        <is>
          <t>Igen</t>
        </is>
      </c>
      <c r="F34" s="4" t="inlineStr">
        <is>
          <t>Termesztő cserép – műanyag, kerek, literes méretek</t>
        </is>
      </c>
      <c r="G34" s="4" t="inlineStr">
        <is>
          <t>Kategórialeírás (természetes említés)</t>
        </is>
      </c>
    </row>
    <row r="35">
      <c r="A35" s="4" t="n">
        <v>29</v>
      </c>
      <c r="B35" s="4" t="inlineStr">
        <is>
          <t>5 literes cserép</t>
        </is>
      </c>
      <c r="C35" s="5" t="n">
        <v>10</v>
      </c>
      <c r="D35" s="4" t="inlineStr">
        <is>
          <t>Szoros</t>
        </is>
      </c>
      <c r="E35" s="4" t="inlineStr">
        <is>
          <t>Igen</t>
        </is>
      </c>
      <c r="F35" s="4" t="inlineStr">
        <is>
          <t>Termesztő cserép – műanyag, kerek, literes méretek</t>
        </is>
      </c>
      <c r="G35" s="4" t="inlineStr">
        <is>
          <t>Kategórialeírás (természetes említés)</t>
        </is>
      </c>
    </row>
    <row r="36">
      <c r="A36" s="4" t="n">
        <v>30</v>
      </c>
      <c r="B36" s="4" t="inlineStr">
        <is>
          <t>műanyag palántázó cserép</t>
        </is>
      </c>
      <c r="C36" s="5" t="n">
        <v>10</v>
      </c>
      <c r="D36" s="4" t="inlineStr">
        <is>
          <t>Szoros</t>
        </is>
      </c>
      <c r="E36" s="4" t="inlineStr">
        <is>
          <t>Igen</t>
        </is>
      </c>
      <c r="F36" s="4" t="inlineStr">
        <is>
          <t>Termesztő cserép – műanyag, kerek, literes méretek</t>
        </is>
      </c>
      <c r="G36" s="4" t="inlineStr">
        <is>
          <t>Kategórialeírás (természetes említés)</t>
        </is>
      </c>
    </row>
    <row r="37">
      <c r="B37" s="10" t="inlineStr">
        <is>
          <t>Összesen (érdemes rá oldal = Igen):</t>
        </is>
      </c>
      <c r="C37" s="23">
        <f>SUMIFS(C7:C36,E7:E36,"Igen")</f>
        <v/>
      </c>
    </row>
    <row r="39">
      <c r="A39" s="10" t="inlineStr">
        <is>
          <t>Termékek a jelenlegi kínálatból: 57 db (elsődleges + másodlagos hozzárendelés; egy termék több kategóriában is szerepelhet)</t>
        </is>
      </c>
    </row>
    <row r="40">
      <c r="A40" s="3" t="inlineStr">
        <is>
          <t>#</t>
        </is>
      </c>
      <c r="B40" s="3" t="inlineStr">
        <is>
          <t>Termékkód</t>
        </is>
      </c>
      <c r="C40" s="3" t="inlineStr">
        <is>
          <t>Terméknév</t>
        </is>
      </c>
      <c r="D40" s="3" t="inlineStr">
        <is>
          <t>Hozzárendelés</t>
        </is>
      </c>
      <c r="E40" s="3" t="inlineStr">
        <is>
          <t>Illeszkedés</t>
        </is>
      </c>
      <c r="F40" s="3" t="inlineStr">
        <is>
          <t>Megjegyzés</t>
        </is>
      </c>
    </row>
    <row r="41">
      <c r="A41" s="4" t="n">
        <v>1</v>
      </c>
      <c r="B41" s="4" t="inlineStr">
        <is>
          <t>GRO0067</t>
        </is>
      </c>
      <c r="C41" s="4" t="inlineStr">
        <is>
          <t>Szögletes műanyag cserép 6 liter, 17,5 x 17,5 x 25 cm, gyökércsavarodás gátló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Szögletes, gyökércsavarodás-gátló</t>
        </is>
      </c>
    </row>
    <row r="42">
      <c r="A42" s="4" t="n">
        <v>2</v>
      </c>
      <c r="B42" s="4" t="inlineStr">
        <is>
          <t>GRO0068</t>
        </is>
      </c>
      <c r="C42" s="4" t="inlineStr">
        <is>
          <t>Görög mintás négyzetes műanyag virágcserép 18 liter, 30,5 x 30,5 cm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Görög mintás négyzetes</t>
        </is>
      </c>
    </row>
    <row r="43">
      <c r="A43" s="4" t="n">
        <v>3</v>
      </c>
      <c r="B43" s="4" t="inlineStr">
        <is>
          <t>GRO0069</t>
        </is>
      </c>
      <c r="C43" s="4" t="inlineStr">
        <is>
          <t>Görög mintás négyzetes műanyag virágcserép 25 liter, 33,5 x 33,5 cm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Görög mintás négyzetes, 25–30 l</t>
        </is>
      </c>
    </row>
    <row r="44">
      <c r="A44" s="4" t="n">
        <v>4</v>
      </c>
      <c r="B44" s="4" t="inlineStr">
        <is>
          <t>GRO0070</t>
        </is>
      </c>
      <c r="C44" s="4" t="inlineStr">
        <is>
          <t>Görög mintás négyzetes műanyag virágcserép 30 liter, 36,5 x 36,5 cm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Görög mintás négyzetes, 25–30 l</t>
        </is>
      </c>
    </row>
    <row r="45">
      <c r="A45" s="4" t="n">
        <v>5</v>
      </c>
      <c r="B45" s="4" t="inlineStr">
        <is>
          <t>GRO0748</t>
        </is>
      </c>
      <c r="C45" s="4" t="inlineStr">
        <is>
          <t>Görög mintás négyzetes műanyag virágcserép 9 liter, 23 x 23 cm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Görög mintás négyzetes</t>
        </is>
      </c>
    </row>
    <row r="46">
      <c r="A46" s="4" t="n">
        <v>6</v>
      </c>
      <c r="B46" s="4" t="inlineStr">
        <is>
          <t>GRO1141</t>
        </is>
      </c>
      <c r="C46" s="4" t="inlineStr">
        <is>
          <t>Szögletes műanyag cserép 2,5 liter, 13 x 13 x 18 cm, gyökércsavarodás gátló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Szögletes, gyökércsavarodás-gátló</t>
        </is>
      </c>
    </row>
    <row r="47">
      <c r="A47" s="4" t="n">
        <v>7</v>
      </c>
      <c r="B47" s="4" t="inlineStr">
        <is>
          <t>GRO1143</t>
        </is>
      </c>
      <c r="C47" s="4" t="inlineStr">
        <is>
          <t>Görög mintás négyzetes műanyag virágcserép 14 liter, 28,5 x 28,5 cm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Görög mintás négyzetes</t>
        </is>
      </c>
    </row>
    <row r="48">
      <c r="A48" s="4" t="n">
        <v>8</v>
      </c>
      <c r="B48" s="4" t="inlineStr">
        <is>
          <t>GRO1160</t>
        </is>
      </c>
      <c r="C48" s="4" t="inlineStr">
        <is>
          <t>Szögletes műanyag cserép 1,4 liter, 10 x 10 x 17 cm, gyökércsavarodás gátló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Szögletes, gyökércsavarodás-gátló</t>
        </is>
      </c>
    </row>
    <row r="49">
      <c r="A49" s="4" t="n">
        <v>9</v>
      </c>
      <c r="B49" s="4" t="inlineStr">
        <is>
          <t>GRO1161</t>
        </is>
      </c>
      <c r="C49" s="4" t="inlineStr">
        <is>
          <t>Szögletes műanyag cserép 1,8 liter, 10,5 x 8,5 x 22 cm, gyökércsavarodás gátló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Szögletes, gyökércsavarodás-gátló</t>
        </is>
      </c>
    </row>
    <row r="50">
      <c r="A50" s="4" t="n">
        <v>10</v>
      </c>
      <c r="B50" s="4" t="inlineStr">
        <is>
          <t>GRO1189</t>
        </is>
      </c>
      <c r="C50" s="4" t="inlineStr">
        <is>
          <t>Görög mintás négyzetes műanyag virágcserép 11 liter, 25 x 25 cm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Görög mintás négyzetes</t>
        </is>
      </c>
    </row>
    <row r="51">
      <c r="A51" s="4" t="n">
        <v>11</v>
      </c>
      <c r="B51" s="4" t="inlineStr">
        <is>
          <t>GRO1259</t>
        </is>
      </c>
      <c r="C51" s="4" t="inlineStr">
        <is>
          <t>Szögletes műanyag cserép 1,5 liter, 12 x 12 x 13 cm, gyökércsavarodás gátló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Szögletes, gyökércsavarodás-gátló</t>
        </is>
      </c>
    </row>
    <row r="52">
      <c r="A52" s="4" t="n">
        <v>12</v>
      </c>
      <c r="B52" s="4" t="inlineStr">
        <is>
          <t>GRO1261</t>
        </is>
      </c>
      <c r="C52" s="4" t="inlineStr">
        <is>
          <t>Szögletes műanyag cserép 15 x 15 x 20 cm, gyökércsavarodás gátló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Szögletes, gyökércsavarodás-gátló</t>
        </is>
      </c>
    </row>
    <row r="53">
      <c r="A53" s="4" t="n">
        <v>13</v>
      </c>
      <c r="B53" s="4" t="inlineStr">
        <is>
          <t>GRO1806</t>
        </is>
      </c>
      <c r="C53" s="4" t="inlineStr">
        <is>
          <t>Lyukacsos kerek virágcserép 2 liter, 16 x 14 cm, spirálgyökér gátló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Lyukacsos kerek, spirálgyökér-gátló</t>
        </is>
      </c>
    </row>
    <row r="54">
      <c r="A54" s="4" t="n">
        <v>14</v>
      </c>
      <c r="B54" s="4" t="inlineStr">
        <is>
          <t>GRO1807</t>
        </is>
      </c>
      <c r="C54" s="4" t="inlineStr">
        <is>
          <t>Lyukacsos kerek virágcserép 19x17 cm 3 liter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Lyukacsos kerek, spirálgyökér-gátló</t>
        </is>
      </c>
    </row>
    <row r="55">
      <c r="A55" s="4" t="n">
        <v>15</v>
      </c>
      <c r="B55" s="4" t="inlineStr">
        <is>
          <t>GRO1808</t>
        </is>
      </c>
      <c r="C55" s="4" t="inlineStr">
        <is>
          <t>Lyukacsos kerek virágcserép 7,5 liter, 26 x 22 cm, spirálgyökér gátló</t>
        </is>
      </c>
      <c r="D55" s="4" t="inlineStr">
        <is>
          <t>Elsődleges</t>
        </is>
      </c>
      <c r="E55" s="4" t="inlineStr">
        <is>
          <t>Erős</t>
        </is>
      </c>
      <c r="F55" s="4" t="inlineStr">
        <is>
          <t>Lyukacsos kerek, spirálgyökér-gátló</t>
        </is>
      </c>
    </row>
    <row r="56">
      <c r="A56" s="4" t="n">
        <v>16</v>
      </c>
      <c r="B56" s="4" t="inlineStr">
        <is>
          <t>GRO1809</t>
        </is>
      </c>
      <c r="C56" s="4" t="inlineStr">
        <is>
          <t>Lyukacsos kerek virágcserép 9,5 liter, 28,5 x 24 cm, spirálgyökér gátló</t>
        </is>
      </c>
      <c r="D56" s="4" t="inlineStr">
        <is>
          <t>Elsődleges</t>
        </is>
      </c>
      <c r="E56" s="4" t="inlineStr">
        <is>
          <t>Erős</t>
        </is>
      </c>
      <c r="F56" s="4" t="inlineStr">
        <is>
          <t>Lyukacsos kerek, spirálgyökér-gátló</t>
        </is>
      </c>
    </row>
    <row r="57">
      <c r="A57" s="4" t="n">
        <v>17</v>
      </c>
      <c r="B57" s="4" t="inlineStr">
        <is>
          <t>GRO1810</t>
        </is>
      </c>
      <c r="C57" s="4" t="inlineStr">
        <is>
          <t>Lyukacsos kerek virágcserép 12 liter, 30,5 x 26,5 cm, spirálgyökér gátló</t>
        </is>
      </c>
      <c r="D57" s="4" t="inlineStr">
        <is>
          <t>Elsődleges</t>
        </is>
      </c>
      <c r="E57" s="4" t="inlineStr">
        <is>
          <t>Erős</t>
        </is>
      </c>
      <c r="F57" s="4" t="inlineStr">
        <is>
          <t>Lyukacsos kerek, spirálgyökér-gátló</t>
        </is>
      </c>
    </row>
    <row r="58">
      <c r="A58" s="4" t="n">
        <v>18</v>
      </c>
      <c r="B58" s="4" t="inlineStr">
        <is>
          <t>GRO2099</t>
        </is>
      </c>
      <c r="C58" s="4" t="inlineStr">
        <is>
          <t>Kerek műanyag virágcserép 3 liter, 16 x 16 cm, fekete, újrahasznosított PE</t>
        </is>
      </c>
      <c r="D58" s="4" t="inlineStr">
        <is>
          <t>Elsődleges</t>
        </is>
      </c>
      <c r="E58" s="4" t="inlineStr">
        <is>
          <t>Erős</t>
        </is>
      </c>
      <c r="F58" s="4" t="inlineStr">
        <is>
          <t>Kerek fekete műanyag cserép</t>
        </is>
      </c>
    </row>
    <row r="59">
      <c r="A59" s="4" t="n">
        <v>19</v>
      </c>
      <c r="B59" s="4" t="inlineStr">
        <is>
          <t>GRO2100</t>
        </is>
      </c>
      <c r="C59" s="4" t="inlineStr">
        <is>
          <t>Kerek műanyag virágcserép 5 liter, 20 x 20 cm, fekete, újrahasznosított PE</t>
        </is>
      </c>
      <c r="D59" s="4" t="inlineStr">
        <is>
          <t>Elsődleges</t>
        </is>
      </c>
      <c r="E59" s="4" t="inlineStr">
        <is>
          <t>Erős</t>
        </is>
      </c>
      <c r="F59" s="4" t="inlineStr">
        <is>
          <t>Kerek fekete műanyag cserép</t>
        </is>
      </c>
    </row>
    <row r="60">
      <c r="A60" s="4" t="n">
        <v>20</v>
      </c>
      <c r="B60" s="4" t="inlineStr">
        <is>
          <t>GRO2101</t>
        </is>
      </c>
      <c r="C60" s="4" t="inlineStr">
        <is>
          <t>Kerek műanyag virágcserép 7 liter, 22 x 22 cm, fekete, újrahasznosított PE</t>
        </is>
      </c>
      <c r="D60" s="4" t="inlineStr">
        <is>
          <t>Elsődleges</t>
        </is>
      </c>
      <c r="E60" s="4" t="inlineStr">
        <is>
          <t>Erős</t>
        </is>
      </c>
      <c r="F60" s="4" t="inlineStr">
        <is>
          <t>Kerek fekete műanyag cserép</t>
        </is>
      </c>
    </row>
    <row r="61">
      <c r="A61" s="4" t="n">
        <v>21</v>
      </c>
      <c r="B61" s="4" t="inlineStr">
        <is>
          <t>GRO2102</t>
        </is>
      </c>
      <c r="C61" s="4" t="inlineStr">
        <is>
          <t>Kerek műanyag virágcserép 9,5 liter, 24 x 24 cm, fekete, újrahasznosított PE</t>
        </is>
      </c>
      <c r="D61" s="4" t="inlineStr">
        <is>
          <t>Elsődleges</t>
        </is>
      </c>
      <c r="E61" s="4" t="inlineStr">
        <is>
          <t>Erős</t>
        </is>
      </c>
      <c r="F61" s="4" t="inlineStr">
        <is>
          <t>Kerek fekete műanyag cserép</t>
        </is>
      </c>
    </row>
    <row r="62">
      <c r="A62" s="4" t="n">
        <v>22</v>
      </c>
      <c r="B62" s="4" t="inlineStr">
        <is>
          <t>GRO2103</t>
        </is>
      </c>
      <c r="C62" s="4" t="inlineStr">
        <is>
          <t>Kerek műanyag virágcserép 12 liter, 26 x 26 cm, fekete, újrahasznosított PE</t>
        </is>
      </c>
      <c r="D62" s="4" t="inlineStr">
        <is>
          <t>Elsődleges</t>
        </is>
      </c>
      <c r="E62" s="4" t="inlineStr">
        <is>
          <t>Erős</t>
        </is>
      </c>
      <c r="F62" s="4" t="inlineStr">
        <is>
          <t>Kerek fekete műanyag cserép</t>
        </is>
      </c>
    </row>
    <row r="63">
      <c r="A63" s="4" t="n">
        <v>23</v>
      </c>
      <c r="B63" s="4" t="inlineStr">
        <is>
          <t>GRO2104</t>
        </is>
      </c>
      <c r="C63" s="4" t="inlineStr">
        <is>
          <t>Kerek műanyag virágcserép 15 liter, 28 x 28 cm, fekete, újrahasznosított PE</t>
        </is>
      </c>
      <c r="D63" s="4" t="inlineStr">
        <is>
          <t>Elsődleges</t>
        </is>
      </c>
      <c r="E63" s="4" t="inlineStr">
        <is>
          <t>Erős</t>
        </is>
      </c>
      <c r="F63" s="4" t="inlineStr">
        <is>
          <t>Kerek fekete műanyag cserép</t>
        </is>
      </c>
    </row>
    <row r="64">
      <c r="A64" s="4" t="n">
        <v>24</v>
      </c>
      <c r="B64" s="4" t="inlineStr">
        <is>
          <t>GRO2107</t>
        </is>
      </c>
      <c r="C64" s="4" t="inlineStr">
        <is>
          <t>Lyukacsos szögletes műanyag cserép 9,6 liter, 20 x 23 x 28 cm, hidropóniához is</t>
        </is>
      </c>
      <c r="D64" s="4" t="inlineStr">
        <is>
          <t>Elsődleges</t>
        </is>
      </c>
      <c r="E64" s="4" t="inlineStr">
        <is>
          <t>Erős</t>
        </is>
      </c>
      <c r="F64" s="4" t="inlineStr">
        <is>
          <t>Lyukacsos szögletes, hidropóniához is</t>
        </is>
      </c>
    </row>
    <row r="65">
      <c r="A65" s="4" t="n">
        <v>25</v>
      </c>
      <c r="B65" s="4" t="inlineStr">
        <is>
          <t>GRO2108</t>
        </is>
      </c>
      <c r="C65" s="4" t="inlineStr">
        <is>
          <t>Lyukacsos kerek virágcserép 5 liter, 23 x 20 cm, spirálgyökér gátló</t>
        </is>
      </c>
      <c r="D65" s="4" t="inlineStr">
        <is>
          <t>Elsődleges</t>
        </is>
      </c>
      <c r="E65" s="4" t="inlineStr">
        <is>
          <t>Erős</t>
        </is>
      </c>
      <c r="F65" s="4" t="inlineStr">
        <is>
          <t>Lyukacsos kerek, spirálgyökér-gátló</t>
        </is>
      </c>
    </row>
    <row r="66">
      <c r="A66" s="4" t="n">
        <v>26</v>
      </c>
      <c r="B66" s="4" t="inlineStr">
        <is>
          <t>GRO2109</t>
        </is>
      </c>
      <c r="C66" s="4" t="inlineStr">
        <is>
          <t>Lyukacsos kerek virágcserép 20 liter, 33 x 29 cm, spirálgyökér gátló</t>
        </is>
      </c>
      <c r="D66" s="4" t="inlineStr">
        <is>
          <t>Elsődleges</t>
        </is>
      </c>
      <c r="E66" s="4" t="inlineStr">
        <is>
          <t>Erős</t>
        </is>
      </c>
      <c r="F66" s="4" t="inlineStr">
        <is>
          <t>Lyukacsos kerek, 20–90 l</t>
        </is>
      </c>
    </row>
    <row r="67">
      <c r="A67" s="4" t="n">
        <v>27</v>
      </c>
      <c r="B67" s="4" t="inlineStr">
        <is>
          <t>GRO2110</t>
        </is>
      </c>
      <c r="C67" s="4" t="inlineStr">
        <is>
          <t>Lyukacsos kerek virágcserép 25 liter, 37,5 x 32 cm, spirálgyökér gátló</t>
        </is>
      </c>
      <c r="D67" s="4" t="inlineStr">
        <is>
          <t>Elsődleges</t>
        </is>
      </c>
      <c r="E67" s="4" t="inlineStr">
        <is>
          <t>Erős</t>
        </is>
      </c>
      <c r="F67" s="4" t="inlineStr">
        <is>
          <t>Lyukacsos kerek, 20–90 l</t>
        </is>
      </c>
    </row>
    <row r="68">
      <c r="A68" s="4" t="n">
        <v>28</v>
      </c>
      <c r="B68" s="4" t="inlineStr">
        <is>
          <t>GRO2111</t>
        </is>
      </c>
      <c r="C68" s="4" t="inlineStr">
        <is>
          <t>Lyukacsos kerek virágcserép 35 liter, 42 x 36 cm, spirálgyökér gátló</t>
        </is>
      </c>
      <c r="D68" s="4" t="inlineStr">
        <is>
          <t>Elsődleges</t>
        </is>
      </c>
      <c r="E68" s="4" t="inlineStr">
        <is>
          <t>Erős</t>
        </is>
      </c>
      <c r="F68" s="4" t="inlineStr">
        <is>
          <t>Lyukacsos kerek, 20–90 l</t>
        </is>
      </c>
    </row>
    <row r="69">
      <c r="A69" s="4" t="n">
        <v>29</v>
      </c>
      <c r="B69" s="4" t="inlineStr">
        <is>
          <t>GRO2356</t>
        </is>
      </c>
      <c r="C69" s="4" t="inlineStr">
        <is>
          <t>Görög mintás négyzetes műanyag virágcserép 6 liter, 21 x 19,2 cm</t>
        </is>
      </c>
      <c r="D69" s="4" t="inlineStr">
        <is>
          <t>Elsődleges</t>
        </is>
      </c>
      <c r="E69" s="4" t="inlineStr">
        <is>
          <t>Erős</t>
        </is>
      </c>
      <c r="F69" s="4" t="inlineStr">
        <is>
          <t>Görög mintás négyzetes</t>
        </is>
      </c>
    </row>
    <row r="70">
      <c r="A70" s="4" t="n">
        <v>30</v>
      </c>
      <c r="B70" s="4" t="inlineStr">
        <is>
          <t>GRO2359</t>
        </is>
      </c>
      <c r="C70" s="4" t="inlineStr">
        <is>
          <t>Görög mintás négyzetes műanyag virágcserép 2 liter, 14 x 14 cm</t>
        </is>
      </c>
      <c r="D70" s="4" t="inlineStr">
        <is>
          <t>Elsődleges</t>
        </is>
      </c>
      <c r="E70" s="4" t="inlineStr">
        <is>
          <t>Erős</t>
        </is>
      </c>
      <c r="F70" s="4" t="inlineStr">
        <is>
          <t>Görög mintás négyzetes</t>
        </is>
      </c>
    </row>
    <row r="71">
      <c r="A71" s="4" t="n">
        <v>31</v>
      </c>
      <c r="B71" s="4" t="inlineStr">
        <is>
          <t>GRO2360</t>
        </is>
      </c>
      <c r="C71" s="4" t="inlineStr">
        <is>
          <t>Szögletes műanyag cserép 11 liter, 23 x 23 x 26 cm, gyökércsavarodás gátló</t>
        </is>
      </c>
      <c r="D71" s="4" t="inlineStr">
        <is>
          <t>Elsődleges</t>
        </is>
      </c>
      <c r="E71" s="4" t="inlineStr">
        <is>
          <t>Erős</t>
        </is>
      </c>
      <c r="F71" s="4" t="inlineStr">
        <is>
          <t>Szögletes, gyökércsavarodás-gátló</t>
        </is>
      </c>
    </row>
    <row r="72">
      <c r="A72" s="4" t="n">
        <v>32</v>
      </c>
      <c r="B72" s="4" t="inlineStr">
        <is>
          <t>GRO2494</t>
        </is>
      </c>
      <c r="C72" s="4" t="inlineStr">
        <is>
          <t>Lyukacsos kerek virágcserép 50 liter, 50 x 39 cm, spirálgyökér gátló</t>
        </is>
      </c>
      <c r="D72" s="4" t="inlineStr">
        <is>
          <t>Elsődleges</t>
        </is>
      </c>
      <c r="E72" s="4" t="inlineStr">
        <is>
          <t>Erős</t>
        </is>
      </c>
      <c r="F72" s="4" t="inlineStr">
        <is>
          <t>Lyukacsos kerek, 20–90 l</t>
        </is>
      </c>
    </row>
    <row r="73">
      <c r="A73" s="4" t="n">
        <v>33</v>
      </c>
      <c r="B73" s="4" t="inlineStr">
        <is>
          <t>GRO2495</t>
        </is>
      </c>
      <c r="C73" s="4" t="inlineStr">
        <is>
          <t>Lyukacsos kerek virágcserép 70 liter, 55 x 45 cm, spirálgyökér gátló</t>
        </is>
      </c>
      <c r="D73" s="4" t="inlineStr">
        <is>
          <t>Elsődleges</t>
        </is>
      </c>
      <c r="E73" s="4" t="inlineStr">
        <is>
          <t>Erős</t>
        </is>
      </c>
      <c r="F73" s="4" t="inlineStr">
        <is>
          <t>Lyukacsos kerek, 20–90 l</t>
        </is>
      </c>
    </row>
    <row r="74">
      <c r="A74" s="4" t="n">
        <v>34</v>
      </c>
      <c r="B74" s="4" t="inlineStr">
        <is>
          <t>GRO2496</t>
        </is>
      </c>
      <c r="C74" s="4" t="inlineStr">
        <is>
          <t>Lyukacsos kerek virágcserép 90 liter, 60 x 46 cm, spirálgyökér gátló</t>
        </is>
      </c>
      <c r="D74" s="4" t="inlineStr">
        <is>
          <t>Elsődleges</t>
        </is>
      </c>
      <c r="E74" s="4" t="inlineStr">
        <is>
          <t>Erős</t>
        </is>
      </c>
      <c r="F74" s="4" t="inlineStr">
        <is>
          <t>Lyukacsos kerek, 20–90 l</t>
        </is>
      </c>
    </row>
    <row r="75">
      <c r="A75" s="4" t="n">
        <v>35</v>
      </c>
      <c r="B75" s="4" t="inlineStr">
        <is>
          <t>GRO2497</t>
        </is>
      </c>
      <c r="C75" s="4" t="inlineStr">
        <is>
          <t>Lyukacsos szögletes műanyag cserép 6,5 liter, 20 x 20 x 25,5 cm, hidropóniához is</t>
        </is>
      </c>
      <c r="D75" s="4" t="inlineStr">
        <is>
          <t>Elsődleges</t>
        </is>
      </c>
      <c r="E75" s="4" t="inlineStr">
        <is>
          <t>Erős</t>
        </is>
      </c>
      <c r="F75" s="4" t="inlineStr">
        <is>
          <t>Lyukacsos szögletes, hidropóniához is</t>
        </is>
      </c>
    </row>
    <row r="76">
      <c r="A76" s="4" t="n">
        <v>36</v>
      </c>
      <c r="B76" s="4" t="inlineStr">
        <is>
          <t>GRO2498</t>
        </is>
      </c>
      <c r="C76" s="4" t="inlineStr">
        <is>
          <t>Kerek műanyag virágcserép 18,5 liter, 30 x 30 cm, fekete, újrahasznosított PE</t>
        </is>
      </c>
      <c r="D76" s="4" t="inlineStr">
        <is>
          <t>Elsődleges</t>
        </is>
      </c>
      <c r="E76" s="4" t="inlineStr">
        <is>
          <t>Erős</t>
        </is>
      </c>
      <c r="F76" s="4" t="inlineStr">
        <is>
          <t>Kerek fekete műanyag cserép</t>
        </is>
      </c>
    </row>
    <row r="77">
      <c r="A77" s="4" t="n">
        <v>37</v>
      </c>
      <c r="B77" s="4" t="inlineStr">
        <is>
          <t>GRO2499</t>
        </is>
      </c>
      <c r="C77" s="4" t="inlineStr">
        <is>
          <t>Műanyag virágcserép (kerek) 33x33 cm 25 liter</t>
        </is>
      </c>
      <c r="D77" s="4" t="inlineStr">
        <is>
          <t>Elsődleges</t>
        </is>
      </c>
      <c r="E77" s="4" t="inlineStr">
        <is>
          <t>Erős</t>
        </is>
      </c>
      <c r="F77" s="4" t="inlineStr">
        <is>
          <t>Kerek fekete műanyag cserép, 25–30 l</t>
        </is>
      </c>
    </row>
    <row r="78">
      <c r="A78" s="4" t="n">
        <v>38</v>
      </c>
      <c r="B78" s="4" t="inlineStr">
        <is>
          <t>GRO2500</t>
        </is>
      </c>
      <c r="C78" s="4" t="inlineStr">
        <is>
          <t>Kerek műanyag virágcserép 30 liter, 35 x 37 cm, fekete, újrahasznosított PE</t>
        </is>
      </c>
      <c r="D78" s="4" t="inlineStr">
        <is>
          <t>Elsődleges</t>
        </is>
      </c>
      <c r="E78" s="4" t="inlineStr">
        <is>
          <t>Erős</t>
        </is>
      </c>
      <c r="F78" s="4" t="inlineStr">
        <is>
          <t>Kerek fekete műanyag cserép, 25–30 l</t>
        </is>
      </c>
    </row>
    <row r="79">
      <c r="A79" s="4" t="n">
        <v>39</v>
      </c>
      <c r="B79" s="4" t="inlineStr">
        <is>
          <t>GRO4240</t>
        </is>
      </c>
      <c r="C79" s="4" t="inlineStr">
        <is>
          <t>GF Cserép economic 10 L 10 db</t>
        </is>
      </c>
      <c r="D79" s="4" t="inlineStr">
        <is>
          <t>Elsődleges</t>
        </is>
      </c>
      <c r="E79" s="4" t="inlineStr">
        <is>
          <t>Erős</t>
        </is>
      </c>
      <c r="F79" s="4" t="inlineStr">
        <is>
          <t>Gyűjtőcsomag (10 db)</t>
        </is>
      </c>
    </row>
    <row r="80">
      <c r="A80" s="4" t="n">
        <v>40</v>
      </c>
      <c r="B80" s="4" t="inlineStr">
        <is>
          <t>GRO4241</t>
        </is>
      </c>
      <c r="C80" s="4" t="inlineStr">
        <is>
          <t>GF Cserép economic 15 L 10 db</t>
        </is>
      </c>
      <c r="D80" s="4" t="inlineStr">
        <is>
          <t>Elsődleges</t>
        </is>
      </c>
      <c r="E80" s="4" t="inlineStr">
        <is>
          <t>Erős</t>
        </is>
      </c>
      <c r="F80" s="4" t="inlineStr">
        <is>
          <t>Gyűjtőcsomag (10 db)</t>
        </is>
      </c>
    </row>
    <row r="81">
      <c r="A81" s="7" t="n">
        <v>41</v>
      </c>
      <c r="B81" s="7" t="inlineStr">
        <is>
          <t>GRO4613</t>
        </is>
      </c>
      <c r="C81" s="7" t="inlineStr">
        <is>
          <t>Garland magas falú cserép 37,5x23x12,5 cm</t>
        </is>
      </c>
      <c r="D81" s="7" t="inlineStr">
        <is>
          <t>Elsődleges</t>
        </is>
      </c>
      <c r="E81" s="7" t="inlineStr">
        <is>
          <t>Laza</t>
        </is>
      </c>
      <c r="F81" s="7" t="inlineStr">
        <is>
          <t>Garland magas falú (tálcaszerű) cserép</t>
        </is>
      </c>
    </row>
    <row r="82">
      <c r="A82" s="4" t="n">
        <v>42</v>
      </c>
      <c r="B82" s="4" t="inlineStr">
        <is>
          <t>GRO2501</t>
        </is>
      </c>
      <c r="C82" s="4" t="inlineStr">
        <is>
          <t>Lyukacsos konténer műanyag cserép 43 liter</t>
        </is>
      </c>
      <c r="D82" s="4" t="inlineStr">
        <is>
          <t>Másodlagos</t>
        </is>
      </c>
      <c r="E82" s="4" t="inlineStr">
        <is>
          <t>Erős</t>
        </is>
      </c>
      <c r="F82" s="4" t="inlineStr">
        <is>
          <t>Konténer, 43–155 l</t>
        </is>
      </c>
    </row>
    <row r="83">
      <c r="A83" s="4" t="n">
        <v>43</v>
      </c>
      <c r="B83" s="4" t="inlineStr">
        <is>
          <t>GRO2502</t>
        </is>
      </c>
      <c r="C83" s="4" t="inlineStr">
        <is>
          <t>Lyukacsos konténer műanyag cserép 50 liter</t>
        </is>
      </c>
      <c r="D83" s="4" t="inlineStr">
        <is>
          <t>Másodlagos</t>
        </is>
      </c>
      <c r="E83" s="4" t="inlineStr">
        <is>
          <t>Erős</t>
        </is>
      </c>
      <c r="F83" s="4" t="inlineStr">
        <is>
          <t>Konténer, 43–155 l</t>
        </is>
      </c>
    </row>
    <row r="84">
      <c r="A84" s="4" t="n">
        <v>44</v>
      </c>
      <c r="B84" s="4" t="inlineStr">
        <is>
          <t>GRO2503</t>
        </is>
      </c>
      <c r="C84" s="4" t="inlineStr">
        <is>
          <t>Lyukacsos konténer műanyag cserép 60 liter</t>
        </is>
      </c>
      <c r="D84" s="4" t="inlineStr">
        <is>
          <t>Másodlagos</t>
        </is>
      </c>
      <c r="E84" s="4" t="inlineStr">
        <is>
          <t>Erős</t>
        </is>
      </c>
      <c r="F84" s="4" t="inlineStr">
        <is>
          <t>Konténer, 43–155 l</t>
        </is>
      </c>
    </row>
    <row r="85">
      <c r="A85" s="4" t="n">
        <v>45</v>
      </c>
      <c r="B85" s="4" t="inlineStr">
        <is>
          <t>GRO2504</t>
        </is>
      </c>
      <c r="C85" s="4" t="inlineStr">
        <is>
          <t>Lyukacsos konténer műanyag cserép 70 liter</t>
        </is>
      </c>
      <c r="D85" s="4" t="inlineStr">
        <is>
          <t>Másodlagos</t>
        </is>
      </c>
      <c r="E85" s="4" t="inlineStr">
        <is>
          <t>Erős</t>
        </is>
      </c>
      <c r="F85" s="4" t="inlineStr">
        <is>
          <t>Konténer, 43–155 l</t>
        </is>
      </c>
    </row>
    <row r="86">
      <c r="A86" s="4" t="n">
        <v>46</v>
      </c>
      <c r="B86" s="4" t="inlineStr">
        <is>
          <t>GRO2505</t>
        </is>
      </c>
      <c r="C86" s="4" t="inlineStr">
        <is>
          <t>Lyukacsos konténer műanyag cserép 80 liter, 60 x 43 cm, fogantyúval</t>
        </is>
      </c>
      <c r="D86" s="4" t="inlineStr">
        <is>
          <t>Másodlagos</t>
        </is>
      </c>
      <c r="E86" s="4" t="inlineStr">
        <is>
          <t>Erős</t>
        </is>
      </c>
      <c r="F86" s="4" t="inlineStr">
        <is>
          <t>Konténer, 43–155 l</t>
        </is>
      </c>
    </row>
    <row r="87">
      <c r="A87" s="4" t="n">
        <v>47</v>
      </c>
      <c r="B87" s="4" t="inlineStr">
        <is>
          <t>GRO2506</t>
        </is>
      </c>
      <c r="C87" s="4" t="inlineStr">
        <is>
          <t>Lyukacsos konténer műanyag cserép 100 liter, 60 x 51 cm, fogantyúval</t>
        </is>
      </c>
      <c r="D87" s="4" t="inlineStr">
        <is>
          <t>Másodlagos</t>
        </is>
      </c>
      <c r="E87" s="4" t="inlineStr">
        <is>
          <t>Erős</t>
        </is>
      </c>
      <c r="F87" s="4" t="inlineStr">
        <is>
          <t>Konténer, 43–155 l</t>
        </is>
      </c>
    </row>
    <row r="88">
      <c r="A88" s="7" t="n">
        <v>48</v>
      </c>
      <c r="B88" s="7" t="inlineStr">
        <is>
          <t>GRO4621</t>
        </is>
      </c>
      <c r="C88" s="7" t="inlineStr">
        <is>
          <t>Vékonyfalú kerek cserép 8,5 cm</t>
        </is>
      </c>
      <c r="D88" s="7" t="inlineStr">
        <is>
          <t>Másodlagos</t>
        </is>
      </c>
      <c r="E88" s="7" t="inlineStr">
        <is>
          <t>Laza</t>
        </is>
      </c>
      <c r="F88" s="7" t="inlineStr">
        <is>
          <t>Vékonyfalú kerek kiscserép</t>
        </is>
      </c>
    </row>
    <row r="89">
      <c r="A89" s="7" t="n">
        <v>49</v>
      </c>
      <c r="B89" s="7" t="inlineStr">
        <is>
          <t>GRO4622</t>
        </is>
      </c>
      <c r="C89" s="7" t="inlineStr">
        <is>
          <t>Vékonyfalú kerek cserép 12 cm</t>
        </is>
      </c>
      <c r="D89" s="7" t="inlineStr">
        <is>
          <t>Másodlagos</t>
        </is>
      </c>
      <c r="E89" s="7" t="inlineStr">
        <is>
          <t>Laza</t>
        </is>
      </c>
      <c r="F89" s="7" t="inlineStr">
        <is>
          <t>Vékonyfalú kerek kiscserép</t>
        </is>
      </c>
    </row>
    <row r="90">
      <c r="A90" s="4" t="n">
        <v>50</v>
      </c>
      <c r="B90" s="4" t="inlineStr">
        <is>
          <t>GRO4644</t>
        </is>
      </c>
      <c r="C90" s="4" t="inlineStr">
        <is>
          <t>Kerek műanyag konténer fogantyúval, 43 L (45x34 cm)</t>
        </is>
      </c>
      <c r="D90" s="4" t="inlineStr">
        <is>
          <t>Másodlagos</t>
        </is>
      </c>
      <c r="E90" s="4" t="inlineStr">
        <is>
          <t>Erős</t>
        </is>
      </c>
      <c r="F90" s="4" t="inlineStr">
        <is>
          <t>Konténer, 43–155 l</t>
        </is>
      </c>
    </row>
    <row r="91">
      <c r="A91" s="4" t="n">
        <v>51</v>
      </c>
      <c r="B91" s="4" t="inlineStr">
        <is>
          <t>GRO4645</t>
        </is>
      </c>
      <c r="C91" s="4" t="inlineStr">
        <is>
          <t>Kerek műanyag konténer fogantyúval, 50 L (45x41 cm)</t>
        </is>
      </c>
      <c r="D91" s="4" t="inlineStr">
        <is>
          <t>Másodlagos</t>
        </is>
      </c>
      <c r="E91" s="4" t="inlineStr">
        <is>
          <t>Erős</t>
        </is>
      </c>
      <c r="F91" s="4" t="inlineStr">
        <is>
          <t>Konténer, 43–155 l</t>
        </is>
      </c>
    </row>
    <row r="92">
      <c r="A92" s="4" t="n">
        <v>52</v>
      </c>
      <c r="B92" s="4" t="inlineStr">
        <is>
          <t>GRO4646</t>
        </is>
      </c>
      <c r="C92" s="4" t="inlineStr">
        <is>
          <t>Kerek műanyag konténer fogantyúval, 60 L (50x38 cm)</t>
        </is>
      </c>
      <c r="D92" s="4" t="inlineStr">
        <is>
          <t>Másodlagos</t>
        </is>
      </c>
      <c r="E92" s="4" t="inlineStr">
        <is>
          <t>Erős</t>
        </is>
      </c>
      <c r="F92" s="4" t="inlineStr">
        <is>
          <t>Konténer, 43–155 l</t>
        </is>
      </c>
    </row>
    <row r="93">
      <c r="A93" s="4" t="n">
        <v>53</v>
      </c>
      <c r="B93" s="4" t="inlineStr">
        <is>
          <t>GRO4647</t>
        </is>
      </c>
      <c r="C93" s="4" t="inlineStr">
        <is>
          <t>Kerek műanyag konténer fogantyúval, 70 L (50x44 cm)</t>
        </is>
      </c>
      <c r="D93" s="4" t="inlineStr">
        <is>
          <t>Másodlagos</t>
        </is>
      </c>
      <c r="E93" s="4" t="inlineStr">
        <is>
          <t>Erős</t>
        </is>
      </c>
      <c r="F93" s="4" t="inlineStr">
        <is>
          <t>Konténer, 43–155 l</t>
        </is>
      </c>
    </row>
    <row r="94">
      <c r="A94" s="4" t="n">
        <v>54</v>
      </c>
      <c r="B94" s="4" t="inlineStr">
        <is>
          <t>GRO4648</t>
        </is>
      </c>
      <c r="C94" s="4" t="inlineStr">
        <is>
          <t>Kerek műanyag konténer fogantyúval, 80 L (55x43 cm)</t>
        </is>
      </c>
      <c r="D94" s="4" t="inlineStr">
        <is>
          <t>Másodlagos</t>
        </is>
      </c>
      <c r="E94" s="4" t="inlineStr">
        <is>
          <t>Erős</t>
        </is>
      </c>
      <c r="F94" s="4" t="inlineStr">
        <is>
          <t>Konténer, 43–155 l</t>
        </is>
      </c>
    </row>
    <row r="95">
      <c r="A95" s="4" t="n">
        <v>55</v>
      </c>
      <c r="B95" s="4" t="inlineStr">
        <is>
          <t>GRO4649</t>
        </is>
      </c>
      <c r="C95" s="4" t="inlineStr">
        <is>
          <t>Kerek műanyag konténer fogantyúval 100 L (55x51 cm)</t>
        </is>
      </c>
      <c r="D95" s="4" t="inlineStr">
        <is>
          <t>Másodlagos</t>
        </is>
      </c>
      <c r="E95" s="4" t="inlineStr">
        <is>
          <t>Erős</t>
        </is>
      </c>
      <c r="F95" s="4" t="inlineStr">
        <is>
          <t>Konténer, 43–155 l</t>
        </is>
      </c>
    </row>
    <row r="96">
      <c r="A96" s="4" t="n">
        <v>56</v>
      </c>
      <c r="B96" s="4" t="inlineStr">
        <is>
          <t>GRO4652</t>
        </is>
      </c>
      <c r="C96" s="4" t="inlineStr">
        <is>
          <t>Kerek műanyag konténer fogantyúval, 130 L (65x51 cm)</t>
        </is>
      </c>
      <c r="D96" s="4" t="inlineStr">
        <is>
          <t>Másodlagos</t>
        </is>
      </c>
      <c r="E96" s="4" t="inlineStr">
        <is>
          <t>Erős</t>
        </is>
      </c>
      <c r="F96" s="4" t="inlineStr">
        <is>
          <t>Konténer, 43–155 l</t>
        </is>
      </c>
    </row>
    <row r="97">
      <c r="A97" s="4" t="n">
        <v>57</v>
      </c>
      <c r="B97" s="4" t="inlineStr">
        <is>
          <t>GRO4653</t>
        </is>
      </c>
      <c r="C97" s="4" t="inlineStr">
        <is>
          <t>Kerek műanyag konténer fogantyúval, 155 L (70x51 cm)</t>
        </is>
      </c>
      <c r="D97" s="4" t="inlineStr">
        <is>
          <t>Másodlagos</t>
        </is>
      </c>
      <c r="E97" s="4" t="inlineStr">
        <is>
          <t>Erős</t>
        </is>
      </c>
      <c r="F97" s="4" t="inlineStr">
        <is>
          <t>Konténer, 43–155 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Nagy virágcserép  –  fő kulcsszó: „nagy virágcserép”</t>
        </is>
      </c>
    </row>
    <row r="2">
      <c r="A2" s="2" t="inlineStr">
        <is>
          <t>Felhasználási terület: Nagy térfogatú cserép – 20–100 literes termesztés, kültér</t>
        </is>
      </c>
    </row>
    <row r="3">
      <c r="A3" s="2" t="inlineStr">
        <is>
          <t>Megjegyzés: Erős klaszter (nagy virágcserép 480, nagyméretű műanyag virágcserép 320, virágcserép nagy 260). A „műanyag virágcserép 100 cm” (390) / „60 cm” (320) főleg dekor balkon- és teraszcserép.</t>
        </is>
      </c>
    </row>
    <row r="4">
      <c r="A4" s="2" t="inlineStr">
        <is>
          <t>Felvett releváns kulcsszavak: 14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nagy virágcserép</t>
        </is>
      </c>
      <c r="C7" s="5" t="n">
        <v>480</v>
      </c>
      <c r="D7" s="4" t="inlineStr">
        <is>
          <t>Szoros</t>
        </is>
      </c>
      <c r="E7" s="4" t="inlineStr">
        <is>
          <t>Igen</t>
        </is>
      </c>
      <c r="F7" s="4" t="inlineStr">
        <is>
          <t>Nagy térfogatú cserép – 20–100 literes termesztés, kültér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műanyag virágcserép 100 cm</t>
        </is>
      </c>
      <c r="C8" s="21" t="n">
        <v>390</v>
      </c>
      <c r="D8" s="11" t="inlineStr">
        <is>
          <t>Laza</t>
        </is>
      </c>
      <c r="E8" s="11" t="inlineStr">
        <is>
          <t>Nem</t>
        </is>
      </c>
      <c r="F8" s="11" t="inlineStr">
        <is>
          <t>Nagy térfogatú cserép – 20–100 literes termesztés, kültér</t>
        </is>
      </c>
      <c r="G8" s="11" t="inlineStr">
        <is>
          <t>Nem célozni külön oldallal (max. említés)</t>
        </is>
      </c>
    </row>
    <row r="9">
      <c r="A9" s="4" t="n">
        <v>3</v>
      </c>
      <c r="B9" s="4" t="inlineStr">
        <is>
          <t>nagyméretű műanyag virágcserép</t>
        </is>
      </c>
      <c r="C9" s="5" t="n">
        <v>320</v>
      </c>
      <c r="D9" s="4" t="inlineStr">
        <is>
          <t>Szoros</t>
        </is>
      </c>
      <c r="E9" s="4" t="inlineStr">
        <is>
          <t>Igen</t>
        </is>
      </c>
      <c r="F9" s="4" t="inlineStr">
        <is>
          <t>Nagy térfogatú cserép – 20–100 literes termesztés, kültér</t>
        </is>
      </c>
      <c r="G9" s="4" t="inlineStr">
        <is>
          <t>SEO title / H1 / bevezető (másodlagos)</t>
        </is>
      </c>
    </row>
    <row r="10">
      <c r="A10" s="11" t="n">
        <v>4</v>
      </c>
      <c r="B10" s="11" t="inlineStr">
        <is>
          <t>műanyag virágcserép 60 cm</t>
        </is>
      </c>
      <c r="C10" s="21" t="n">
        <v>320</v>
      </c>
      <c r="D10" s="11" t="inlineStr">
        <is>
          <t>Laza</t>
        </is>
      </c>
      <c r="E10" s="11" t="inlineStr">
        <is>
          <t>Nem</t>
        </is>
      </c>
      <c r="F10" s="11" t="inlineStr">
        <is>
          <t>Nagy térfogatú cserép – 20–100 literes termesztés, kültér</t>
        </is>
      </c>
      <c r="G10" s="11" t="inlineStr">
        <is>
          <t>Nem célozni külön oldallal (max. említés)</t>
        </is>
      </c>
    </row>
    <row r="11">
      <c r="A11" s="4" t="n">
        <v>5</v>
      </c>
      <c r="B11" s="4" t="inlineStr">
        <is>
          <t>virágcserép nagy</t>
        </is>
      </c>
      <c r="C11" s="5" t="n">
        <v>260</v>
      </c>
      <c r="D11" s="4" t="inlineStr">
        <is>
          <t>Szoros</t>
        </is>
      </c>
      <c r="E11" s="4" t="inlineStr">
        <is>
          <t>Igen</t>
        </is>
      </c>
      <c r="F11" s="4" t="inlineStr">
        <is>
          <t>Nagy térfogatú cserép – 20–100 literes termesztés, kültér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nagy cserép</t>
        </is>
      </c>
      <c r="C12" s="5" t="n">
        <v>140</v>
      </c>
      <c r="D12" s="4" t="inlineStr">
        <is>
          <t>Szoros</t>
        </is>
      </c>
      <c r="E12" s="4" t="inlineStr">
        <is>
          <t>Igen</t>
        </is>
      </c>
      <c r="F12" s="4" t="inlineStr">
        <is>
          <t>Nagy térfogatú cserép – 20–100 literes termesztés, kültér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nagy méretű virágcserép</t>
        </is>
      </c>
      <c r="C13" s="5" t="n">
        <v>90</v>
      </c>
      <c r="D13" s="4" t="inlineStr">
        <is>
          <t>Szoros</t>
        </is>
      </c>
      <c r="E13" s="4" t="inlineStr">
        <is>
          <t>Igen</t>
        </is>
      </c>
      <c r="F13" s="4" t="inlineStr">
        <is>
          <t>Nagy térfogatú cserép – 20–100 literes termesztés, kültér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nagyméretű cserép</t>
        </is>
      </c>
      <c r="C14" s="5" t="n">
        <v>70</v>
      </c>
      <c r="D14" s="4" t="inlineStr">
        <is>
          <t>Szoros</t>
        </is>
      </c>
      <c r="E14" s="4" t="inlineStr">
        <is>
          <t>Igen</t>
        </is>
      </c>
      <c r="F14" s="4" t="inlineStr">
        <is>
          <t>Nagy térfogatú cserép – 20–100 literes termesztés, kültér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nagy virágcserép olcsón</t>
        </is>
      </c>
      <c r="C15" s="5" t="n">
        <v>70</v>
      </c>
      <c r="D15" s="4" t="inlineStr">
        <is>
          <t>Szoros</t>
        </is>
      </c>
      <c r="E15" s="4" t="inlineStr">
        <is>
          <t>Igen</t>
        </is>
      </c>
      <c r="F15" s="4" t="inlineStr">
        <is>
          <t>Nagy térfogatú cserép – 20–100 literes termesztés, kültér</t>
        </is>
      </c>
      <c r="G15" s="4" t="inlineStr">
        <is>
          <t>Kategórialeírás (természetes említés)</t>
        </is>
      </c>
    </row>
    <row r="16">
      <c r="A16" s="4" t="n">
        <v>10</v>
      </c>
      <c r="B16" s="4" t="inlineStr">
        <is>
          <t>nagy műanyag cserép</t>
        </is>
      </c>
      <c r="C16" s="5" t="n">
        <v>50</v>
      </c>
      <c r="D16" s="4" t="inlineStr">
        <is>
          <t>Szoros</t>
        </is>
      </c>
      <c r="E16" s="4" t="inlineStr">
        <is>
          <t>Igen</t>
        </is>
      </c>
      <c r="F16" s="4" t="inlineStr">
        <is>
          <t>Nagy térfogatú cserép – 20–100 literes termesztés, kültér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nagy műanyag virágcserép</t>
        </is>
      </c>
      <c r="C17" s="5" t="n">
        <v>40</v>
      </c>
      <c r="D17" s="4" t="inlineStr">
        <is>
          <t>Szoros</t>
        </is>
      </c>
      <c r="E17" s="4" t="inlineStr">
        <is>
          <t>Igen</t>
        </is>
      </c>
      <c r="F17" s="4" t="inlineStr">
        <is>
          <t>Nagy térfogatú cserép – 20–100 literes termesztés, kültér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nagyméretű műanyag cserép</t>
        </is>
      </c>
      <c r="C18" s="5" t="n">
        <v>40</v>
      </c>
      <c r="D18" s="4" t="inlineStr">
        <is>
          <t>Szoros</t>
        </is>
      </c>
      <c r="E18" s="4" t="inlineStr">
        <is>
          <t>Igen</t>
        </is>
      </c>
      <c r="F18" s="4" t="inlineStr">
        <is>
          <t>Nagy térfogatú cserép – 20–100 literes termesztés, kültér</t>
        </is>
      </c>
      <c r="G18" s="4" t="inlineStr">
        <is>
          <t>Kategórialeírás (természetes említés)</t>
        </is>
      </c>
    </row>
    <row r="19">
      <c r="A19" s="7" t="n">
        <v>13</v>
      </c>
      <c r="B19" s="7" t="inlineStr">
        <is>
          <t>xxl cserép</t>
        </is>
      </c>
      <c r="C19" s="8" t="n">
        <v>40</v>
      </c>
      <c r="D19" s="7" t="inlineStr">
        <is>
          <t>Laza</t>
        </is>
      </c>
      <c r="E19" s="7" t="inlineStr">
        <is>
          <t>Igen</t>
        </is>
      </c>
      <c r="F19" s="7" t="inlineStr">
        <is>
          <t>Nagy térfogatú cserép – 20–100 literes termesztés, kültér</t>
        </is>
      </c>
      <c r="G19" s="7" t="inlineStr">
        <is>
          <t>Kategórialeírás (természetes említés)</t>
        </is>
      </c>
    </row>
    <row r="20">
      <c r="A20" s="4" t="n">
        <v>14</v>
      </c>
      <c r="B20" s="4" t="inlineStr">
        <is>
          <t>50 literes virágcserép</t>
        </is>
      </c>
      <c r="C20" s="5" t="n">
        <v>20</v>
      </c>
      <c r="D20" s="4" t="inlineStr">
        <is>
          <t>Szoros</t>
        </is>
      </c>
      <c r="E20" s="4" t="inlineStr">
        <is>
          <t>Igen</t>
        </is>
      </c>
      <c r="F20" s="4" t="inlineStr">
        <is>
          <t>Nagy térfogatú cserép – 20–100 literes termesztés, kültér</t>
        </is>
      </c>
      <c r="G20" s="4" t="inlineStr">
        <is>
          <t>Kategórialeírás (természetes említés)</t>
        </is>
      </c>
    </row>
    <row r="21">
      <c r="B21" s="10" t="inlineStr">
        <is>
          <t>Összesen (érdemes rá oldal = Igen):</t>
        </is>
      </c>
      <c r="C21" s="23">
        <f>SUMIFS(C7:C20,E7:E20,"Igen")</f>
        <v/>
      </c>
    </row>
    <row r="23">
      <c r="A23" s="10" t="inlineStr">
        <is>
          <t>Termékek a jelenlegi kínálatból: 25 db (elsődleges + másodlagos hozzárendelés; egy termék több kategóriában is szerepelhet)</t>
        </is>
      </c>
    </row>
    <row r="24">
      <c r="A24" s="3" t="inlineStr">
        <is>
          <t>#</t>
        </is>
      </c>
      <c r="B24" s="3" t="inlineStr">
        <is>
          <t>Termékkód</t>
        </is>
      </c>
      <c r="C24" s="3" t="inlineStr">
        <is>
          <t>Terméknév</t>
        </is>
      </c>
      <c r="D24" s="3" t="inlineStr">
        <is>
          <t>Hozzárendelés</t>
        </is>
      </c>
      <c r="E24" s="3" t="inlineStr">
        <is>
          <t>Illeszkedés</t>
        </is>
      </c>
      <c r="F24" s="3" t="inlineStr">
        <is>
          <t>Megjegyzés</t>
        </is>
      </c>
    </row>
    <row r="25">
      <c r="A25" s="4" t="n">
        <v>1</v>
      </c>
      <c r="B25" s="4" t="inlineStr">
        <is>
          <t>GRO2501</t>
        </is>
      </c>
      <c r="C25" s="4" t="inlineStr">
        <is>
          <t>Lyukacsos konténer műanyag cserép 43 liter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Konténer, 43–155 l</t>
        </is>
      </c>
    </row>
    <row r="26">
      <c r="A26" s="4" t="n">
        <v>2</v>
      </c>
      <c r="B26" s="4" t="inlineStr">
        <is>
          <t>GRO2502</t>
        </is>
      </c>
      <c r="C26" s="4" t="inlineStr">
        <is>
          <t>Lyukacsos konténer műanyag cserép 50 liter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Konténer, 43–155 l</t>
        </is>
      </c>
    </row>
    <row r="27">
      <c r="A27" s="4" t="n">
        <v>3</v>
      </c>
      <c r="B27" s="4" t="inlineStr">
        <is>
          <t>GRO2503</t>
        </is>
      </c>
      <c r="C27" s="4" t="inlineStr">
        <is>
          <t>Lyukacsos konténer műanyag cserép 60 liter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Konténer, 43–155 l</t>
        </is>
      </c>
    </row>
    <row r="28">
      <c r="A28" s="4" t="n">
        <v>4</v>
      </c>
      <c r="B28" s="4" t="inlineStr">
        <is>
          <t>GRO2504</t>
        </is>
      </c>
      <c r="C28" s="4" t="inlineStr">
        <is>
          <t>Lyukacsos konténer műanyag cserép 70 liter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Konténer, 43–155 l</t>
        </is>
      </c>
    </row>
    <row r="29">
      <c r="A29" s="4" t="n">
        <v>5</v>
      </c>
      <c r="B29" s="4" t="inlineStr">
        <is>
          <t>GRO2505</t>
        </is>
      </c>
      <c r="C29" s="4" t="inlineStr">
        <is>
          <t>Lyukacsos konténer műanyag cserép 80 liter, 60 x 43 cm, fogantyúval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Konténer, 43–155 l</t>
        </is>
      </c>
    </row>
    <row r="30">
      <c r="A30" s="4" t="n">
        <v>6</v>
      </c>
      <c r="B30" s="4" t="inlineStr">
        <is>
          <t>GRO2506</t>
        </is>
      </c>
      <c r="C30" s="4" t="inlineStr">
        <is>
          <t>Lyukacsos konténer műanyag cserép 100 liter, 60 x 51 cm, fogantyúval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Konténer, 43–155 l</t>
        </is>
      </c>
    </row>
    <row r="31">
      <c r="A31" s="4" t="n">
        <v>7</v>
      </c>
      <c r="B31" s="4" t="inlineStr">
        <is>
          <t>GRO4644</t>
        </is>
      </c>
      <c r="C31" s="4" t="inlineStr">
        <is>
          <t>Kerek műanyag konténer fogantyúval, 43 L (45x34 cm)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Konténer, 43–155 l</t>
        </is>
      </c>
    </row>
    <row r="32">
      <c r="A32" s="4" t="n">
        <v>8</v>
      </c>
      <c r="B32" s="4" t="inlineStr">
        <is>
          <t>GRO4645</t>
        </is>
      </c>
      <c r="C32" s="4" t="inlineStr">
        <is>
          <t>Kerek műanyag konténer fogantyúval, 50 L (45x41 cm)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Konténer, 43–155 l</t>
        </is>
      </c>
    </row>
    <row r="33">
      <c r="A33" s="4" t="n">
        <v>9</v>
      </c>
      <c r="B33" s="4" t="inlineStr">
        <is>
          <t>GRO4646</t>
        </is>
      </c>
      <c r="C33" s="4" t="inlineStr">
        <is>
          <t>Kerek műanyag konténer fogantyúval, 60 L (50x38 cm)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Konténer, 43–155 l</t>
        </is>
      </c>
    </row>
    <row r="34">
      <c r="A34" s="4" t="n">
        <v>10</v>
      </c>
      <c r="B34" s="4" t="inlineStr">
        <is>
          <t>GRO4647</t>
        </is>
      </c>
      <c r="C34" s="4" t="inlineStr">
        <is>
          <t>Kerek műanyag konténer fogantyúval, 70 L (50x44 cm)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Konténer, 43–155 l</t>
        </is>
      </c>
    </row>
    <row r="35">
      <c r="A35" s="4" t="n">
        <v>11</v>
      </c>
      <c r="B35" s="4" t="inlineStr">
        <is>
          <t>GRO4648</t>
        </is>
      </c>
      <c r="C35" s="4" t="inlineStr">
        <is>
          <t>Kerek műanyag konténer fogantyúval, 80 L (55x43 cm)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Konténer, 43–155 l</t>
        </is>
      </c>
    </row>
    <row r="36">
      <c r="A36" s="4" t="n">
        <v>12</v>
      </c>
      <c r="B36" s="4" t="inlineStr">
        <is>
          <t>GRO4649</t>
        </is>
      </c>
      <c r="C36" s="4" t="inlineStr">
        <is>
          <t>Kerek műanyag konténer fogantyúval 100 L (55x51 cm)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Konténer, 43–155 l</t>
        </is>
      </c>
    </row>
    <row r="37">
      <c r="A37" s="4" t="n">
        <v>13</v>
      </c>
      <c r="B37" s="4" t="inlineStr">
        <is>
          <t>GRO4652</t>
        </is>
      </c>
      <c r="C37" s="4" t="inlineStr">
        <is>
          <t>Kerek műanyag konténer fogantyúval, 130 L (65x51 cm)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Konténer, 43–155 l</t>
        </is>
      </c>
    </row>
    <row r="38">
      <c r="A38" s="4" t="n">
        <v>14</v>
      </c>
      <c r="B38" s="4" t="inlineStr">
        <is>
          <t>GRO4653</t>
        </is>
      </c>
      <c r="C38" s="4" t="inlineStr">
        <is>
          <t>Kerek műanyag konténer fogantyúval, 155 L (70x51 cm)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Konténer, 43–155 l</t>
        </is>
      </c>
    </row>
    <row r="39">
      <c r="A39" s="4" t="n">
        <v>15</v>
      </c>
      <c r="B39" s="4" t="inlineStr">
        <is>
          <t>GRO0069</t>
        </is>
      </c>
      <c r="C39" s="4" t="inlineStr">
        <is>
          <t>Görög mintás négyzetes műanyag virágcserép 25 liter, 33,5 x 33,5 cm</t>
        </is>
      </c>
      <c r="D39" s="4" t="inlineStr">
        <is>
          <t>Másodlagos</t>
        </is>
      </c>
      <c r="E39" s="4" t="inlineStr">
        <is>
          <t>Erős</t>
        </is>
      </c>
      <c r="F39" s="4" t="inlineStr">
        <is>
          <t>Görög mintás négyzetes, 25–30 l</t>
        </is>
      </c>
    </row>
    <row r="40">
      <c r="A40" s="4" t="n">
        <v>16</v>
      </c>
      <c r="B40" s="4" t="inlineStr">
        <is>
          <t>GRO0070</t>
        </is>
      </c>
      <c r="C40" s="4" t="inlineStr">
        <is>
          <t>Görög mintás négyzetes műanyag virágcserép 30 liter, 36,5 x 36,5 cm</t>
        </is>
      </c>
      <c r="D40" s="4" t="inlineStr">
        <is>
          <t>Másodlagos</t>
        </is>
      </c>
      <c r="E40" s="4" t="inlineStr">
        <is>
          <t>Erős</t>
        </is>
      </c>
      <c r="F40" s="4" t="inlineStr">
        <is>
          <t>Görög mintás négyzetes, 25–30 l</t>
        </is>
      </c>
    </row>
    <row r="41">
      <c r="A41" s="4" t="n">
        <v>17</v>
      </c>
      <c r="B41" s="4" t="inlineStr">
        <is>
          <t>GRO2109</t>
        </is>
      </c>
      <c r="C41" s="4" t="inlineStr">
        <is>
          <t>Lyukacsos kerek virágcserép 20 liter, 33 x 29 cm, spirálgyökér gátló</t>
        </is>
      </c>
      <c r="D41" s="4" t="inlineStr">
        <is>
          <t>Másodlagos</t>
        </is>
      </c>
      <c r="E41" s="4" t="inlineStr">
        <is>
          <t>Erős</t>
        </is>
      </c>
      <c r="F41" s="4" t="inlineStr">
        <is>
          <t>Lyukacsos kerek, 20–90 l</t>
        </is>
      </c>
    </row>
    <row r="42">
      <c r="A42" s="4" t="n">
        <v>18</v>
      </c>
      <c r="B42" s="4" t="inlineStr">
        <is>
          <t>GRO2110</t>
        </is>
      </c>
      <c r="C42" s="4" t="inlineStr">
        <is>
          <t>Lyukacsos kerek virágcserép 25 liter, 37,5 x 32 cm, spirálgyökér gátló</t>
        </is>
      </c>
      <c r="D42" s="4" t="inlineStr">
        <is>
          <t>Másodlagos</t>
        </is>
      </c>
      <c r="E42" s="4" t="inlineStr">
        <is>
          <t>Erős</t>
        </is>
      </c>
      <c r="F42" s="4" t="inlineStr">
        <is>
          <t>Lyukacsos kerek, 20–90 l</t>
        </is>
      </c>
    </row>
    <row r="43">
      <c r="A43" s="4" t="n">
        <v>19</v>
      </c>
      <c r="B43" s="4" t="inlineStr">
        <is>
          <t>GRO2111</t>
        </is>
      </c>
      <c r="C43" s="4" t="inlineStr">
        <is>
          <t>Lyukacsos kerek virágcserép 35 liter, 42 x 36 cm, spirálgyökér gátló</t>
        </is>
      </c>
      <c r="D43" s="4" t="inlineStr">
        <is>
          <t>Másodlagos</t>
        </is>
      </c>
      <c r="E43" s="4" t="inlineStr">
        <is>
          <t>Erős</t>
        </is>
      </c>
      <c r="F43" s="4" t="inlineStr">
        <is>
          <t>Lyukacsos kerek, 20–90 l</t>
        </is>
      </c>
    </row>
    <row r="44">
      <c r="A44" s="4" t="n">
        <v>20</v>
      </c>
      <c r="B44" s="4" t="inlineStr">
        <is>
          <t>GRO2494</t>
        </is>
      </c>
      <c r="C44" s="4" t="inlineStr">
        <is>
          <t>Lyukacsos kerek virágcserép 50 liter, 50 x 39 cm, spirálgyökér gátló</t>
        </is>
      </c>
      <c r="D44" s="4" t="inlineStr">
        <is>
          <t>Másodlagos</t>
        </is>
      </c>
      <c r="E44" s="4" t="inlineStr">
        <is>
          <t>Erős</t>
        </is>
      </c>
      <c r="F44" s="4" t="inlineStr">
        <is>
          <t>Lyukacsos kerek, 20–90 l</t>
        </is>
      </c>
    </row>
    <row r="45">
      <c r="A45" s="4" t="n">
        <v>21</v>
      </c>
      <c r="B45" s="4" t="inlineStr">
        <is>
          <t>GRO2495</t>
        </is>
      </c>
      <c r="C45" s="4" t="inlineStr">
        <is>
          <t>Lyukacsos kerek virágcserép 70 liter, 55 x 45 cm, spirálgyökér gátló</t>
        </is>
      </c>
      <c r="D45" s="4" t="inlineStr">
        <is>
          <t>Másodlagos</t>
        </is>
      </c>
      <c r="E45" s="4" t="inlineStr">
        <is>
          <t>Erős</t>
        </is>
      </c>
      <c r="F45" s="4" t="inlineStr">
        <is>
          <t>Lyukacsos kerek, 20–90 l</t>
        </is>
      </c>
    </row>
    <row r="46">
      <c r="A46" s="4" t="n">
        <v>22</v>
      </c>
      <c r="B46" s="4" t="inlineStr">
        <is>
          <t>GRO2496</t>
        </is>
      </c>
      <c r="C46" s="4" t="inlineStr">
        <is>
          <t>Lyukacsos kerek virágcserép 90 liter, 60 x 46 cm, spirálgyökér gátló</t>
        </is>
      </c>
      <c r="D46" s="4" t="inlineStr">
        <is>
          <t>Másodlagos</t>
        </is>
      </c>
      <c r="E46" s="4" t="inlineStr">
        <is>
          <t>Erős</t>
        </is>
      </c>
      <c r="F46" s="4" t="inlineStr">
        <is>
          <t>Lyukacsos kerek, 20–90 l</t>
        </is>
      </c>
    </row>
    <row r="47">
      <c r="A47" s="4" t="n">
        <v>23</v>
      </c>
      <c r="B47" s="4" t="inlineStr">
        <is>
          <t>GRO2499</t>
        </is>
      </c>
      <c r="C47" s="4" t="inlineStr">
        <is>
          <t>Műanyag virágcserép (kerek) 33x33 cm 25 liter</t>
        </is>
      </c>
      <c r="D47" s="4" t="inlineStr">
        <is>
          <t>Másodlagos</t>
        </is>
      </c>
      <c r="E47" s="4" t="inlineStr">
        <is>
          <t>Erős</t>
        </is>
      </c>
      <c r="F47" s="4" t="inlineStr">
        <is>
          <t>Kerek fekete műanyag cserép, 25–30 l</t>
        </is>
      </c>
    </row>
    <row r="48">
      <c r="A48" s="4" t="n">
        <v>24</v>
      </c>
      <c r="B48" s="4" t="inlineStr">
        <is>
          <t>GRO2500</t>
        </is>
      </c>
      <c r="C48" s="4" t="inlineStr">
        <is>
          <t>Kerek műanyag virágcserép 30 liter, 35 x 37 cm, fekete, újrahasznosított PE</t>
        </is>
      </c>
      <c r="D48" s="4" t="inlineStr">
        <is>
          <t>Másodlagos</t>
        </is>
      </c>
      <c r="E48" s="4" t="inlineStr">
        <is>
          <t>Erős</t>
        </is>
      </c>
      <c r="F48" s="4" t="inlineStr">
        <is>
          <t>Kerek fekete műanyag cserép, 25–30 l</t>
        </is>
      </c>
    </row>
    <row r="49">
      <c r="A49" s="4" t="n">
        <v>25</v>
      </c>
      <c r="B49" s="4" t="inlineStr">
        <is>
          <t>GRO2571</t>
        </is>
      </c>
      <c r="C49" s="4" t="inlineStr">
        <is>
          <t>Air-Pot klón 50 literes perforált, légáteresztő műanyag edény erős gyökérzethez</t>
        </is>
      </c>
      <c r="D49" s="4" t="inlineStr">
        <is>
          <t>Másodlagos</t>
        </is>
      </c>
      <c r="E49" s="4" t="inlineStr">
        <is>
          <t>Erős</t>
        </is>
      </c>
      <c r="F49" s="4" t="inlineStr">
        <is>
          <t>Air-Pot klón 50 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Szögletes cserép  –  fő kulcsszó: „szögletes virágcserép”</t>
        </is>
      </c>
    </row>
    <row r="2">
      <c r="A2" s="2" t="inlineStr">
        <is>
          <t>Felhasználási terület: Helytakarékos termesztés sátorban / polcon</t>
        </is>
      </c>
    </row>
    <row r="3">
      <c r="A3" s="2" t="inlineStr">
        <is>
          <t>Megjegyzés: A „négyzetes cserép” kifejezésre nincs mérhető keresés – a „szögletes” a vásárlói szó.</t>
        </is>
      </c>
    </row>
    <row r="4">
      <c r="A4" s="2" t="inlineStr">
        <is>
          <t>Felvett releváns kulcsszavak: 9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szögletes virágcserép</t>
        </is>
      </c>
      <c r="C7" s="5" t="n">
        <v>90</v>
      </c>
      <c r="D7" s="4" t="inlineStr">
        <is>
          <t>Szoros</t>
        </is>
      </c>
      <c r="E7" s="4" t="inlineStr">
        <is>
          <t>Igen</t>
        </is>
      </c>
      <c r="F7" s="4" t="inlineStr">
        <is>
          <t>Helytakarékos termesztés sátorban / polcon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magas cserép</t>
        </is>
      </c>
      <c r="C8" s="5" t="n">
        <v>70</v>
      </c>
      <c r="D8" s="4" t="inlineStr">
        <is>
          <t>Szoros</t>
        </is>
      </c>
      <c r="E8" s="4" t="inlineStr">
        <is>
          <t>Igen</t>
        </is>
      </c>
      <c r="F8" s="4" t="inlineStr">
        <is>
          <t>Helytakarékos termesztés sátorban / polcon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szögletes cserép</t>
        </is>
      </c>
      <c r="C9" s="5" t="n">
        <v>40</v>
      </c>
      <c r="D9" s="4" t="inlineStr">
        <is>
          <t>Szoros</t>
        </is>
      </c>
      <c r="E9" s="4" t="inlineStr">
        <is>
          <t>Igen</t>
        </is>
      </c>
      <c r="F9" s="4" t="inlineStr">
        <is>
          <t>Helytakarékos termesztés sátorban / polcon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szögletes műanyag cserép</t>
        </is>
      </c>
      <c r="C10" s="5" t="n">
        <v>30</v>
      </c>
      <c r="D10" s="4" t="inlineStr">
        <is>
          <t>Szoros</t>
        </is>
      </c>
      <c r="E10" s="4" t="inlineStr">
        <is>
          <t>Igen</t>
        </is>
      </c>
      <c r="F10" s="4" t="inlineStr">
        <is>
          <t>Helytakarékos termesztés sátorban / polcon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magas műanyag virágcserép</t>
        </is>
      </c>
      <c r="C11" s="5" t="n">
        <v>20</v>
      </c>
      <c r="D11" s="4" t="inlineStr">
        <is>
          <t>Szoros</t>
        </is>
      </c>
      <c r="E11" s="4" t="inlineStr">
        <is>
          <t>Igen</t>
        </is>
      </c>
      <c r="F11" s="4" t="inlineStr">
        <is>
          <t>Helytakarékos termesztés sátorban / polcon</t>
        </is>
      </c>
      <c r="G11" s="4" t="inlineStr">
        <is>
          <t>Kategórialeírás (természetes említés)</t>
        </is>
      </c>
    </row>
    <row r="12">
      <c r="A12" s="4" t="n">
        <v>6</v>
      </c>
      <c r="B12" s="4" t="inlineStr">
        <is>
          <t>négyszögletes virágcserép</t>
        </is>
      </c>
      <c r="C12" s="5" t="n">
        <v>20</v>
      </c>
      <c r="D12" s="4" t="inlineStr">
        <is>
          <t>Szoros</t>
        </is>
      </c>
      <c r="E12" s="4" t="inlineStr">
        <is>
          <t>Igen</t>
        </is>
      </c>
      <c r="F12" s="4" t="inlineStr">
        <is>
          <t>Helytakarékos termesztés sátorban / polcon</t>
        </is>
      </c>
      <c r="G12" s="4" t="inlineStr">
        <is>
          <t>Kategórialeírás (természetes említés)</t>
        </is>
      </c>
    </row>
    <row r="13">
      <c r="A13" s="4" t="n">
        <v>7</v>
      </c>
      <c r="B13" s="4" t="inlineStr">
        <is>
          <t>négyzet alakú virágcserép</t>
        </is>
      </c>
      <c r="C13" s="5" t="n">
        <v>20</v>
      </c>
      <c r="D13" s="4" t="inlineStr">
        <is>
          <t>Szoros</t>
        </is>
      </c>
      <c r="E13" s="4" t="inlineStr">
        <is>
          <t>Igen</t>
        </is>
      </c>
      <c r="F13" s="4" t="inlineStr">
        <is>
          <t>Helytakarékos termesztés sátorban / polcon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négyszögletes műanyag cserép</t>
        </is>
      </c>
      <c r="C14" s="5" t="n">
        <v>10</v>
      </c>
      <c r="D14" s="4" t="inlineStr">
        <is>
          <t>Szoros</t>
        </is>
      </c>
      <c r="E14" s="4" t="inlineStr">
        <is>
          <t>Igen</t>
        </is>
      </c>
      <c r="F14" s="4" t="inlineStr">
        <is>
          <t>Helytakarékos termesztés sátorban / polcon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mély cserép</t>
        </is>
      </c>
      <c r="C15" s="5" t="n">
        <v>10</v>
      </c>
      <c r="D15" s="4" t="inlineStr">
        <is>
          <t>Szoros</t>
        </is>
      </c>
      <c r="E15" s="4" t="inlineStr">
        <is>
          <t>Igen</t>
        </is>
      </c>
      <c r="F15" s="4" t="inlineStr">
        <is>
          <t>Helytakarékos termesztés sátorban / polcon</t>
        </is>
      </c>
      <c r="G15" s="4" t="inlineStr">
        <is>
          <t>Kategórialeírás (természetes említés)</t>
        </is>
      </c>
    </row>
    <row r="16">
      <c r="B16" s="10" t="inlineStr">
        <is>
          <t>Összesen (érdemes rá oldal = Igen):</t>
        </is>
      </c>
      <c r="C16" s="23">
        <f>SUMIFS(C7:C15,E7:E15,"Igen")</f>
        <v/>
      </c>
    </row>
    <row r="18">
      <c r="A18" s="10" t="inlineStr">
        <is>
          <t>Termékek a jelenlegi kínálatból: 24 db (elsődleges + másodlagos hozzárendelés; egy termék több kategóriában is szerepelhet)</t>
        </is>
      </c>
    </row>
    <row r="19">
      <c r="A19" s="3" t="inlineStr">
        <is>
          <t>#</t>
        </is>
      </c>
      <c r="B19" s="3" t="inlineStr">
        <is>
          <t>Termékkód</t>
        </is>
      </c>
      <c r="C19" s="3" t="inlineStr">
        <is>
          <t>Terméknév</t>
        </is>
      </c>
      <c r="D19" s="3" t="inlineStr">
        <is>
          <t>Hozzárendelés</t>
        </is>
      </c>
      <c r="E19" s="3" t="inlineStr">
        <is>
          <t>Illeszkedés</t>
        </is>
      </c>
      <c r="F19" s="3" t="inlineStr">
        <is>
          <t>Megjegyzés</t>
        </is>
      </c>
    </row>
    <row r="20">
      <c r="A20" s="4" t="n">
        <v>1</v>
      </c>
      <c r="B20" s="4" t="inlineStr">
        <is>
          <t>GRO0067</t>
        </is>
      </c>
      <c r="C20" s="4" t="inlineStr">
        <is>
          <t>Szögletes műanyag cserép 6 liter, 17,5 x 17,5 x 25 cm, gyökércsavarodás gátló</t>
        </is>
      </c>
      <c r="D20" s="4" t="inlineStr">
        <is>
          <t>Másodlagos</t>
        </is>
      </c>
      <c r="E20" s="4" t="inlineStr">
        <is>
          <t>Erős</t>
        </is>
      </c>
      <c r="F20" s="4" t="inlineStr">
        <is>
          <t>Szögletes, gyökércsavarodás-gátló</t>
        </is>
      </c>
    </row>
    <row r="21">
      <c r="A21" s="4" t="n">
        <v>2</v>
      </c>
      <c r="B21" s="4" t="inlineStr">
        <is>
          <t>GRO0068</t>
        </is>
      </c>
      <c r="C21" s="4" t="inlineStr">
        <is>
          <t>Görög mintás négyzetes műanyag virágcserép 18 liter, 30,5 x 30,5 cm</t>
        </is>
      </c>
      <c r="D21" s="4" t="inlineStr">
        <is>
          <t>Másodlagos</t>
        </is>
      </c>
      <c r="E21" s="4" t="inlineStr">
        <is>
          <t>Erős</t>
        </is>
      </c>
      <c r="F21" s="4" t="inlineStr">
        <is>
          <t>Görög mintás négyzetes</t>
        </is>
      </c>
    </row>
    <row r="22">
      <c r="A22" s="4" t="n">
        <v>3</v>
      </c>
      <c r="B22" s="4" t="inlineStr">
        <is>
          <t>GRO0069</t>
        </is>
      </c>
      <c r="C22" s="4" t="inlineStr">
        <is>
          <t>Görög mintás négyzetes műanyag virágcserép 25 liter, 33,5 x 33,5 cm</t>
        </is>
      </c>
      <c r="D22" s="4" t="inlineStr">
        <is>
          <t>Másodlagos</t>
        </is>
      </c>
      <c r="E22" s="4" t="inlineStr">
        <is>
          <t>Erős</t>
        </is>
      </c>
      <c r="F22" s="4" t="inlineStr">
        <is>
          <t>Görög mintás négyzetes, 25–30 l</t>
        </is>
      </c>
    </row>
    <row r="23">
      <c r="A23" s="4" t="n">
        <v>4</v>
      </c>
      <c r="B23" s="4" t="inlineStr">
        <is>
          <t>GRO0070</t>
        </is>
      </c>
      <c r="C23" s="4" t="inlineStr">
        <is>
          <t>Görög mintás négyzetes műanyag virágcserép 30 liter, 36,5 x 36,5 cm</t>
        </is>
      </c>
      <c r="D23" s="4" t="inlineStr">
        <is>
          <t>Másodlagos</t>
        </is>
      </c>
      <c r="E23" s="4" t="inlineStr">
        <is>
          <t>Erős</t>
        </is>
      </c>
      <c r="F23" s="4" t="inlineStr">
        <is>
          <t>Görög mintás négyzetes, 25–30 l</t>
        </is>
      </c>
    </row>
    <row r="24">
      <c r="A24" s="4" t="n">
        <v>5</v>
      </c>
      <c r="B24" s="4" t="inlineStr">
        <is>
          <t>GRO0748</t>
        </is>
      </c>
      <c r="C24" s="4" t="inlineStr">
        <is>
          <t>Görög mintás négyzetes műanyag virágcserép 9 liter, 23 x 23 cm</t>
        </is>
      </c>
      <c r="D24" s="4" t="inlineStr">
        <is>
          <t>Másodlagos</t>
        </is>
      </c>
      <c r="E24" s="4" t="inlineStr">
        <is>
          <t>Erős</t>
        </is>
      </c>
      <c r="F24" s="4" t="inlineStr">
        <is>
          <t>Görög mintás négyzetes</t>
        </is>
      </c>
    </row>
    <row r="25">
      <c r="A25" s="4" t="n">
        <v>6</v>
      </c>
      <c r="B25" s="4" t="inlineStr">
        <is>
          <t>GRO1141</t>
        </is>
      </c>
      <c r="C25" s="4" t="inlineStr">
        <is>
          <t>Szögletes műanyag cserép 2,5 liter, 13 x 13 x 18 cm, gyökércsavarodás gátló</t>
        </is>
      </c>
      <c r="D25" s="4" t="inlineStr">
        <is>
          <t>Másodlagos</t>
        </is>
      </c>
      <c r="E25" s="4" t="inlineStr">
        <is>
          <t>Erős</t>
        </is>
      </c>
      <c r="F25" s="4" t="inlineStr">
        <is>
          <t>Szögletes, gyökércsavarodás-gátló</t>
        </is>
      </c>
    </row>
    <row r="26">
      <c r="A26" s="4" t="n">
        <v>7</v>
      </c>
      <c r="B26" s="4" t="inlineStr">
        <is>
          <t>GRO1143</t>
        </is>
      </c>
      <c r="C26" s="4" t="inlineStr">
        <is>
          <t>Görög mintás négyzetes műanyag virágcserép 14 liter, 28,5 x 28,5 cm</t>
        </is>
      </c>
      <c r="D26" s="4" t="inlineStr">
        <is>
          <t>Másodlagos</t>
        </is>
      </c>
      <c r="E26" s="4" t="inlineStr">
        <is>
          <t>Erős</t>
        </is>
      </c>
      <c r="F26" s="4" t="inlineStr">
        <is>
          <t>Görög mintás négyzetes</t>
        </is>
      </c>
    </row>
    <row r="27">
      <c r="A27" s="4" t="n">
        <v>8</v>
      </c>
      <c r="B27" s="4" t="inlineStr">
        <is>
          <t>GRO1160</t>
        </is>
      </c>
      <c r="C27" s="4" t="inlineStr">
        <is>
          <t>Szögletes műanyag cserép 1,4 liter, 10 x 10 x 17 cm, gyökércsavarodás gátló</t>
        </is>
      </c>
      <c r="D27" s="4" t="inlineStr">
        <is>
          <t>Másodlagos</t>
        </is>
      </c>
      <c r="E27" s="4" t="inlineStr">
        <is>
          <t>Erős</t>
        </is>
      </c>
      <c r="F27" s="4" t="inlineStr">
        <is>
          <t>Szögletes, gyökércsavarodás-gátló</t>
        </is>
      </c>
    </row>
    <row r="28">
      <c r="A28" s="4" t="n">
        <v>9</v>
      </c>
      <c r="B28" s="4" t="inlineStr">
        <is>
          <t>GRO1161</t>
        </is>
      </c>
      <c r="C28" s="4" t="inlineStr">
        <is>
          <t>Szögletes műanyag cserép 1,8 liter, 10,5 x 8,5 x 22 cm, gyökércsavarodás gátló</t>
        </is>
      </c>
      <c r="D28" s="4" t="inlineStr">
        <is>
          <t>Másodlagos</t>
        </is>
      </c>
      <c r="E28" s="4" t="inlineStr">
        <is>
          <t>Erős</t>
        </is>
      </c>
      <c r="F28" s="4" t="inlineStr">
        <is>
          <t>Szögletes, gyökércsavarodás-gátló</t>
        </is>
      </c>
    </row>
    <row r="29">
      <c r="A29" s="4" t="n">
        <v>10</v>
      </c>
      <c r="B29" s="4" t="inlineStr">
        <is>
          <t>GRO1189</t>
        </is>
      </c>
      <c r="C29" s="4" t="inlineStr">
        <is>
          <t>Görög mintás négyzetes műanyag virágcserép 11 liter, 25 x 25 cm</t>
        </is>
      </c>
      <c r="D29" s="4" t="inlineStr">
        <is>
          <t>Másodlagos</t>
        </is>
      </c>
      <c r="E29" s="4" t="inlineStr">
        <is>
          <t>Erős</t>
        </is>
      </c>
      <c r="F29" s="4" t="inlineStr">
        <is>
          <t>Görög mintás négyzetes</t>
        </is>
      </c>
    </row>
    <row r="30">
      <c r="A30" s="4" t="n">
        <v>11</v>
      </c>
      <c r="B30" s="4" t="inlineStr">
        <is>
          <t>GRO1259</t>
        </is>
      </c>
      <c r="C30" s="4" t="inlineStr">
        <is>
          <t>Szögletes műanyag cserép 1,5 liter, 12 x 12 x 13 cm, gyökércsavarodás gátló</t>
        </is>
      </c>
      <c r="D30" s="4" t="inlineStr">
        <is>
          <t>Másodlagos</t>
        </is>
      </c>
      <c r="E30" s="4" t="inlineStr">
        <is>
          <t>Erős</t>
        </is>
      </c>
      <c r="F30" s="4" t="inlineStr">
        <is>
          <t>Szögletes, gyökércsavarodás-gátló</t>
        </is>
      </c>
    </row>
    <row r="31">
      <c r="A31" s="4" t="n">
        <v>12</v>
      </c>
      <c r="B31" s="4" t="inlineStr">
        <is>
          <t>GRO1261</t>
        </is>
      </c>
      <c r="C31" s="4" t="inlineStr">
        <is>
          <t>Szögletes műanyag cserép 15 x 15 x 20 cm, gyökércsavarodás gátló</t>
        </is>
      </c>
      <c r="D31" s="4" t="inlineStr">
        <is>
          <t>Másodlagos</t>
        </is>
      </c>
      <c r="E31" s="4" t="inlineStr">
        <is>
          <t>Erős</t>
        </is>
      </c>
      <c r="F31" s="4" t="inlineStr">
        <is>
          <t>Szögletes, gyökércsavarodás-gátló</t>
        </is>
      </c>
    </row>
    <row r="32">
      <c r="A32" s="4" t="n">
        <v>13</v>
      </c>
      <c r="B32" s="4" t="inlineStr">
        <is>
          <t>GRO2107</t>
        </is>
      </c>
      <c r="C32" s="4" t="inlineStr">
        <is>
          <t>Lyukacsos szögletes műanyag cserép 9,6 liter, 20 x 23 x 28 cm, hidropóniához is</t>
        </is>
      </c>
      <c r="D32" s="4" t="inlineStr">
        <is>
          <t>Másodlagos</t>
        </is>
      </c>
      <c r="E32" s="4" t="inlineStr">
        <is>
          <t>Erős</t>
        </is>
      </c>
      <c r="F32" s="4" t="inlineStr">
        <is>
          <t>Lyukacsos szögletes, hidropóniához is</t>
        </is>
      </c>
    </row>
    <row r="33">
      <c r="A33" s="4" t="n">
        <v>14</v>
      </c>
      <c r="B33" s="4" t="inlineStr">
        <is>
          <t>GRO2356</t>
        </is>
      </c>
      <c r="C33" s="4" t="inlineStr">
        <is>
          <t>Görög mintás négyzetes műanyag virágcserép 6 liter, 21 x 19,2 cm</t>
        </is>
      </c>
      <c r="D33" s="4" t="inlineStr">
        <is>
          <t>Másodlagos</t>
        </is>
      </c>
      <c r="E33" s="4" t="inlineStr">
        <is>
          <t>Erős</t>
        </is>
      </c>
      <c r="F33" s="4" t="inlineStr">
        <is>
          <t>Görög mintás négyzetes</t>
        </is>
      </c>
    </row>
    <row r="34">
      <c r="A34" s="4" t="n">
        <v>15</v>
      </c>
      <c r="B34" s="4" t="inlineStr">
        <is>
          <t>GRO2359</t>
        </is>
      </c>
      <c r="C34" s="4" t="inlineStr">
        <is>
          <t>Görög mintás négyzetes műanyag virágcserép 2 liter, 14 x 14 cm</t>
        </is>
      </c>
      <c r="D34" s="4" t="inlineStr">
        <is>
          <t>Másodlagos</t>
        </is>
      </c>
      <c r="E34" s="4" t="inlineStr">
        <is>
          <t>Erős</t>
        </is>
      </c>
      <c r="F34" s="4" t="inlineStr">
        <is>
          <t>Görög mintás négyzetes</t>
        </is>
      </c>
    </row>
    <row r="35">
      <c r="A35" s="4" t="n">
        <v>16</v>
      </c>
      <c r="B35" s="4" t="inlineStr">
        <is>
          <t>GRO2360</t>
        </is>
      </c>
      <c r="C35" s="4" t="inlineStr">
        <is>
          <t>Szögletes műanyag cserép 11 liter, 23 x 23 x 26 cm, gyökércsavarodás gátló</t>
        </is>
      </c>
      <c r="D35" s="4" t="inlineStr">
        <is>
          <t>Másodlagos</t>
        </is>
      </c>
      <c r="E35" s="4" t="inlineStr">
        <is>
          <t>Erős</t>
        </is>
      </c>
      <c r="F35" s="4" t="inlineStr">
        <is>
          <t>Szögletes, gyökércsavarodás-gátló</t>
        </is>
      </c>
    </row>
    <row r="36">
      <c r="A36" s="4" t="n">
        <v>17</v>
      </c>
      <c r="B36" s="4" t="inlineStr">
        <is>
          <t>GRO2497</t>
        </is>
      </c>
      <c r="C36" s="4" t="inlineStr">
        <is>
          <t>Lyukacsos szögletes műanyag cserép 6,5 liter, 20 x 20 x 25,5 cm, hidropóniához is</t>
        </is>
      </c>
      <c r="D36" s="4" t="inlineStr">
        <is>
          <t>Másodlagos</t>
        </is>
      </c>
      <c r="E36" s="4" t="inlineStr">
        <is>
          <t>Erős</t>
        </is>
      </c>
      <c r="F36" s="4" t="inlineStr">
        <is>
          <t>Lyukacsos szögletes, hidropóniához is</t>
        </is>
      </c>
    </row>
    <row r="37">
      <c r="A37" s="7" t="n">
        <v>18</v>
      </c>
      <c r="B37" s="7" t="inlineStr">
        <is>
          <t>GRO2900</t>
        </is>
      </c>
      <c r="C37" s="7" t="inlineStr">
        <is>
          <t>Palántázócserép 7 x 7 x 6 cm, rugalmas, négyzetes műanyag cserép palántákhoz</t>
        </is>
      </c>
      <c r="D37" s="7" t="inlineStr">
        <is>
          <t>Másodlagos</t>
        </is>
      </c>
      <c r="E37" s="7" t="inlineStr">
        <is>
          <t>Laza</t>
        </is>
      </c>
      <c r="F37" s="7" t="inlineStr">
        <is>
          <t>Palántázó kiscserép (4–9 cm)</t>
        </is>
      </c>
    </row>
    <row r="38">
      <c r="A38" s="7" t="n">
        <v>19</v>
      </c>
      <c r="B38" s="7" t="inlineStr">
        <is>
          <t>GRO3232</t>
        </is>
      </c>
      <c r="C38" s="7" t="inlineStr">
        <is>
          <t>Négyzetes műanyag cserép 9 x 9 x 10 cm palántázáshoz és továbbneveléshez</t>
        </is>
      </c>
      <c r="D38" s="7" t="inlineStr">
        <is>
          <t>Másodlagos</t>
        </is>
      </c>
      <c r="E38" s="7" t="inlineStr">
        <is>
          <t>Laza</t>
        </is>
      </c>
      <c r="F38" s="7" t="inlineStr">
        <is>
          <t>Palántázó kiscserép (4–9 cm)</t>
        </is>
      </c>
    </row>
    <row r="39">
      <c r="A39" s="7" t="n">
        <v>20</v>
      </c>
      <c r="B39" s="7" t="inlineStr">
        <is>
          <t>GRO3233</t>
        </is>
      </c>
      <c r="C39" s="7" t="inlineStr">
        <is>
          <t>Cserép négyzetes 7x7x8 cm</t>
        </is>
      </c>
      <c r="D39" s="7" t="inlineStr">
        <is>
          <t>Másodlagos</t>
        </is>
      </c>
      <c r="E39" s="7" t="inlineStr">
        <is>
          <t>Laza</t>
        </is>
      </c>
      <c r="F39" s="7" t="inlineStr">
        <is>
          <t>Palántázó kiscserép (4–9 cm)</t>
        </is>
      </c>
    </row>
    <row r="40">
      <c r="A40" s="7" t="n">
        <v>21</v>
      </c>
      <c r="B40" s="7" t="inlineStr">
        <is>
          <t>GRO4623</t>
        </is>
      </c>
      <c r="C40" s="7" t="inlineStr">
        <is>
          <t>Négyzetes cserép 5x5 cm</t>
        </is>
      </c>
      <c r="D40" s="7" t="inlineStr">
        <is>
          <t>Másodlagos</t>
        </is>
      </c>
      <c r="E40" s="7" t="inlineStr">
        <is>
          <t>Laza</t>
        </is>
      </c>
      <c r="F40" s="7" t="inlineStr">
        <is>
          <t>Palántázó kiscserép (4–9 cm)</t>
        </is>
      </c>
    </row>
    <row r="41">
      <c r="A41" s="7" t="n">
        <v>22</v>
      </c>
      <c r="B41" s="7" t="inlineStr">
        <is>
          <t>GRO4624</t>
        </is>
      </c>
      <c r="C41" s="7" t="inlineStr">
        <is>
          <t>Négyzetes cserép 7x7 cm</t>
        </is>
      </c>
      <c r="D41" s="7" t="inlineStr">
        <is>
          <t>Másodlagos</t>
        </is>
      </c>
      <c r="E41" s="7" t="inlineStr">
        <is>
          <t>Laza</t>
        </is>
      </c>
      <c r="F41" s="7" t="inlineStr">
        <is>
          <t>Palántázó kiscserép (4–9 cm)</t>
        </is>
      </c>
    </row>
    <row r="42">
      <c r="A42" s="7" t="n">
        <v>23</v>
      </c>
      <c r="B42" s="7" t="inlineStr">
        <is>
          <t>GRO4625</t>
        </is>
      </c>
      <c r="C42" s="7" t="inlineStr">
        <is>
          <t>Vékonyfalú négyzetes cserép 7x7 cm</t>
        </is>
      </c>
      <c r="D42" s="7" t="inlineStr">
        <is>
          <t>Másodlagos</t>
        </is>
      </c>
      <c r="E42" s="7" t="inlineStr">
        <is>
          <t>Laza</t>
        </is>
      </c>
      <c r="F42" s="7" t="inlineStr">
        <is>
          <t>Palántázó kiscserép (4–9 cm)</t>
        </is>
      </c>
    </row>
    <row r="43">
      <c r="A43" s="7" t="n">
        <v>24</v>
      </c>
      <c r="B43" s="7" t="inlineStr">
        <is>
          <t>GRO4626</t>
        </is>
      </c>
      <c r="C43" s="7" t="inlineStr">
        <is>
          <t>Négyzetes cserép 4x4 cm</t>
        </is>
      </c>
      <c r="D43" s="7" t="inlineStr">
        <is>
          <t>Másodlagos</t>
        </is>
      </c>
      <c r="E43" s="7" t="inlineStr">
        <is>
          <t>Laza</t>
        </is>
      </c>
      <c r="F43" s="7" t="inlineStr">
        <is>
          <t>Palántázó kiscserép (4–9 cm)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Air-Pot cserép  –  fő kulcsszó: „airpot”</t>
        </is>
      </c>
    </row>
    <row r="2">
      <c r="A2" s="2" t="inlineStr">
        <is>
          <t>Felhasználási terület: Gyökérlégzés, gyökérmetszés – termesztés konténerben</t>
        </is>
      </c>
    </row>
    <row r="3">
      <c r="A3" s="2" t="inlineStr">
        <is>
          <t>Megjegyzés: A „légmetsző / légmetszéses / gyökérlégző cserép” kifejezésekre nincs mérhető keresés – a vásárlók a márkanevet keresik.</t>
        </is>
      </c>
    </row>
    <row r="4">
      <c r="A4" s="2" t="inlineStr">
        <is>
          <t>Felvett releváns kulcsszavak: 5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airpot</t>
        </is>
      </c>
      <c r="C7" s="5" t="n">
        <v>140</v>
      </c>
      <c r="D7" s="4" t="inlineStr">
        <is>
          <t>Szoros</t>
        </is>
      </c>
      <c r="E7" s="4" t="inlineStr">
        <is>
          <t>Igen</t>
        </is>
      </c>
      <c r="F7" s="4" t="inlineStr">
        <is>
          <t>Gyökérlégzés, gyökérmetszés – termesztés konténerben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air pot</t>
        </is>
      </c>
      <c r="C8" s="5" t="n">
        <v>90</v>
      </c>
      <c r="D8" s="4" t="inlineStr">
        <is>
          <t>Szoros</t>
        </is>
      </c>
      <c r="E8" s="4" t="inlineStr">
        <is>
          <t>Igen</t>
        </is>
      </c>
      <c r="F8" s="4" t="inlineStr">
        <is>
          <t>Gyökérlégzés, gyökérmetszés – termesztés konténerben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air pot 50l</t>
        </is>
      </c>
      <c r="C9" s="5" t="n">
        <v>10</v>
      </c>
      <c r="D9" s="4" t="inlineStr">
        <is>
          <t>Szoros</t>
        </is>
      </c>
      <c r="E9" s="4" t="inlineStr">
        <is>
          <t>Igen</t>
        </is>
      </c>
      <c r="F9" s="4" t="inlineStr">
        <is>
          <t>Gyökérlégzés, gyökérmetszés – termesztés konténerben</t>
        </is>
      </c>
      <c r="G9" s="4" t="inlineStr">
        <is>
          <t>Gyártóoldal / szűrő / termékoldal</t>
        </is>
      </c>
    </row>
    <row r="10">
      <c r="A10" s="4" t="n">
        <v>4</v>
      </c>
      <c r="B10" s="4" t="inlineStr">
        <is>
          <t>air pot hydro</t>
        </is>
      </c>
      <c r="C10" s="5" t="n">
        <v>10</v>
      </c>
      <c r="D10" s="4" t="inlineStr">
        <is>
          <t>Szoros</t>
        </is>
      </c>
      <c r="E10" s="4" t="inlineStr">
        <is>
          <t>Igen</t>
        </is>
      </c>
      <c r="F10" s="4" t="inlineStr">
        <is>
          <t>Gyökérlégzés, gyökérmetszés – termesztés konténerben</t>
        </is>
      </c>
      <c r="G10" s="4" t="inlineStr">
        <is>
          <t>Gyártóoldal / szűrő / termékoldal</t>
        </is>
      </c>
    </row>
    <row r="11">
      <c r="A11" s="4" t="n">
        <v>5</v>
      </c>
      <c r="B11" s="4" t="inlineStr">
        <is>
          <t>air pot 9l</t>
        </is>
      </c>
      <c r="C11" s="5" t="n">
        <v>10</v>
      </c>
      <c r="D11" s="4" t="inlineStr">
        <is>
          <t>Szoros</t>
        </is>
      </c>
      <c r="E11" s="4" t="inlineStr">
        <is>
          <t>Igen</t>
        </is>
      </c>
      <c r="F11" s="4" t="inlineStr">
        <is>
          <t>Gyökérlégzés, gyökérmetszés – termesztés konténerben</t>
        </is>
      </c>
      <c r="G11" s="4" t="inlineStr">
        <is>
          <t>Gyártóoldal / szűrő / termékoldal</t>
        </is>
      </c>
    </row>
    <row r="12">
      <c r="B12" s="10" t="inlineStr">
        <is>
          <t>Összesen (érdemes rá oldal = Igen):</t>
        </is>
      </c>
      <c r="C12" s="23">
        <f>SUMIFS(C7:C11,E7:E11,"Igen")</f>
        <v/>
      </c>
    </row>
    <row r="14">
      <c r="A14" s="10" t="inlineStr">
        <is>
          <t>Termékek a jelenlegi kínálatból: 13 db (elsődleges + másodlagos hozzárendelés; egy termék több kategóriában is szerepelhet)</t>
        </is>
      </c>
    </row>
    <row r="15">
      <c r="A15" s="3" t="inlineStr">
        <is>
          <t>#</t>
        </is>
      </c>
      <c r="B15" s="3" t="inlineStr">
        <is>
          <t>Termékkód</t>
        </is>
      </c>
      <c r="C15" s="3" t="inlineStr">
        <is>
          <t>Terméknév</t>
        </is>
      </c>
      <c r="D15" s="3" t="inlineStr">
        <is>
          <t>Hozzárendelés</t>
        </is>
      </c>
      <c r="E15" s="3" t="inlineStr">
        <is>
          <t>Illeszkedés</t>
        </is>
      </c>
      <c r="F15" s="3" t="inlineStr">
        <is>
          <t>Megjegyzés</t>
        </is>
      </c>
    </row>
    <row r="16">
      <c r="A16" s="4" t="n">
        <v>1</v>
      </c>
      <c r="B16" s="4" t="inlineStr">
        <is>
          <t>GRO1890</t>
        </is>
      </c>
      <c r="C16" s="4" t="inlineStr">
        <is>
          <t>Air-Pot klón 1 literes perforált, légáteresztő műanyag edény erős gyökérzethez</t>
        </is>
      </c>
      <c r="D16" s="4" t="inlineStr">
        <is>
          <t>Elsődleges</t>
        </is>
      </c>
      <c r="E16" s="4" t="inlineStr">
        <is>
          <t>Erős</t>
        </is>
      </c>
      <c r="F16" s="4" t="inlineStr">
        <is>
          <t>Air-Pot (klón) perforált cserép</t>
        </is>
      </c>
    </row>
    <row r="17">
      <c r="A17" s="4" t="n">
        <v>2</v>
      </c>
      <c r="B17" s="4" t="inlineStr">
        <is>
          <t>GRO1891</t>
        </is>
      </c>
      <c r="C17" s="4" t="inlineStr">
        <is>
          <t>Air-Pot klón 3 literes perforált, légáteresztő műanyag edény erős gyökérzethez</t>
        </is>
      </c>
      <c r="D17" s="4" t="inlineStr">
        <is>
          <t>Elsődleges</t>
        </is>
      </c>
      <c r="E17" s="4" t="inlineStr">
        <is>
          <t>Erős</t>
        </is>
      </c>
      <c r="F17" s="4" t="inlineStr">
        <is>
          <t>Air-Pot (klón) perforált cserép</t>
        </is>
      </c>
    </row>
    <row r="18">
      <c r="A18" s="4" t="n">
        <v>3</v>
      </c>
      <c r="B18" s="4" t="inlineStr">
        <is>
          <t>GRO1892</t>
        </is>
      </c>
      <c r="C18" s="4" t="inlineStr">
        <is>
          <t>Air-Pot klón 6 literes perforált, légáteresztő műanyag edény erős gyökérzethez</t>
        </is>
      </c>
      <c r="D18" s="4" t="inlineStr">
        <is>
          <t>Elsődleges</t>
        </is>
      </c>
      <c r="E18" s="4" t="inlineStr">
        <is>
          <t>Erős</t>
        </is>
      </c>
      <c r="F18" s="4" t="inlineStr">
        <is>
          <t>Air-Pot (klón) perforált cserép</t>
        </is>
      </c>
    </row>
    <row r="19">
      <c r="A19" s="4" t="n">
        <v>4</v>
      </c>
      <c r="B19" s="4" t="inlineStr">
        <is>
          <t>GRO1893</t>
        </is>
      </c>
      <c r="C19" s="4" t="inlineStr">
        <is>
          <t>Air-Pot klón 10 literes perforált, légáteresztő műanyag edény erős gyökérzethez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Air-Pot (klón) perforált cserép</t>
        </is>
      </c>
    </row>
    <row r="20">
      <c r="A20" s="4" t="n">
        <v>5</v>
      </c>
      <c r="B20" s="4" t="inlineStr">
        <is>
          <t>GRO1894</t>
        </is>
      </c>
      <c r="C20" s="4" t="inlineStr">
        <is>
          <t>Air-Pot klón 15 literes perforált, légáteresztő műanyag edény erős gyökérzethez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Air-Pot (klón) perforált cserép</t>
        </is>
      </c>
    </row>
    <row r="21">
      <c r="A21" s="4" t="n">
        <v>6</v>
      </c>
      <c r="B21" s="4" t="inlineStr">
        <is>
          <t>GRO1895</t>
        </is>
      </c>
      <c r="C21" s="4" t="inlineStr">
        <is>
          <t>Air-Pot klón 25 literes perforált, légáteresztő műanyag edény erős gyökérzethez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Air-Pot (klón) perforált cserép</t>
        </is>
      </c>
    </row>
    <row r="22">
      <c r="A22" s="4" t="n">
        <v>7</v>
      </c>
      <c r="B22" s="4" t="inlineStr">
        <is>
          <t>GRO2571</t>
        </is>
      </c>
      <c r="C22" s="4" t="inlineStr">
        <is>
          <t>Air-Pot klón 50 literes perforált, légáteresztő műanyag edény erős gyökérzethez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Air-Pot klón 50 l</t>
        </is>
      </c>
    </row>
    <row r="23">
      <c r="A23" s="4" t="n">
        <v>8</v>
      </c>
      <c r="B23" s="4" t="inlineStr">
        <is>
          <t>GRO3346</t>
        </is>
      </c>
      <c r="C23" s="4" t="inlineStr">
        <is>
          <t>Air-pot cserép 3 liter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Air-Pot (klón) perforált cserép</t>
        </is>
      </c>
    </row>
    <row r="24">
      <c r="A24" s="4" t="n">
        <v>9</v>
      </c>
      <c r="B24" s="4" t="inlineStr">
        <is>
          <t>GRO3525</t>
        </is>
      </c>
      <c r="C24" s="4" t="inlineStr">
        <is>
          <t>Air-pot cserép 5 liter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Air-Pot (klón) perforált cserép</t>
        </is>
      </c>
    </row>
    <row r="25">
      <c r="A25" s="4" t="n">
        <v>10</v>
      </c>
      <c r="B25" s="4" t="inlineStr">
        <is>
          <t>GRO3526</t>
        </is>
      </c>
      <c r="C25" s="4" t="inlineStr">
        <is>
          <t>Air-pot cserép 9 liter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Air-Pot (klón) perforált cserép</t>
        </is>
      </c>
    </row>
    <row r="26">
      <c r="A26" s="7" t="n">
        <v>11</v>
      </c>
      <c r="B26" s="7" t="inlineStr">
        <is>
          <t>GRO3348</t>
        </is>
      </c>
      <c r="C26" s="7" t="inlineStr">
        <is>
          <t>Venti Pot hidro cserép 3,5 liter</t>
        </is>
      </c>
      <c r="D26" s="7" t="inlineStr">
        <is>
          <t>Másodlagos</t>
        </is>
      </c>
      <c r="E26" s="7" t="inlineStr">
        <is>
          <t>Laza</t>
        </is>
      </c>
      <c r="F26" s="7" t="inlineStr">
        <is>
          <t>Venti Pot – perforált hidro cserép</t>
        </is>
      </c>
    </row>
    <row r="27">
      <c r="A27" s="7" t="n">
        <v>12</v>
      </c>
      <c r="B27" s="7" t="inlineStr">
        <is>
          <t>GRO3349</t>
        </is>
      </c>
      <c r="C27" s="7" t="inlineStr">
        <is>
          <t>Venti Pot hidro cserép 12 liter</t>
        </is>
      </c>
      <c r="D27" s="7" t="inlineStr">
        <is>
          <t>Másodlagos</t>
        </is>
      </c>
      <c r="E27" s="7" t="inlineStr">
        <is>
          <t>Laza</t>
        </is>
      </c>
      <c r="F27" s="7" t="inlineStr">
        <is>
          <t>Venti Pot – perforált hidro cserép</t>
        </is>
      </c>
    </row>
    <row r="28">
      <c r="A28" s="7" t="n">
        <v>13</v>
      </c>
      <c r="B28" s="7" t="inlineStr">
        <is>
          <t>GRO3350</t>
        </is>
      </c>
      <c r="C28" s="7" t="inlineStr">
        <is>
          <t>Venti Pot hidro cserép 25 liter</t>
        </is>
      </c>
      <c r="D28" s="7" t="inlineStr">
        <is>
          <t>Másodlagos</t>
        </is>
      </c>
      <c r="E28" s="7" t="inlineStr">
        <is>
          <t>Laza</t>
        </is>
      </c>
      <c r="F28" s="7" t="inlineStr">
        <is>
          <t>Venti Pot – perforált hidro cserép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Szövetcserép, ültetőzsák  –  fő kulcsszó: „ültetőzsák”</t>
        </is>
      </c>
    </row>
    <row r="2">
      <c r="A2" s="2" t="inlineStr">
        <is>
          <t>Felhasználási terület: Szövet / textil / filc cserép, ültető- és termesztőzsák</t>
        </is>
      </c>
    </row>
    <row r="3">
      <c r="A3" s="2" t="inlineStr">
        <is>
          <t>Megjegyzés: A „szövetcserép” egybeírva csak 10; a „szövet cserép”, „textil cserép”, „textil virágcserép”, „smart pot”, „grow bag” egyenként 20. A legerősebb az „ültetőzsák” (90 + ékezet nélkül 50), de ennek egy része burgonyás zsák.</t>
        </is>
      </c>
    </row>
    <row r="4">
      <c r="A4" s="2" t="inlineStr">
        <is>
          <t>Felvett releváns kulcsszavak: 16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ültetőzsák</t>
        </is>
      </c>
      <c r="C7" s="5" t="n">
        <v>90</v>
      </c>
      <c r="D7" s="4" t="inlineStr">
        <is>
          <t>Szoros</t>
        </is>
      </c>
      <c r="E7" s="4" t="inlineStr">
        <is>
          <t>Igen</t>
        </is>
      </c>
      <c r="F7" s="4" t="inlineStr">
        <is>
          <t>Szövet / textil / filc cserép, ültető- és termesztőzsák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ultetozsak</t>
        </is>
      </c>
      <c r="C8" s="5" t="n">
        <v>50</v>
      </c>
      <c r="D8" s="4" t="inlineStr">
        <is>
          <t>Szoros</t>
        </is>
      </c>
      <c r="E8" s="4" t="inlineStr">
        <is>
          <t>Igen</t>
        </is>
      </c>
      <c r="F8" s="4" t="inlineStr">
        <is>
          <t>Szövet / textil / filc cserép, ültető- és termesztőzsák</t>
        </is>
      </c>
      <c r="G8" s="4" t="inlineStr">
        <is>
          <t>Kategórialeírás (természetes említés)</t>
        </is>
      </c>
    </row>
    <row r="9">
      <c r="A9" s="7" t="n">
        <v>3</v>
      </c>
      <c r="B9" s="7" t="inlineStr">
        <is>
          <t>burgonya ültető zsák</t>
        </is>
      </c>
      <c r="C9" s="8" t="n">
        <v>40</v>
      </c>
      <c r="D9" s="7" t="inlineStr">
        <is>
          <t>Laza</t>
        </is>
      </c>
      <c r="E9" s="7" t="inlineStr">
        <is>
          <t>Igen</t>
        </is>
      </c>
      <c r="F9" s="7" t="inlineStr">
        <is>
          <t>Szövet / textil / filc cserép, ültető- és termesztőzsák</t>
        </is>
      </c>
      <c r="G9" s="7" t="inlineStr">
        <is>
          <t>Kategórialeírás (természetes említés)</t>
        </is>
      </c>
    </row>
    <row r="10">
      <c r="A10" s="7" t="n">
        <v>4</v>
      </c>
      <c r="B10" s="7" t="inlineStr">
        <is>
          <t>krumpli ültető zsák</t>
        </is>
      </c>
      <c r="C10" s="8" t="n">
        <v>40</v>
      </c>
      <c r="D10" s="7" t="inlineStr">
        <is>
          <t>Laza</t>
        </is>
      </c>
      <c r="E10" s="7" t="inlineStr">
        <is>
          <t>Igen</t>
        </is>
      </c>
      <c r="F10" s="7" t="inlineStr">
        <is>
          <t>Szövet / textil / filc cserép, ültető- és termesztőzsák</t>
        </is>
      </c>
      <c r="G10" s="7" t="inlineStr">
        <is>
          <t>Kategórialeírás (természetes említés)</t>
        </is>
      </c>
    </row>
    <row r="11">
      <c r="A11" s="4" t="n">
        <v>5</v>
      </c>
      <c r="B11" s="4" t="inlineStr">
        <is>
          <t>szövet cserép</t>
        </is>
      </c>
      <c r="C11" s="5" t="n">
        <v>20</v>
      </c>
      <c r="D11" s="4" t="inlineStr">
        <is>
          <t>Szoros</t>
        </is>
      </c>
      <c r="E11" s="4" t="inlineStr">
        <is>
          <t>Igen</t>
        </is>
      </c>
      <c r="F11" s="4" t="inlineStr">
        <is>
          <t>Szövet / textil / filc cserép, ültető- és termesztőzsák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textil cserép</t>
        </is>
      </c>
      <c r="C12" s="5" t="n">
        <v>20</v>
      </c>
      <c r="D12" s="4" t="inlineStr">
        <is>
          <t>Szoros</t>
        </is>
      </c>
      <c r="E12" s="4" t="inlineStr">
        <is>
          <t>Igen</t>
        </is>
      </c>
      <c r="F12" s="4" t="inlineStr">
        <is>
          <t>Szövet / textil / filc cserép, ültető- és termesztőzsák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textil virágcserép</t>
        </is>
      </c>
      <c r="C13" s="5" t="n">
        <v>20</v>
      </c>
      <c r="D13" s="4" t="inlineStr">
        <is>
          <t>Szoros</t>
        </is>
      </c>
      <c r="E13" s="4" t="inlineStr">
        <is>
          <t>Igen</t>
        </is>
      </c>
      <c r="F13" s="4" t="inlineStr">
        <is>
          <t>Szövet / textil / filc cserép, ültető- és termesztőzsák</t>
        </is>
      </c>
      <c r="G13" s="4" t="inlineStr">
        <is>
          <t>SEO title / H1 / bevezető (másodlagos)</t>
        </is>
      </c>
    </row>
    <row r="14">
      <c r="A14" s="4" t="n">
        <v>8</v>
      </c>
      <c r="B14" s="4" t="inlineStr">
        <is>
          <t>smart pot</t>
        </is>
      </c>
      <c r="C14" s="5" t="n">
        <v>20</v>
      </c>
      <c r="D14" s="4" t="inlineStr">
        <is>
          <t>Szoros</t>
        </is>
      </c>
      <c r="E14" s="4" t="inlineStr">
        <is>
          <t>Igen</t>
        </is>
      </c>
      <c r="F14" s="4" t="inlineStr">
        <is>
          <t>Szövet / textil / filc cserép, ültető- és termesztőzsák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grow bag</t>
        </is>
      </c>
      <c r="C15" s="5" t="n">
        <v>20</v>
      </c>
      <c r="D15" s="4" t="inlineStr">
        <is>
          <t>Szoros</t>
        </is>
      </c>
      <c r="E15" s="4" t="inlineStr">
        <is>
          <t>Igen</t>
        </is>
      </c>
      <c r="F15" s="4" t="inlineStr">
        <is>
          <t>Szövet / textil / filc cserép, ültető- és termesztőzsák</t>
        </is>
      </c>
      <c r="G15" s="4" t="inlineStr">
        <is>
          <t>Kategórialeírás (természetes említés)</t>
        </is>
      </c>
    </row>
    <row r="16">
      <c r="A16" s="7" t="n">
        <v>10</v>
      </c>
      <c r="B16" s="7" t="inlineStr">
        <is>
          <t>krumpli termesztő zsák</t>
        </is>
      </c>
      <c r="C16" s="8" t="n">
        <v>20</v>
      </c>
      <c r="D16" s="7" t="inlineStr">
        <is>
          <t>Laza</t>
        </is>
      </c>
      <c r="E16" s="7" t="inlineStr">
        <is>
          <t>Igen</t>
        </is>
      </c>
      <c r="F16" s="7" t="inlineStr">
        <is>
          <t>Szövet / textil / filc cserép, ültető- és termesztőzsák</t>
        </is>
      </c>
      <c r="G16" s="7" t="inlineStr">
        <is>
          <t>Kategórialeírás (természetes említés)</t>
        </is>
      </c>
    </row>
    <row r="17">
      <c r="A17" s="4" t="n">
        <v>11</v>
      </c>
      <c r="B17" s="4" t="inlineStr">
        <is>
          <t>szövetcserép</t>
        </is>
      </c>
      <c r="C17" s="5" t="n">
        <v>10</v>
      </c>
      <c r="D17" s="4" t="inlineStr">
        <is>
          <t>Szoros</t>
        </is>
      </c>
      <c r="E17" s="4" t="inlineStr">
        <is>
          <t>Igen</t>
        </is>
      </c>
      <c r="F17" s="4" t="inlineStr">
        <is>
          <t>Szövet / textil / filc cserép, ültető- és termesztőzsák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growbag</t>
        </is>
      </c>
      <c r="C18" s="5" t="n">
        <v>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Szövet / textil / filc cserép, ültető- és termesztőzsák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termesztőzsák</t>
        </is>
      </c>
      <c r="C19" s="5" t="n">
        <v>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Szövet / textil / filc cserép, ültető- és termesztőzsák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növénynevelő zsák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Szövet / textil / filc cserép, ültető- és termesztőzsák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root pouch</t>
        </is>
      </c>
      <c r="C21" s="5" t="n">
        <v>10</v>
      </c>
      <c r="D21" s="4" t="inlineStr">
        <is>
          <t>Szoros</t>
        </is>
      </c>
      <c r="E21" s="4" t="inlineStr">
        <is>
          <t>Igen</t>
        </is>
      </c>
      <c r="F21" s="4" t="inlineStr">
        <is>
          <t>Szövet / textil / filc cserép, ültető- és termesztőzsák</t>
        </is>
      </c>
      <c r="G21" s="4" t="inlineStr">
        <is>
          <t>Gyártóoldal / szűrő / termékoldal</t>
        </is>
      </c>
    </row>
    <row r="22">
      <c r="A22" s="4" t="n">
        <v>16</v>
      </c>
      <c r="B22" s="4" t="inlineStr">
        <is>
          <t>smarpot</t>
        </is>
      </c>
      <c r="C22" s="5" t="n">
        <v>10</v>
      </c>
      <c r="D22" s="4" t="inlineStr">
        <is>
          <t>Szoros</t>
        </is>
      </c>
      <c r="E22" s="4" t="inlineStr">
        <is>
          <t>Igen</t>
        </is>
      </c>
      <c r="F22" s="4" t="inlineStr">
        <is>
          <t>Szövet / textil / filc cserép, ültető- és termesztőzsák</t>
        </is>
      </c>
      <c r="G22" s="4" t="inlineStr">
        <is>
          <t>Kategórialeírás (természetes említés)</t>
        </is>
      </c>
    </row>
    <row r="23">
      <c r="B23" s="10" t="inlineStr">
        <is>
          <t>Összesen (érdemes rá oldal = Igen):</t>
        </is>
      </c>
      <c r="C23" s="23">
        <f>SUMIFS(C7:C22,E7:E22,"Igen")</f>
        <v/>
      </c>
    </row>
    <row r="25">
      <c r="A25" s="10" t="inlineStr">
        <is>
          <t>Termékek a jelenlegi kínálatból: 28 db (elsődleges + másodlagos hozzárendelés; egy termék több kategóriában is szerepelhet)</t>
        </is>
      </c>
    </row>
    <row r="26">
      <c r="A26" s="3" t="inlineStr">
        <is>
          <t>#</t>
        </is>
      </c>
      <c r="B26" s="3" t="inlineStr">
        <is>
          <t>Termékkód</t>
        </is>
      </c>
      <c r="C26" s="3" t="inlineStr">
        <is>
          <t>Terméknév</t>
        </is>
      </c>
      <c r="D26" s="3" t="inlineStr">
        <is>
          <t>Hozzárendelés</t>
        </is>
      </c>
      <c r="E26" s="3" t="inlineStr">
        <is>
          <t>Illeszkedés</t>
        </is>
      </c>
      <c r="F26" s="3" t="inlineStr">
        <is>
          <t>Megjegyzés</t>
        </is>
      </c>
    </row>
    <row r="27">
      <c r="A27" s="4" t="n">
        <v>1</v>
      </c>
      <c r="B27" s="4" t="inlineStr">
        <is>
          <t>GRO0822</t>
        </is>
      </c>
      <c r="C27" s="4" t="inlineStr">
        <is>
          <t>Szövet edény 3 liter, Smart Pot klón légáteresztő textilcserép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Szövet- / textilcserép (Smart Pot típus)</t>
        </is>
      </c>
    </row>
    <row r="28">
      <c r="A28" s="4" t="n">
        <v>2</v>
      </c>
      <c r="B28" s="4" t="inlineStr">
        <is>
          <t>GRO0823</t>
        </is>
      </c>
      <c r="C28" s="4" t="inlineStr">
        <is>
          <t>Szövet edény 15 liter, Smart Pot klón légáteresztő textilcserép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Szövet- / textilcserép (Smart Pot típus)</t>
        </is>
      </c>
    </row>
    <row r="29">
      <c r="A29" s="4" t="n">
        <v>3</v>
      </c>
      <c r="B29" s="4" t="inlineStr">
        <is>
          <t>GRO0824</t>
        </is>
      </c>
      <c r="C29" s="4" t="inlineStr">
        <is>
          <t>Szövet edény 25 liter, Smart Pot klón légáteresztő textilcserép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Szövet- / textilcserép (Smart Pot típus)</t>
        </is>
      </c>
    </row>
    <row r="30">
      <c r="A30" s="4" t="n">
        <v>4</v>
      </c>
      <c r="B30" s="4" t="inlineStr">
        <is>
          <t>GRO1110</t>
        </is>
      </c>
      <c r="C30" s="4" t="inlineStr">
        <is>
          <t>Szövet edény 7 liter, Smart Pot klón légáteresztő textilcserép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Szövet- / textilcserép (Smart Pot típus)</t>
        </is>
      </c>
    </row>
    <row r="31">
      <c r="A31" s="4" t="n">
        <v>5</v>
      </c>
      <c r="B31" s="4" t="inlineStr">
        <is>
          <t>GRO1111</t>
        </is>
      </c>
      <c r="C31" s="4" t="inlineStr">
        <is>
          <t>Szövet edény 10 liter, Smart Pot klón légáteresztő textilcserép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Szövet- / textilcserép (Smart Pot típus)</t>
        </is>
      </c>
    </row>
    <row r="32">
      <c r="A32" s="4" t="n">
        <v>6</v>
      </c>
      <c r="B32" s="4" t="inlineStr">
        <is>
          <t>GRO2492</t>
        </is>
      </c>
      <c r="C32" s="4" t="inlineStr">
        <is>
          <t>Szövet edény 1 liter, Smart Pot klón légáteresztő textilcserép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Szövet- / textilcserép (Smart Pot típus)</t>
        </is>
      </c>
    </row>
    <row r="33">
      <c r="A33" s="4" t="n">
        <v>7</v>
      </c>
      <c r="B33" s="4" t="inlineStr">
        <is>
          <t>GRO2572</t>
        </is>
      </c>
      <c r="C33" s="4" t="inlineStr">
        <is>
          <t>Szövet edény 50 liter, Smart Pot klón légáteresztő textilcserép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Nagy szövetcserép, 39–550 l</t>
        </is>
      </c>
    </row>
    <row r="34">
      <c r="A34" s="4" t="n">
        <v>8</v>
      </c>
      <c r="B34" s="4" t="inlineStr">
        <is>
          <t>GRO3225</t>
        </is>
      </c>
      <c r="C34" s="4" t="inlineStr">
        <is>
          <t>Urban Garden szövetcserép 4 liter, légáteresztő textil termesztőedény (14 x 14 x 20 cm)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Szövet- / textilcserép (Smart Pot típus)</t>
        </is>
      </c>
    </row>
    <row r="35">
      <c r="A35" s="4" t="n">
        <v>9</v>
      </c>
      <c r="B35" s="4" t="inlineStr">
        <is>
          <t>GRO3226</t>
        </is>
      </c>
      <c r="C35" s="4" t="inlineStr">
        <is>
          <t>Urban Garden szövetcserép 8 liter, légáteresztő textil termesztőedény (18 x 18 x 25,5 cm)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Szövet- / textilcserép (Smart Pot típus)</t>
        </is>
      </c>
    </row>
    <row r="36">
      <c r="A36" s="4" t="n">
        <v>10</v>
      </c>
      <c r="B36" s="4" t="inlineStr">
        <is>
          <t>GRO3227</t>
        </is>
      </c>
      <c r="C36" s="4" t="inlineStr">
        <is>
          <t>Urban Garden szövetcserép 11 liter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Szövet- / textilcserép (Smart Pot típus)</t>
        </is>
      </c>
    </row>
    <row r="37">
      <c r="A37" s="4" t="n">
        <v>11</v>
      </c>
      <c r="B37" s="4" t="inlineStr">
        <is>
          <t>GRO3228</t>
        </is>
      </c>
      <c r="C37" s="4" t="inlineStr">
        <is>
          <t>Urban Garden szövetcserép 15 liter, légáteresztő textil termesztőedény (23 x 23 x 29,5 cm)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Szövet- / textilcserép (Smart Pot típus)</t>
        </is>
      </c>
    </row>
    <row r="38">
      <c r="A38" s="4" t="n">
        <v>12</v>
      </c>
      <c r="B38" s="4" t="inlineStr">
        <is>
          <t>GRO3229</t>
        </is>
      </c>
      <c r="C38" s="4" t="inlineStr">
        <is>
          <t>Urban Garden szövetcserép 25 liter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Szövet- / textilcserép (Smart Pot típus)</t>
        </is>
      </c>
    </row>
    <row r="39">
      <c r="A39" s="4" t="n">
        <v>13</v>
      </c>
      <c r="B39" s="4" t="inlineStr">
        <is>
          <t>GRO3230</t>
        </is>
      </c>
      <c r="C39" s="4" t="inlineStr">
        <is>
          <t>Urban Garden szövetcserép 39 liter, légáteresztő textil termesztőedény (33 x 33 x 36 cm)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Nagy szövetcserép, 39–550 l</t>
        </is>
      </c>
    </row>
    <row r="40">
      <c r="A40" s="4" t="n">
        <v>14</v>
      </c>
      <c r="B40" s="4" t="inlineStr">
        <is>
          <t>GRO3664</t>
        </is>
      </c>
      <c r="C40" s="4" t="inlineStr">
        <is>
          <t>Urban Garden szövetcserép 2 liter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Szövet- / textilcserép (Smart Pot típus)</t>
        </is>
      </c>
    </row>
    <row r="41">
      <c r="A41" s="4" t="n">
        <v>15</v>
      </c>
      <c r="B41" s="4" t="inlineStr">
        <is>
          <t>GRO3665</t>
        </is>
      </c>
      <c r="C41" s="4" t="inlineStr">
        <is>
          <t>Urban Garden szövetcserép 19 liter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Szövet- / textilcserép (Smart Pot típus)</t>
        </is>
      </c>
    </row>
    <row r="42">
      <c r="A42" s="4" t="n">
        <v>16</v>
      </c>
      <c r="B42" s="4" t="inlineStr">
        <is>
          <t>GRO3666</t>
        </is>
      </c>
      <c r="C42" s="4" t="inlineStr">
        <is>
          <t>Urban Garden szövetcserép 55 liter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Nagy szövetcserép, 39–550 l</t>
        </is>
      </c>
    </row>
    <row r="43">
      <c r="A43" s="4" t="n">
        <v>17</v>
      </c>
      <c r="B43" s="4" t="inlineStr">
        <is>
          <t>GRO3667</t>
        </is>
      </c>
      <c r="C43" s="4" t="inlineStr">
        <is>
          <t>Urban Garden szövetcserép 75 liter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Nagy szövetcserép, 39–550 l</t>
        </is>
      </c>
    </row>
    <row r="44">
      <c r="A44" s="4" t="n">
        <v>18</v>
      </c>
      <c r="B44" s="4" t="inlineStr">
        <is>
          <t>GRO3668</t>
        </is>
      </c>
      <c r="C44" s="4" t="inlineStr">
        <is>
          <t>Urban Garden szövetcserép 95 liter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Nagy szövetcserép, 39–550 l</t>
        </is>
      </c>
    </row>
    <row r="45">
      <c r="A45" s="4" t="n">
        <v>19</v>
      </c>
      <c r="B45" s="4" t="inlineStr">
        <is>
          <t>GRO3669</t>
        </is>
      </c>
      <c r="C45" s="4" t="inlineStr">
        <is>
          <t>Urban Garden szövetcserép 150 liter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Nagy szövetcserép, 39–550 l</t>
        </is>
      </c>
    </row>
    <row r="46">
      <c r="A46" s="4" t="n">
        <v>20</v>
      </c>
      <c r="B46" s="4" t="inlineStr">
        <is>
          <t>GRO3670</t>
        </is>
      </c>
      <c r="C46" s="4" t="inlineStr">
        <is>
          <t>Urban Garden szövetcserép 225 liter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Nagy szövetcserép, 39–550 l</t>
        </is>
      </c>
    </row>
    <row r="47">
      <c r="A47" s="4" t="n">
        <v>21</v>
      </c>
      <c r="B47" s="4" t="inlineStr">
        <is>
          <t>GRO3671</t>
        </is>
      </c>
      <c r="C47" s="4" t="inlineStr">
        <is>
          <t>Urban Garden szövetcserép 300 liter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Nagy szövetcserép, 39–550 l</t>
        </is>
      </c>
    </row>
    <row r="48">
      <c r="A48" s="4" t="n">
        <v>22</v>
      </c>
      <c r="B48" s="4" t="inlineStr">
        <is>
          <t>GRO3672</t>
        </is>
      </c>
      <c r="C48" s="4" t="inlineStr">
        <is>
          <t>Urban Garden szövetcserép 550 liter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Nagy szövetcserép, 39–550 l</t>
        </is>
      </c>
    </row>
    <row r="49">
      <c r="A49" s="4" t="n">
        <v>23</v>
      </c>
      <c r="B49" s="4" t="inlineStr">
        <is>
          <t>GRO4131</t>
        </is>
      </c>
      <c r="C49" s="4" t="inlineStr">
        <is>
          <t>Garden Highpro szövetcserép (7 liter)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Szövet- / textilcserép (Smart Pot típus)</t>
        </is>
      </c>
    </row>
    <row r="50">
      <c r="A50" s="4" t="n">
        <v>24</v>
      </c>
      <c r="B50" s="4" t="inlineStr">
        <is>
          <t>GRO4132</t>
        </is>
      </c>
      <c r="C50" s="4" t="inlineStr">
        <is>
          <t>Garden Highpro szövetcserép fogantyúval (15 liter)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Szövet- / textilcserép (Smart Pot típus)</t>
        </is>
      </c>
    </row>
    <row r="51">
      <c r="A51" s="4" t="n">
        <v>25</v>
      </c>
      <c r="B51" s="4" t="inlineStr">
        <is>
          <t>GRO4297</t>
        </is>
      </c>
      <c r="C51" s="4" t="inlineStr">
        <is>
          <t>AC Infinity szövetcserép 5 db 19 L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Szövet- / textilcserép (Smart Pot típus)</t>
        </is>
      </c>
    </row>
    <row r="52">
      <c r="A52" s="4" t="n">
        <v>26</v>
      </c>
      <c r="B52" s="4" t="inlineStr">
        <is>
          <t>GRO4324</t>
        </is>
      </c>
      <c r="C52" s="4" t="inlineStr">
        <is>
          <t>AC Infinity szövetcserép 5 db 11 L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Szövet- / textilcserép (Smart Pot típus)</t>
        </is>
      </c>
    </row>
    <row r="53">
      <c r="A53" s="7" t="n">
        <v>27</v>
      </c>
      <c r="B53" s="7" t="inlineStr">
        <is>
          <t>GRO4696</t>
        </is>
      </c>
      <c r="C53" s="7" t="inlineStr">
        <is>
          <t>UGro Coco Pot4 Basic kókuszrost ültetőzsák 4 L, préselt kókusztömb</t>
        </is>
      </c>
      <c r="D53" s="7" t="inlineStr">
        <is>
          <t>Másodlagos</t>
        </is>
      </c>
      <c r="E53" s="7" t="inlineStr">
        <is>
          <t>Laza</t>
        </is>
      </c>
      <c r="F53" s="7" t="inlineStr">
        <is>
          <t>Kókuszrost ültetőzsák (közeg + edény)</t>
        </is>
      </c>
    </row>
    <row r="54">
      <c r="A54" s="7" t="n">
        <v>28</v>
      </c>
      <c r="B54" s="7" t="inlineStr">
        <is>
          <t>GRO4698</t>
        </is>
      </c>
      <c r="C54" s="7" t="inlineStr">
        <is>
          <t>Kókuszrost ültetőzsák UGro Coco Pot9 Basic 9 L, préselt kókusztömb</t>
        </is>
      </c>
      <c r="D54" s="7" t="inlineStr">
        <is>
          <t>Másodlagos</t>
        </is>
      </c>
      <c r="E54" s="7" t="inlineStr">
        <is>
          <t>Laza</t>
        </is>
      </c>
      <c r="F54" s="7" t="inlineStr">
        <is>
          <t>Kókuszrost ültetőzsák (közeg + edény)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Cserépalátét  –  fő kulcsszó: „cserépalátét”</t>
        </is>
      </c>
    </row>
    <row r="2">
      <c r="A2" s="2" t="inlineStr">
        <is>
          <t>Felhasználási terület: Cserép alá – vízfelfogás, gurulós alátét</t>
        </is>
      </c>
    </row>
    <row r="3">
      <c r="A3" s="2" t="inlineStr">
        <is>
          <t>Megjegyzés: A „cserépalátét” és a „cserép alátét” egyenként 260; a „virágcserép alátéttel” (140) a cseréppel együtt vásárlót jelenti – a Virágcserép kategóriában is említendő.</t>
        </is>
      </c>
    </row>
    <row r="4">
      <c r="A4" s="2" t="inlineStr">
        <is>
          <t>Felvett releváns kulcsszavak: 23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cserépalátét</t>
        </is>
      </c>
      <c r="C7" s="5" t="n">
        <v>260</v>
      </c>
      <c r="D7" s="4" t="inlineStr">
        <is>
          <t>Szoros</t>
        </is>
      </c>
      <c r="E7" s="4" t="inlineStr">
        <is>
          <t>Igen</t>
        </is>
      </c>
      <c r="F7" s="4" t="inlineStr">
        <is>
          <t>Cserép alá – vízfelfogás, gurulós alátét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alátét</t>
        </is>
      </c>
      <c r="C8" s="21" t="n">
        <v>720</v>
      </c>
      <c r="D8" s="11" t="inlineStr">
        <is>
          <t>Laza</t>
        </is>
      </c>
      <c r="E8" s="11" t="inlineStr">
        <is>
          <t>Nem</t>
        </is>
      </c>
      <c r="F8" s="11" t="inlineStr">
        <is>
          <t>Cserép alá – vízfelfogás, gurulós alátét</t>
        </is>
      </c>
      <c r="G8" s="11" t="inlineStr">
        <is>
          <t>Nem célozni külön oldallal (max. említés)</t>
        </is>
      </c>
    </row>
    <row r="9">
      <c r="A9" s="12" t="n">
        <v>3</v>
      </c>
      <c r="B9" s="12" t="inlineStr">
        <is>
          <t>obi cserépalátét</t>
        </is>
      </c>
      <c r="C9" s="22" t="n">
        <v>320</v>
      </c>
      <c r="D9" s="12" t="inlineStr">
        <is>
          <t>Nincs (áruházi / nem vásárlási szándék)</t>
        </is>
      </c>
      <c r="E9" s="12" t="inlineStr">
        <is>
          <t>Nem – kizárandó</t>
        </is>
      </c>
      <c r="F9" s="12" t="inlineStr">
        <is>
          <t>Cserép alá – vízfelfogás, gurulós alátét</t>
        </is>
      </c>
      <c r="G9" s="12" t="inlineStr">
        <is>
          <t>Nem használni (áruházi/nem vásárlási szándék)</t>
        </is>
      </c>
    </row>
    <row r="10">
      <c r="A10" s="4" t="n">
        <v>4</v>
      </c>
      <c r="B10" s="4" t="inlineStr">
        <is>
          <t>cserép alátét</t>
        </is>
      </c>
      <c r="C10" s="5" t="n">
        <v>260</v>
      </c>
      <c r="D10" s="4" t="inlineStr">
        <is>
          <t>Szoros</t>
        </is>
      </c>
      <c r="E10" s="4" t="inlineStr">
        <is>
          <t>Igen</t>
        </is>
      </c>
      <c r="F10" s="4" t="inlineStr">
        <is>
          <t>Cserép alá – vízfelfogás, gurulós alátét</t>
        </is>
      </c>
      <c r="G10" s="4" t="inlineStr">
        <is>
          <t>SEO title / H1 / bevezető (másodlagos)</t>
        </is>
      </c>
    </row>
    <row r="11">
      <c r="A11" s="7" t="n">
        <v>5</v>
      </c>
      <c r="B11" s="7" t="inlineStr">
        <is>
          <t>gurulós virágtartó</t>
        </is>
      </c>
      <c r="C11" s="8" t="n">
        <v>260</v>
      </c>
      <c r="D11" s="7" t="inlineStr">
        <is>
          <t>Laza</t>
        </is>
      </c>
      <c r="E11" s="7" t="inlineStr">
        <is>
          <t>Igen</t>
        </is>
      </c>
      <c r="F11" s="7" t="inlineStr">
        <is>
          <t>Cserép alá – vízfelfogás, gurulós alátét</t>
        </is>
      </c>
      <c r="G11" s="7" t="inlineStr">
        <is>
          <t>Kategórialeírás (természetes említés)</t>
        </is>
      </c>
    </row>
    <row r="12">
      <c r="A12" s="4" t="n">
        <v>6</v>
      </c>
      <c r="B12" s="4" t="inlineStr">
        <is>
          <t>virágcserép alátét</t>
        </is>
      </c>
      <c r="C12" s="5" t="n">
        <v>140</v>
      </c>
      <c r="D12" s="4" t="inlineStr">
        <is>
          <t>Szoros</t>
        </is>
      </c>
      <c r="E12" s="4" t="inlineStr">
        <is>
          <t>Igen</t>
        </is>
      </c>
      <c r="F12" s="4" t="inlineStr">
        <is>
          <t>Cserép alá – vízfelfogás, gurulós alátét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virágcserép alátéttel</t>
        </is>
      </c>
      <c r="C13" s="5" t="n">
        <v>140</v>
      </c>
      <c r="D13" s="4" t="inlineStr">
        <is>
          <t>Szoros</t>
        </is>
      </c>
      <c r="E13" s="4" t="inlineStr">
        <is>
          <t>Igen</t>
        </is>
      </c>
      <c r="F13" s="4" t="inlineStr">
        <is>
          <t>Cserép alá – vízfelfogás, gurulós alátét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műanyag cserépalátét</t>
        </is>
      </c>
      <c r="C14" s="5" t="n">
        <v>110</v>
      </c>
      <c r="D14" s="4" t="inlineStr">
        <is>
          <t>Szoros</t>
        </is>
      </c>
      <c r="E14" s="4" t="inlineStr">
        <is>
          <t>Igen</t>
        </is>
      </c>
      <c r="F14" s="4" t="inlineStr">
        <is>
          <t>Cserép alá – vízfelfogás, gurulós alátét</t>
        </is>
      </c>
      <c r="G14" s="4" t="inlineStr">
        <is>
          <t>SEO title / H1 / bevezető (másodlagos)</t>
        </is>
      </c>
    </row>
    <row r="15">
      <c r="A15" s="11" t="n">
        <v>9</v>
      </c>
      <c r="B15" s="11" t="inlineStr">
        <is>
          <t>kerámia cserépalátét</t>
        </is>
      </c>
      <c r="C15" s="21" t="n">
        <v>90</v>
      </c>
      <c r="D15" s="11" t="inlineStr">
        <is>
          <t>Laza</t>
        </is>
      </c>
      <c r="E15" s="11" t="inlineStr">
        <is>
          <t>Nem</t>
        </is>
      </c>
      <c r="F15" s="11" t="inlineStr">
        <is>
          <t>Cserép alá – vízfelfogás, gurulós alátét</t>
        </is>
      </c>
      <c r="G15" s="11" t="inlineStr">
        <is>
          <t>Nem célozni külön oldallal (max. említés)</t>
        </is>
      </c>
    </row>
    <row r="16">
      <c r="A16" s="7" t="n">
        <v>10</v>
      </c>
      <c r="B16" s="7" t="inlineStr">
        <is>
          <t>gurulós virágállvány</t>
        </is>
      </c>
      <c r="C16" s="8" t="n">
        <v>70</v>
      </c>
      <c r="D16" s="7" t="inlineStr">
        <is>
          <t>Laza</t>
        </is>
      </c>
      <c r="E16" s="7" t="inlineStr">
        <is>
          <t>Igen</t>
        </is>
      </c>
      <c r="F16" s="7" t="inlineStr">
        <is>
          <t>Cserép alá – vízfelfogás, gurulós alátét</t>
        </is>
      </c>
      <c r="G16" s="7" t="inlineStr">
        <is>
          <t>Kategórialeírás (természetes említés)</t>
        </is>
      </c>
    </row>
    <row r="17">
      <c r="A17" s="11" t="n">
        <v>11</v>
      </c>
      <c r="B17" s="11" t="inlineStr">
        <is>
          <t>agyag cserépalátét</t>
        </is>
      </c>
      <c r="C17" s="21" t="n">
        <v>70</v>
      </c>
      <c r="D17" s="11" t="inlineStr">
        <is>
          <t>Laza</t>
        </is>
      </c>
      <c r="E17" s="11" t="inlineStr">
        <is>
          <t>Nem</t>
        </is>
      </c>
      <c r="F17" s="11" t="inlineStr">
        <is>
          <t>Cserép alá – vízfelfogás, gurulós alátét</t>
        </is>
      </c>
      <c r="G17" s="11" t="inlineStr">
        <is>
          <t>Nem célozni külön oldallal (max. említés)</t>
        </is>
      </c>
    </row>
    <row r="18">
      <c r="A18" s="4" t="n">
        <v>12</v>
      </c>
      <c r="B18" s="4" t="inlineStr">
        <is>
          <t>virágcserép alátét 60 cm</t>
        </is>
      </c>
      <c r="C18" s="5" t="n">
        <v>50</v>
      </c>
      <c r="D18" s="4" t="inlineStr">
        <is>
          <t>Szoros</t>
        </is>
      </c>
      <c r="E18" s="4" t="inlineStr">
        <is>
          <t>Igen</t>
        </is>
      </c>
      <c r="F18" s="4" t="inlineStr">
        <is>
          <t>Cserép alá – vízfelfogás, gurulós alátét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cserépalátét 80 cm</t>
        </is>
      </c>
      <c r="C19" s="5" t="n">
        <v>50</v>
      </c>
      <c r="D19" s="4" t="inlineStr">
        <is>
          <t>Szoros</t>
        </is>
      </c>
      <c r="E19" s="4" t="inlineStr">
        <is>
          <t>Igen</t>
        </is>
      </c>
      <c r="F19" s="4" t="inlineStr">
        <is>
          <t>Cserép alá – vízfelfogás, gurulós alátét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cserépalátét 60 cm</t>
        </is>
      </c>
      <c r="C20" s="5" t="n">
        <v>40</v>
      </c>
      <c r="D20" s="4" t="inlineStr">
        <is>
          <t>Szoros</t>
        </is>
      </c>
      <c r="E20" s="4" t="inlineStr">
        <is>
          <t>Igen</t>
        </is>
      </c>
      <c r="F20" s="4" t="inlineStr">
        <is>
          <t>Cserép alá – vízfelfogás, gurulós alátét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cserépalátét 50 cm</t>
        </is>
      </c>
      <c r="C21" s="5" t="n">
        <v>30</v>
      </c>
      <c r="D21" s="4" t="inlineStr">
        <is>
          <t>Szoros</t>
        </is>
      </c>
      <c r="E21" s="4" t="inlineStr">
        <is>
          <t>Igen</t>
        </is>
      </c>
      <c r="F21" s="4" t="inlineStr">
        <is>
          <t>Cserép alá – vízfelfogás, gurulós alátét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virágcserép alátét 50 cm</t>
        </is>
      </c>
      <c r="C22" s="5" t="n">
        <v>30</v>
      </c>
      <c r="D22" s="4" t="inlineStr">
        <is>
          <t>Szoros</t>
        </is>
      </c>
      <c r="E22" s="4" t="inlineStr">
        <is>
          <t>Igen</t>
        </is>
      </c>
      <c r="F22" s="4" t="inlineStr">
        <is>
          <t>Cserép alá – vízfelfogás, gurulós alátét</t>
        </is>
      </c>
      <c r="G22" s="4" t="inlineStr">
        <is>
          <t>Kategórialeírás (természetes említés)</t>
        </is>
      </c>
    </row>
    <row r="23">
      <c r="A23" s="7" t="n">
        <v>17</v>
      </c>
      <c r="B23" s="7" t="inlineStr">
        <is>
          <t>gurulós alátét</t>
        </is>
      </c>
      <c r="C23" s="8" t="n">
        <v>30</v>
      </c>
      <c r="D23" s="7" t="inlineStr">
        <is>
          <t>Laza</t>
        </is>
      </c>
      <c r="E23" s="7" t="inlineStr">
        <is>
          <t>Igen</t>
        </is>
      </c>
      <c r="F23" s="7" t="inlineStr">
        <is>
          <t>Cserép alá – vízfelfogás, gurulós alátét</t>
        </is>
      </c>
      <c r="G23" s="7" t="inlineStr">
        <is>
          <t>Kategórialeírás (természetes említés)</t>
        </is>
      </c>
    </row>
    <row r="24">
      <c r="A24" s="7" t="n">
        <v>18</v>
      </c>
      <c r="B24" s="7" t="inlineStr">
        <is>
          <t>guruló virágtartó</t>
        </is>
      </c>
      <c r="C24" s="8" t="n">
        <v>30</v>
      </c>
      <c r="D24" s="7" t="inlineStr">
        <is>
          <t>Laza</t>
        </is>
      </c>
      <c r="E24" s="7" t="inlineStr">
        <is>
          <t>Igen</t>
        </is>
      </c>
      <c r="F24" s="7" t="inlineStr">
        <is>
          <t>Cserép alá – vízfelfogás, gurulós alátét</t>
        </is>
      </c>
      <c r="G24" s="7" t="inlineStr">
        <is>
          <t>Kategórialeírás (természetes említés)</t>
        </is>
      </c>
    </row>
    <row r="25">
      <c r="A25" s="4" t="n">
        <v>19</v>
      </c>
      <c r="B25" s="4" t="inlineStr">
        <is>
          <t>műanyag virágcserép alátét</t>
        </is>
      </c>
      <c r="C25" s="5" t="n">
        <v>20</v>
      </c>
      <c r="D25" s="4" t="inlineStr">
        <is>
          <t>Szoros</t>
        </is>
      </c>
      <c r="E25" s="4" t="inlineStr">
        <is>
          <t>Igen</t>
        </is>
      </c>
      <c r="F25" s="4" t="inlineStr">
        <is>
          <t>Cserép alá – vízfelfogás, gurulós alátét</t>
        </is>
      </c>
      <c r="G25" s="4" t="inlineStr">
        <is>
          <t>Kategórialeírás (természetes említés)</t>
        </is>
      </c>
    </row>
    <row r="26">
      <c r="A26" s="4" t="n">
        <v>20</v>
      </c>
      <c r="B26" s="4" t="inlineStr">
        <is>
          <t>cserépalátét 70 cm</t>
        </is>
      </c>
      <c r="C26" s="5" t="n">
        <v>10</v>
      </c>
      <c r="D26" s="4" t="inlineStr">
        <is>
          <t>Szoros</t>
        </is>
      </c>
      <c r="E26" s="4" t="inlineStr">
        <is>
          <t>Igen</t>
        </is>
      </c>
      <c r="F26" s="4" t="inlineStr">
        <is>
          <t>Cserép alá – vízfelfogás, gurulós alátét</t>
        </is>
      </c>
      <c r="G26" s="4" t="inlineStr">
        <is>
          <t>Kategórialeírás (természetes említés)</t>
        </is>
      </c>
    </row>
    <row r="27">
      <c r="A27" s="4" t="n">
        <v>21</v>
      </c>
      <c r="B27" s="4" t="inlineStr">
        <is>
          <t>műanyag virágláda alátét</t>
        </is>
      </c>
      <c r="C27" s="5" t="n">
        <v>10</v>
      </c>
      <c r="D27" s="4" t="inlineStr">
        <is>
          <t>Szoros</t>
        </is>
      </c>
      <c r="E27" s="4" t="inlineStr">
        <is>
          <t>Igen</t>
        </is>
      </c>
      <c r="F27" s="4" t="inlineStr">
        <is>
          <t>Cserép alá – vízfelfogás, gurulós alátét</t>
        </is>
      </c>
      <c r="G27" s="4" t="inlineStr">
        <is>
          <t>Kategórialeírás (természetes említés)</t>
        </is>
      </c>
    </row>
    <row r="28">
      <c r="A28" s="4" t="n">
        <v>22</v>
      </c>
      <c r="B28" s="4" t="inlineStr">
        <is>
          <t>gurulós virágcserép alátét</t>
        </is>
      </c>
      <c r="C28" s="5" t="n">
        <v>10</v>
      </c>
      <c r="D28" s="4" t="inlineStr">
        <is>
          <t>Szoros</t>
        </is>
      </c>
      <c r="E28" s="4" t="inlineStr">
        <is>
          <t>Igen</t>
        </is>
      </c>
      <c r="F28" s="4" t="inlineStr">
        <is>
          <t>Cserép alá – vízfelfogás, gurulós alátét</t>
        </is>
      </c>
      <c r="G28" s="4" t="inlineStr">
        <is>
          <t>Kategórialeírás (természetes említés)</t>
        </is>
      </c>
    </row>
    <row r="29">
      <c r="A29" s="4" t="n">
        <v>23</v>
      </c>
      <c r="B29" s="4" t="inlineStr">
        <is>
          <t>virágcserép alátét méretek</t>
        </is>
      </c>
      <c r="C29" s="5" t="n">
        <v>10</v>
      </c>
      <c r="D29" s="4" t="inlineStr">
        <is>
          <t>Szoros</t>
        </is>
      </c>
      <c r="E29" s="4" t="inlineStr">
        <is>
          <t>Igen</t>
        </is>
      </c>
      <c r="F29" s="4" t="inlineStr">
        <is>
          <t>Cserép alá – vízfelfogás, gurulós alátét</t>
        </is>
      </c>
      <c r="G29" s="4" t="inlineStr">
        <is>
          <t>Leírás alsó része, GYIK vagy blog</t>
        </is>
      </c>
    </row>
    <row r="30">
      <c r="B30" s="10" t="inlineStr">
        <is>
          <t>Összesen (érdemes rá oldal = Igen):</t>
        </is>
      </c>
      <c r="C30" s="23">
        <f>SUMIFS(C7:C29,E7:E29,"Igen")</f>
        <v/>
      </c>
    </row>
    <row r="32">
      <c r="A32" s="10" t="inlineStr">
        <is>
          <t>Termékek a jelenlegi kínálatból: 40 db (elsődleges + másodlagos hozzárendelés; egy termék több kategóriában is szerepelhet)</t>
        </is>
      </c>
    </row>
    <row r="33">
      <c r="A33" s="3" t="inlineStr">
        <is>
          <t>#</t>
        </is>
      </c>
      <c r="B33" s="3" t="inlineStr">
        <is>
          <t>Termékkód</t>
        </is>
      </c>
      <c r="C33" s="3" t="inlineStr">
        <is>
          <t>Terméknév</t>
        </is>
      </c>
      <c r="D33" s="3" t="inlineStr">
        <is>
          <t>Hozzárendelés</t>
        </is>
      </c>
      <c r="E33" s="3" t="inlineStr">
        <is>
          <t>Illeszkedés</t>
        </is>
      </c>
      <c r="F33" s="3" t="inlineStr">
        <is>
          <t>Megjegyzés</t>
        </is>
      </c>
    </row>
    <row r="34">
      <c r="A34" s="4" t="n">
        <v>1</v>
      </c>
      <c r="B34" s="4" t="inlineStr">
        <is>
          <t>GRO1049</t>
        </is>
      </c>
      <c r="C34" s="4" t="inlineStr">
        <is>
          <t>Szögletes műanyag virágcserép alátét 16 x 16 cm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Szögletes cserépalátét</t>
        </is>
      </c>
    </row>
    <row r="35">
      <c r="A35" s="4" t="n">
        <v>2</v>
      </c>
      <c r="B35" s="4" t="inlineStr">
        <is>
          <t>GRO1184</t>
        </is>
      </c>
      <c r="C35" s="4" t="inlineStr">
        <is>
          <t>Szögletes műanyag virágcserép alátét 13,5 x 13,5 cm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Szögletes cserépalátét</t>
        </is>
      </c>
    </row>
    <row r="36">
      <c r="A36" s="4" t="n">
        <v>3</v>
      </c>
      <c r="B36" s="4" t="inlineStr">
        <is>
          <t>GRO1185</t>
        </is>
      </c>
      <c r="C36" s="4" t="inlineStr">
        <is>
          <t>Szögletes műanyag virágcserép alátét 14 x 14 cm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Szögletes cserépalátét</t>
        </is>
      </c>
    </row>
    <row r="37">
      <c r="A37" s="4" t="n">
        <v>4</v>
      </c>
      <c r="B37" s="4" t="inlineStr">
        <is>
          <t>GRO1190</t>
        </is>
      </c>
      <c r="C37" s="4" t="inlineStr">
        <is>
          <t>Szögletes műanyag virágcserép alátét 24 x 24 cm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Szögletes cserépalátét</t>
        </is>
      </c>
    </row>
    <row r="38">
      <c r="A38" s="4" t="n">
        <v>5</v>
      </c>
      <c r="B38" s="4" t="inlineStr">
        <is>
          <t>GRO1262</t>
        </is>
      </c>
      <c r="C38" s="4" t="inlineStr">
        <is>
          <t>Szögletes műanyag virágcserép alátét 25 x 25 cm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Szögletes cserépalátét</t>
        </is>
      </c>
    </row>
    <row r="39">
      <c r="A39" s="4" t="n">
        <v>6</v>
      </c>
      <c r="B39" s="4" t="inlineStr">
        <is>
          <t>GRO1813</t>
        </is>
      </c>
      <c r="C39" s="4" t="inlineStr">
        <is>
          <t>Szögletes műanyag virágcserép alátét 10,5 x 10,5 cm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Szögletes cserépalátét</t>
        </is>
      </c>
    </row>
    <row r="40">
      <c r="A40" s="4" t="n">
        <v>7</v>
      </c>
      <c r="B40" s="4" t="inlineStr">
        <is>
          <t>GRO1814</t>
        </is>
      </c>
      <c r="C40" s="4" t="inlineStr">
        <is>
          <t>Szögletes műanyag virágcserép alátét 19.5x19.5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Szögletes cserépalátét</t>
        </is>
      </c>
    </row>
    <row r="41">
      <c r="A41" s="4" t="n">
        <v>8</v>
      </c>
      <c r="B41" s="4" t="inlineStr">
        <is>
          <t>GRO2105</t>
        </is>
      </c>
      <c r="C41" s="4" t="inlineStr">
        <is>
          <t>Szögletes műanyag virágcserép alátét 17.5x17.5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Szögletes cserépalátét</t>
        </is>
      </c>
    </row>
    <row r="42">
      <c r="A42" s="4" t="n">
        <v>9</v>
      </c>
      <c r="B42" s="4" t="inlineStr">
        <is>
          <t>GRO2106</t>
        </is>
      </c>
      <c r="C42" s="4" t="inlineStr">
        <is>
          <t>Szögletes műanyag virágcserép alátét 20,5 x 20,5 cm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Szögletes cserépalátét</t>
        </is>
      </c>
    </row>
    <row r="43">
      <c r="A43" s="4" t="n">
        <v>10</v>
      </c>
      <c r="B43" s="4" t="inlineStr">
        <is>
          <t>GRO3717</t>
        </is>
      </c>
      <c r="C43" s="4" t="inlineStr">
        <is>
          <t>Kerek műanyag virágcserép alátét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Kerek cserépalátét</t>
        </is>
      </c>
    </row>
    <row r="44">
      <c r="A44" s="7" t="n">
        <v>11</v>
      </c>
      <c r="B44" s="7" t="inlineStr">
        <is>
          <t>GRO4298</t>
        </is>
      </c>
      <c r="C44" s="7" t="inlineStr">
        <is>
          <t>AC Infinity Víztartályos alátét 4 db 3,7 L (19 L szövetcseréphez)</t>
        </is>
      </c>
      <c r="D44" s="7" t="inlineStr">
        <is>
          <t>Elsődleges</t>
        </is>
      </c>
      <c r="E44" s="7" t="inlineStr">
        <is>
          <t>Laza</t>
        </is>
      </c>
      <c r="F44" s="7" t="inlineStr">
        <is>
          <t>Víztartályos (önöntöző) alátét szövetcseréphez</t>
        </is>
      </c>
    </row>
    <row r="45">
      <c r="A45" s="4" t="n">
        <v>12</v>
      </c>
      <c r="B45" s="4" t="inlineStr">
        <is>
          <t>GRO4408</t>
        </is>
      </c>
      <c r="C45" s="4" t="inlineStr">
        <is>
          <t>Cserépalátét univerzális tálca 72x50 cm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Univerzális alátéttálca</t>
        </is>
      </c>
    </row>
    <row r="46">
      <c r="A46" s="4" t="n">
        <v>13</v>
      </c>
      <c r="B46" s="4" t="inlineStr">
        <is>
          <t>GRO4654</t>
        </is>
      </c>
      <c r="C46" s="4" t="inlineStr">
        <is>
          <t>Kerek cserépalátét fekete, 18 cm átmérővel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Kerek cserépalátét</t>
        </is>
      </c>
    </row>
    <row r="47">
      <c r="A47" s="4" t="n">
        <v>14</v>
      </c>
      <c r="B47" s="4" t="inlineStr">
        <is>
          <t>GRO4655</t>
        </is>
      </c>
      <c r="C47" s="4" t="inlineStr">
        <is>
          <t>Kerek cserépalátét, fekete, 20 cm átmérő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Kerek cserépalátét</t>
        </is>
      </c>
    </row>
    <row r="48">
      <c r="A48" s="4" t="n">
        <v>15</v>
      </c>
      <c r="B48" s="4" t="inlineStr">
        <is>
          <t>GRO4656</t>
        </is>
      </c>
      <c r="C48" s="4" t="inlineStr">
        <is>
          <t>Kerek cserépalátét, fekete, 30 cm átmérő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Kerek cserépalátét</t>
        </is>
      </c>
    </row>
    <row r="49">
      <c r="A49" s="4" t="n">
        <v>16</v>
      </c>
      <c r="B49" s="4" t="inlineStr">
        <is>
          <t>GRO4659</t>
        </is>
      </c>
      <c r="C49" s="4" t="inlineStr">
        <is>
          <t>Fekete kerek cserépalátét, 35 cm átmérő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Kerek cserépalátét</t>
        </is>
      </c>
    </row>
    <row r="50">
      <c r="A50" s="4" t="n">
        <v>17</v>
      </c>
      <c r="B50" s="4" t="inlineStr">
        <is>
          <t>GRO1462</t>
        </is>
      </c>
      <c r="C50" s="4" t="inlineStr">
        <is>
          <t>Garland tálca (12 cm magas) M</t>
        </is>
      </c>
      <c r="D50" s="4" t="inlineStr">
        <is>
          <t>Másodlagos</t>
        </is>
      </c>
      <c r="E50" s="4" t="inlineStr">
        <is>
          <t>Erős</t>
        </is>
      </c>
      <c r="F50" s="4" t="inlineStr">
        <is>
          <t>Garland tálca (5–15 cm perem)</t>
        </is>
      </c>
    </row>
    <row r="51">
      <c r="A51" s="4" t="n">
        <v>18</v>
      </c>
      <c r="B51" s="4" t="inlineStr">
        <is>
          <t>GRO1463</t>
        </is>
      </c>
      <c r="C51" s="4" t="inlineStr">
        <is>
          <t>Garland Titan tálca 100 x 55 x 15 cm, 65 literes, újrahasznosított polipropilén</t>
        </is>
      </c>
      <c r="D51" s="4" t="inlineStr">
        <is>
          <t>Másodlagos</t>
        </is>
      </c>
      <c r="E51" s="4" t="inlineStr">
        <is>
          <t>Erős</t>
        </is>
      </c>
      <c r="F51" s="4" t="inlineStr">
        <is>
          <t>Garland tálca (5–15 cm perem)</t>
        </is>
      </c>
    </row>
    <row r="52">
      <c r="A52" s="4" t="n">
        <v>19</v>
      </c>
      <c r="B52" s="4" t="inlineStr">
        <is>
          <t>GRO1906</t>
        </is>
      </c>
      <c r="C52" s="4" t="inlineStr">
        <is>
          <t>Garland Square négyzetes tálca 59 x 59 x 7 cm (M), fröccsöntött polipropilén</t>
        </is>
      </c>
      <c r="D52" s="4" t="inlineStr">
        <is>
          <t>Másodlagos</t>
        </is>
      </c>
      <c r="E52" s="4" t="inlineStr">
        <is>
          <t>Erős</t>
        </is>
      </c>
      <c r="F52" s="4" t="inlineStr">
        <is>
          <t>Garland tálca (5–15 cm perem)</t>
        </is>
      </c>
    </row>
    <row r="53">
      <c r="A53" s="4" t="n">
        <v>20</v>
      </c>
      <c r="B53" s="4" t="inlineStr">
        <is>
          <t>GRO1907</t>
        </is>
      </c>
      <c r="C53" s="4" t="inlineStr">
        <is>
          <t>Garland Giant tálca 110 x 55 x 5 cm, hosszúkás, fröccsöntött polipropilén</t>
        </is>
      </c>
      <c r="D53" s="4" t="inlineStr">
        <is>
          <t>Másodlagos</t>
        </is>
      </c>
      <c r="E53" s="4" t="inlineStr">
        <is>
          <t>Erős</t>
        </is>
      </c>
      <c r="F53" s="4" t="inlineStr">
        <is>
          <t>Garland tálca (5–15 cm perem)</t>
        </is>
      </c>
    </row>
    <row r="54">
      <c r="A54" s="4" t="n">
        <v>21</v>
      </c>
      <c r="B54" s="4" t="inlineStr">
        <is>
          <t>GRO1908</t>
        </is>
      </c>
      <c r="C54" s="4" t="inlineStr">
        <is>
          <t>Garland tálca (12 cm magas) L</t>
        </is>
      </c>
      <c r="D54" s="4" t="inlineStr">
        <is>
          <t>Másodlagos</t>
        </is>
      </c>
      <c r="E54" s="4" t="inlineStr">
        <is>
          <t>Erős</t>
        </is>
      </c>
      <c r="F54" s="4" t="inlineStr">
        <is>
          <t>Garland tálca (5–15 cm perem)</t>
        </is>
      </c>
    </row>
    <row r="55">
      <c r="A55" s="4" t="n">
        <v>22</v>
      </c>
      <c r="B55" s="4" t="inlineStr">
        <is>
          <t>GRO1909</t>
        </is>
      </c>
      <c r="C55" s="4" t="inlineStr">
        <is>
          <t>Garland tálca 5 cm magas peremmel, XS méret, fröccsöntött polipropilén</t>
        </is>
      </c>
      <c r="D55" s="4" t="inlineStr">
        <is>
          <t>Másodlagos</t>
        </is>
      </c>
      <c r="E55" s="4" t="inlineStr">
        <is>
          <t>Erős</t>
        </is>
      </c>
      <c r="F55" s="4" t="inlineStr">
        <is>
          <t>Garland tálca (5–15 cm perem)</t>
        </is>
      </c>
    </row>
    <row r="56">
      <c r="A56" s="4" t="n">
        <v>23</v>
      </c>
      <c r="B56" s="4" t="inlineStr">
        <is>
          <t>GRO1910</t>
        </is>
      </c>
      <c r="C56" s="4" t="inlineStr">
        <is>
          <t>Garland tálca 5 cm magas peremmel, S méret, fröccsöntött polipropilén</t>
        </is>
      </c>
      <c r="D56" s="4" t="inlineStr">
        <is>
          <t>Másodlagos</t>
        </is>
      </c>
      <c r="E56" s="4" t="inlineStr">
        <is>
          <t>Erős</t>
        </is>
      </c>
      <c r="F56" s="4" t="inlineStr">
        <is>
          <t>Garland tálca (5–15 cm perem)</t>
        </is>
      </c>
    </row>
    <row r="57">
      <c r="A57" s="4" t="n">
        <v>24</v>
      </c>
      <c r="B57" s="4" t="inlineStr">
        <is>
          <t>GRO1911</t>
        </is>
      </c>
      <c r="C57" s="4" t="inlineStr">
        <is>
          <t>Garland tálca 5 cm magas peremmel, XXL méret, fröccsöntött polipropilén</t>
        </is>
      </c>
      <c r="D57" s="4" t="inlineStr">
        <is>
          <t>Másodlagos</t>
        </is>
      </c>
      <c r="E57" s="4" t="inlineStr">
        <is>
          <t>Erős</t>
        </is>
      </c>
      <c r="F57" s="4" t="inlineStr">
        <is>
          <t>Garland tálca (5–15 cm perem)</t>
        </is>
      </c>
    </row>
    <row r="58">
      <c r="A58" s="4" t="n">
        <v>25</v>
      </c>
      <c r="B58" s="4" t="inlineStr">
        <is>
          <t>GRO1912</t>
        </is>
      </c>
      <c r="C58" s="4" t="inlineStr">
        <is>
          <t>Garland tálca (5 cm magas) Garland tálca M (prémium)</t>
        </is>
      </c>
      <c r="D58" s="4" t="inlineStr">
        <is>
          <t>Másodlagos</t>
        </is>
      </c>
      <c r="E58" s="4" t="inlineStr">
        <is>
          <t>Erős</t>
        </is>
      </c>
      <c r="F58" s="4" t="inlineStr">
        <is>
          <t>Garland tálca (5–15 cm perem)</t>
        </is>
      </c>
    </row>
    <row r="59">
      <c r="A59" s="4" t="n">
        <v>26</v>
      </c>
      <c r="B59" s="4" t="inlineStr">
        <is>
          <t>GRO3138</t>
        </is>
      </c>
      <c r="C59" s="4" t="inlineStr">
        <is>
          <t>Garland tálca 12 cm magas peremmel, S méret, fröccsöntött polipropilén</t>
        </is>
      </c>
      <c r="D59" s="4" t="inlineStr">
        <is>
          <t>Másodlagos</t>
        </is>
      </c>
      <c r="E59" s="4" t="inlineStr">
        <is>
          <t>Erős</t>
        </is>
      </c>
      <c r="F59" s="4" t="inlineStr">
        <is>
          <t>Garland tálca (5–15 cm perem)</t>
        </is>
      </c>
    </row>
    <row r="60">
      <c r="A60" s="4" t="n">
        <v>27</v>
      </c>
      <c r="B60" s="4" t="inlineStr">
        <is>
          <t>GRO3773</t>
        </is>
      </c>
      <c r="C60" s="4" t="inlineStr">
        <is>
          <t>Garland tálca (7 cm magas) S</t>
        </is>
      </c>
      <c r="D60" s="4" t="inlineStr">
        <is>
          <t>Másodlagos</t>
        </is>
      </c>
      <c r="E60" s="4" t="inlineStr">
        <is>
          <t>Erős</t>
        </is>
      </c>
      <c r="F60" s="4" t="inlineStr">
        <is>
          <t>Garland tálca (5–15 cm perem)</t>
        </is>
      </c>
    </row>
    <row r="61">
      <c r="A61" s="4" t="n">
        <v>28</v>
      </c>
      <c r="B61" s="4" t="inlineStr">
        <is>
          <t>GRO3774</t>
        </is>
      </c>
      <c r="C61" s="4" t="inlineStr">
        <is>
          <t>Garland tálca (7 cm magas) S (lyukakkal)</t>
        </is>
      </c>
      <c r="D61" s="4" t="inlineStr">
        <is>
          <t>Másodlagos</t>
        </is>
      </c>
      <c r="E61" s="4" t="inlineStr">
        <is>
          <t>Erős</t>
        </is>
      </c>
      <c r="F61" s="4" t="inlineStr">
        <is>
          <t>Garland tálca (5–15 cm perem)</t>
        </is>
      </c>
    </row>
    <row r="62">
      <c r="A62" s="4" t="n">
        <v>29</v>
      </c>
      <c r="B62" s="4" t="inlineStr">
        <is>
          <t>GRO3775</t>
        </is>
      </c>
      <c r="C62" s="4" t="inlineStr">
        <is>
          <t>Garland tálca (5 cm magas) XL</t>
        </is>
      </c>
      <c r="D62" s="4" t="inlineStr">
        <is>
          <t>Másodlagos</t>
        </is>
      </c>
      <c r="E62" s="4" t="inlineStr">
        <is>
          <t>Erős</t>
        </is>
      </c>
      <c r="F62" s="4" t="inlineStr">
        <is>
          <t>Garland tálca (5–15 cm perem)</t>
        </is>
      </c>
    </row>
    <row r="63">
      <c r="A63" s="4" t="n">
        <v>30</v>
      </c>
      <c r="B63" s="4" t="inlineStr">
        <is>
          <t>GRO3776</t>
        </is>
      </c>
      <c r="C63" s="4" t="inlineStr">
        <is>
          <t>Garland tálca (5 cm magas) L</t>
        </is>
      </c>
      <c r="D63" s="4" t="inlineStr">
        <is>
          <t>Másodlagos</t>
        </is>
      </c>
      <c r="E63" s="4" t="inlineStr">
        <is>
          <t>Erős</t>
        </is>
      </c>
      <c r="F63" s="4" t="inlineStr">
        <is>
          <t>Garland tálca (5–15 cm perem)</t>
        </is>
      </c>
    </row>
    <row r="64">
      <c r="A64" s="4" t="n">
        <v>31</v>
      </c>
      <c r="B64" s="4" t="inlineStr">
        <is>
          <t>GRO3777</t>
        </is>
      </c>
      <c r="C64" s="4" t="inlineStr">
        <is>
          <t>Garland tálca (5 cm magas) XXXL</t>
        </is>
      </c>
      <c r="D64" s="4" t="inlineStr">
        <is>
          <t>Másodlagos</t>
        </is>
      </c>
      <c r="E64" s="4" t="inlineStr">
        <is>
          <t>Erős</t>
        </is>
      </c>
      <c r="F64" s="4" t="inlineStr">
        <is>
          <t>Garland tálca (5–15 cm perem)</t>
        </is>
      </c>
    </row>
    <row r="65">
      <c r="A65" s="7" t="n">
        <v>32</v>
      </c>
      <c r="B65" s="7" t="inlineStr">
        <is>
          <t>GRO4349</t>
        </is>
      </c>
      <c r="C65" s="7" t="inlineStr">
        <is>
          <t>Garland Seed keskeny tálca lyukakkal 37x13,5x6 cm</t>
        </is>
      </c>
      <c r="D65" s="7" t="inlineStr">
        <is>
          <t>Másodlagos</t>
        </is>
      </c>
      <c r="E65" s="7" t="inlineStr">
        <is>
          <t>Laza</t>
        </is>
      </c>
      <c r="F65" s="7" t="inlineStr">
        <is>
          <t>Garland Seed / Mini tálca – cserépalátétként is</t>
        </is>
      </c>
    </row>
    <row r="66">
      <c r="A66" s="7" t="n">
        <v>33</v>
      </c>
      <c r="B66" s="7" t="inlineStr">
        <is>
          <t>GRO4350</t>
        </is>
      </c>
      <c r="C66" s="7" t="inlineStr">
        <is>
          <t>Garland Seed keskeny tálca cserépalátét 37x13,5x6 cm</t>
        </is>
      </c>
      <c r="D66" s="7" t="inlineStr">
        <is>
          <t>Másodlagos</t>
        </is>
      </c>
      <c r="E66" s="7" t="inlineStr">
        <is>
          <t>Laza</t>
        </is>
      </c>
      <c r="F66" s="7" t="inlineStr">
        <is>
          <t>Garland Seed / Mini tálca – cserépalátétként is</t>
        </is>
      </c>
    </row>
    <row r="67">
      <c r="A67" s="7" t="n">
        <v>34</v>
      </c>
      <c r="B67" s="7" t="inlineStr">
        <is>
          <t>GRO4351</t>
        </is>
      </c>
      <c r="C67" s="7" t="inlineStr">
        <is>
          <t>Garland Standard Seed tálca cserépalátét lyukakkal 37,5x23x6 cm</t>
        </is>
      </c>
      <c r="D67" s="7" t="inlineStr">
        <is>
          <t>Másodlagos</t>
        </is>
      </c>
      <c r="E67" s="7" t="inlineStr">
        <is>
          <t>Laza</t>
        </is>
      </c>
      <c r="F67" s="7" t="inlineStr">
        <is>
          <t>Garland Seed / Mini tálca – cserépalátétként is</t>
        </is>
      </c>
    </row>
    <row r="68">
      <c r="A68" s="7" t="n">
        <v>35</v>
      </c>
      <c r="B68" s="7" t="inlineStr">
        <is>
          <t>GRO4352</t>
        </is>
      </c>
      <c r="C68" s="7" t="inlineStr">
        <is>
          <t>Garland Midi Garden tálca cserépalátét 37,5x23x6 cm</t>
        </is>
      </c>
      <c r="D68" s="7" t="inlineStr">
        <is>
          <t>Másodlagos</t>
        </is>
      </c>
      <c r="E68" s="7" t="inlineStr">
        <is>
          <t>Laza</t>
        </is>
      </c>
      <c r="F68" s="7" t="inlineStr">
        <is>
          <t>Garland Seed / Mini tálca – cserépalátétként is</t>
        </is>
      </c>
    </row>
    <row r="69">
      <c r="A69" s="7" t="n">
        <v>36</v>
      </c>
      <c r="B69" s="7" t="inlineStr">
        <is>
          <t>GRO4608</t>
        </is>
      </c>
      <c r="C69" s="7" t="inlineStr">
        <is>
          <t>Garland Seed vékonyfalú tálca cserépalátét 5 db 37x23,5x5 cm</t>
        </is>
      </c>
      <c r="D69" s="7" t="inlineStr">
        <is>
          <t>Másodlagos</t>
        </is>
      </c>
      <c r="E69" s="7" t="inlineStr">
        <is>
          <t>Laza</t>
        </is>
      </c>
      <c r="F69" s="7" t="inlineStr">
        <is>
          <t>Garland Seed / Mini tálca – cserépalátétként is</t>
        </is>
      </c>
    </row>
    <row r="70">
      <c r="A70" s="7" t="n">
        <v>37</v>
      </c>
      <c r="B70" s="7" t="inlineStr">
        <is>
          <t>GRO4610</t>
        </is>
      </c>
      <c r="C70" s="7" t="inlineStr">
        <is>
          <t>Garland vékony falú tálca cserépalátét kapilláris szőnyeggel 55x31x3 cm</t>
        </is>
      </c>
      <c r="D70" s="7" t="inlineStr">
        <is>
          <t>Másodlagos</t>
        </is>
      </c>
      <c r="E70" s="7" t="inlineStr">
        <is>
          <t>Laza</t>
        </is>
      </c>
      <c r="F70" s="7" t="inlineStr">
        <is>
          <t>Garland Seed / Mini tálca – cserépalátétként is</t>
        </is>
      </c>
    </row>
    <row r="71">
      <c r="A71" s="7" t="n">
        <v>38</v>
      </c>
      <c r="B71" s="7" t="inlineStr">
        <is>
          <t>GRO4612</t>
        </is>
      </c>
      <c r="C71" s="7" t="inlineStr">
        <is>
          <t>Garland Seed Mini tálca cserépalátét lyukakkal 7x10x5 cm</t>
        </is>
      </c>
      <c r="D71" s="7" t="inlineStr">
        <is>
          <t>Másodlagos</t>
        </is>
      </c>
      <c r="E71" s="7" t="inlineStr">
        <is>
          <t>Laza</t>
        </is>
      </c>
      <c r="F71" s="7" t="inlineStr">
        <is>
          <t>Garland Seed / Mini tálca – cserépalátétként is</t>
        </is>
      </c>
    </row>
    <row r="72">
      <c r="A72" s="7" t="n">
        <v>39</v>
      </c>
      <c r="B72" s="7" t="inlineStr">
        <is>
          <t>GRO4615</t>
        </is>
      </c>
      <c r="C72" s="7" t="inlineStr">
        <is>
          <t>Garland Seed Small tálca lyukakkal cserépalátét 23x17x6 cm</t>
        </is>
      </c>
      <c r="D72" s="7" t="inlineStr">
        <is>
          <t>Másodlagos</t>
        </is>
      </c>
      <c r="E72" s="7" t="inlineStr">
        <is>
          <t>Laza</t>
        </is>
      </c>
      <c r="F72" s="7" t="inlineStr">
        <is>
          <t>Garland Seed / Mini tálca – cserépalátétként is</t>
        </is>
      </c>
    </row>
    <row r="73">
      <c r="A73" s="7" t="n">
        <v>40</v>
      </c>
      <c r="B73" s="7" t="inlineStr">
        <is>
          <t>GRO4616</t>
        </is>
      </c>
      <c r="C73" s="7" t="inlineStr">
        <is>
          <t>Garland Mini tálca cserépalátét 23x17x6 cm</t>
        </is>
      </c>
      <c r="D73" s="7" t="inlineStr">
        <is>
          <t>Másodlagos</t>
        </is>
      </c>
      <c r="E73" s="7" t="inlineStr">
        <is>
          <t>Laza</t>
        </is>
      </c>
      <c r="F73" s="7" t="inlineStr">
        <is>
          <t>Garland Seed / Mini tálca – cserépalátétként is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Műanyag tálca, árapály asztal  –  fő kulcsszó: „nagyméretű műanyag tálca”</t>
        </is>
      </c>
    </row>
    <row r="2">
      <c r="A2" s="2" t="inlineStr">
        <is>
          <t>Felhasználási terület: Gyűjtőtálca termesztősátorba, árapály (ebb &amp; flow) rendszer</t>
        </is>
      </c>
    </row>
    <row r="3">
      <c r="A3" s="2" t="inlineStr">
        <is>
          <t>Megjegyzés: A „gyűjtőtálca”, „növénytálca”, „cserép tálca” kifejezésekre nincs mérhető keresés. A „tálcák” (1000) konyhai, a „csepptálca” (210) és a „kármentő tálca” (480) klíma / ipari. A „szaporító / palántanevelő tálca” a Palántanevelő ágé, a „mikrozöld tálca” a Mikrozöld termesztésé.</t>
        </is>
      </c>
    </row>
    <row r="4">
      <c r="A4" s="2" t="inlineStr">
        <is>
          <t>Felvett releváns kulcsszavak: 21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7" t="n">
        <v>1</v>
      </c>
      <c r="B7" s="7" t="inlineStr">
        <is>
          <t>nagyméretű műanyag tálca</t>
        </is>
      </c>
      <c r="C7" s="8" t="n">
        <v>140</v>
      </c>
      <c r="D7" s="7" t="inlineStr">
        <is>
          <t>Laza</t>
        </is>
      </c>
      <c r="E7" s="7" t="inlineStr">
        <is>
          <t>Igen</t>
        </is>
      </c>
      <c r="F7" s="7" t="inlineStr">
        <is>
          <t>Gyűjtőtálca termesztősátorba, árapály (ebb &amp; flow) rendszer</t>
        </is>
      </c>
      <c r="G7" s="7" t="inlineStr">
        <is>
          <t>Kategórianév + H1 + SEO title (fő kulcsszó)</t>
        </is>
      </c>
    </row>
    <row r="8">
      <c r="A8" s="11" t="n">
        <v>2</v>
      </c>
      <c r="B8" s="11" t="inlineStr">
        <is>
          <t>tálcák</t>
        </is>
      </c>
      <c r="C8" s="21" t="n">
        <v>1000</v>
      </c>
      <c r="D8" s="11" t="inlineStr">
        <is>
          <t>Laza</t>
        </is>
      </c>
      <c r="E8" s="11" t="inlineStr">
        <is>
          <t>Nem</t>
        </is>
      </c>
      <c r="F8" s="11" t="inlineStr">
        <is>
          <t>Gyűjtőtálca termesztősátorba, árapály (ebb &amp; flow) rendszer</t>
        </is>
      </c>
      <c r="G8" s="11" t="inlineStr">
        <is>
          <t>Nem célozni külön oldallal (max. említés)</t>
        </is>
      </c>
    </row>
    <row r="9">
      <c r="A9" s="7" t="n">
        <v>3</v>
      </c>
      <c r="B9" s="7" t="inlineStr">
        <is>
          <t>műanyag tálca</t>
        </is>
      </c>
      <c r="C9" s="8" t="n">
        <v>590</v>
      </c>
      <c r="D9" s="7" t="inlineStr">
        <is>
          <t>Laza</t>
        </is>
      </c>
      <c r="E9" s="7" t="inlineStr">
        <is>
          <t>Igen</t>
        </is>
      </c>
      <c r="F9" s="7" t="inlineStr">
        <is>
          <t>Gyűjtőtálca termesztősátorba, árapály (ebb &amp; flow) rendszer</t>
        </is>
      </c>
      <c r="G9" s="7" t="inlineStr">
        <is>
          <t>SEO title / H1 / bevezető (másodlagos)</t>
        </is>
      </c>
    </row>
    <row r="10">
      <c r="A10" s="11" t="n">
        <v>4</v>
      </c>
      <c r="B10" s="11" t="inlineStr">
        <is>
          <t>kármentő tálca</t>
        </is>
      </c>
      <c r="C10" s="21" t="n">
        <v>480</v>
      </c>
      <c r="D10" s="11" t="inlineStr">
        <is>
          <t>Laza</t>
        </is>
      </c>
      <c r="E10" s="11" t="inlineStr">
        <is>
          <t>Nem</t>
        </is>
      </c>
      <c r="F10" s="11" t="inlineStr">
        <is>
          <t>Gyűjtőtálca termesztősátorba, árapály (ebb &amp; flow) rendszer</t>
        </is>
      </c>
      <c r="G10" s="11" t="inlineStr">
        <is>
          <t>Nem célozni külön oldallal (max. említés)</t>
        </is>
      </c>
    </row>
    <row r="11">
      <c r="A11" s="11" t="n">
        <v>5</v>
      </c>
      <c r="B11" s="11" t="inlineStr">
        <is>
          <t>szaporító tálca</t>
        </is>
      </c>
      <c r="C11" s="21" t="n">
        <v>320</v>
      </c>
      <c r="D11" s="11" t="inlineStr">
        <is>
          <t>Laza</t>
        </is>
      </c>
      <c r="E11" s="11" t="inlineStr">
        <is>
          <t>Nem</t>
        </is>
      </c>
      <c r="F11" s="11" t="inlineStr">
        <is>
          <t>Gyűjtőtálca termesztősátorba, árapály (ebb &amp; flow) rendszer</t>
        </is>
      </c>
      <c r="G11" s="11" t="inlineStr">
        <is>
          <t>Nem célozni külön oldallal (max. említés)</t>
        </is>
      </c>
    </row>
    <row r="12">
      <c r="A12" s="11" t="n">
        <v>6</v>
      </c>
      <c r="B12" s="11" t="inlineStr">
        <is>
          <t>csepptálca</t>
        </is>
      </c>
      <c r="C12" s="21" t="n">
        <v>210</v>
      </c>
      <c r="D12" s="11" t="inlineStr">
        <is>
          <t>Laza</t>
        </is>
      </c>
      <c r="E12" s="11" t="inlineStr">
        <is>
          <t>Nem</t>
        </is>
      </c>
      <c r="F12" s="11" t="inlineStr">
        <is>
          <t>Gyűjtőtálca termesztősátorba, árapály (ebb &amp; flow) rendszer</t>
        </is>
      </c>
      <c r="G12" s="11" t="inlineStr">
        <is>
          <t>Nem célozni külön oldallal (max. említés)</t>
        </is>
      </c>
    </row>
    <row r="13">
      <c r="A13" s="4" t="n">
        <v>7</v>
      </c>
      <c r="B13" s="4" t="inlineStr">
        <is>
          <t>ebb and flow</t>
        </is>
      </c>
      <c r="C13" s="5" t="n">
        <v>70</v>
      </c>
      <c r="D13" s="4" t="inlineStr">
        <is>
          <t>Szoros</t>
        </is>
      </c>
      <c r="E13" s="4" t="inlineStr">
        <is>
          <t>Igen</t>
        </is>
      </c>
      <c r="F13" s="4" t="inlineStr">
        <is>
          <t>Gyűjtőtálca termesztősátorba, árapály (ebb &amp; flow) rendszer</t>
        </is>
      </c>
      <c r="G13" s="4" t="inlineStr">
        <is>
          <t>SEO title / H1 / bevezető (másodlagos)</t>
        </is>
      </c>
    </row>
    <row r="14">
      <c r="A14" s="7" t="n">
        <v>8</v>
      </c>
      <c r="B14" s="7" t="inlineStr">
        <is>
          <t>műanyag csepegtető tálca</t>
        </is>
      </c>
      <c r="C14" s="8" t="n">
        <v>70</v>
      </c>
      <c r="D14" s="7" t="inlineStr">
        <is>
          <t>Laza</t>
        </is>
      </c>
      <c r="E14" s="7" t="inlineStr">
        <is>
          <t>Igen</t>
        </is>
      </c>
      <c r="F14" s="7" t="inlineStr">
        <is>
          <t>Gyűjtőtálca termesztősátorba, árapály (ebb &amp; flow) rendszer</t>
        </is>
      </c>
      <c r="G14" s="7" t="inlineStr">
        <is>
          <t>Kategórialeírás (természetes említés)</t>
        </is>
      </c>
    </row>
    <row r="15">
      <c r="A15" s="4" t="n">
        <v>9</v>
      </c>
      <c r="B15" s="4" t="inlineStr">
        <is>
          <t>árapály asztal</t>
        </is>
      </c>
      <c r="C15" s="5" t="n">
        <v>50</v>
      </c>
      <c r="D15" s="4" t="inlineStr">
        <is>
          <t>Szoros</t>
        </is>
      </c>
      <c r="E15" s="4" t="inlineStr">
        <is>
          <t>Igen</t>
        </is>
      </c>
      <c r="F15" s="4" t="inlineStr">
        <is>
          <t>Gyűjtőtálca termesztősátorba, árapály (ebb &amp; flow) rendszer</t>
        </is>
      </c>
      <c r="G15" s="4" t="inlineStr">
        <is>
          <t>SEO title / H1 / bevezető (másodlagos)</t>
        </is>
      </c>
    </row>
    <row r="16">
      <c r="A16" s="7" t="n">
        <v>10</v>
      </c>
      <c r="B16" s="7" t="inlineStr">
        <is>
          <t>műanyag kármentő tálca</t>
        </is>
      </c>
      <c r="C16" s="8" t="n">
        <v>50</v>
      </c>
      <c r="D16" s="7" t="inlineStr">
        <is>
          <t>Laza</t>
        </is>
      </c>
      <c r="E16" s="7" t="inlineStr">
        <is>
          <t>Igen</t>
        </is>
      </c>
      <c r="F16" s="7" t="inlineStr">
        <is>
          <t>Gyűjtőtálca termesztősátorba, árapály (ebb &amp; flow) rendszer</t>
        </is>
      </c>
      <c r="G16" s="7" t="inlineStr">
        <is>
          <t>Kategórialeírás (természetes említés)</t>
        </is>
      </c>
    </row>
    <row r="17">
      <c r="A17" s="12" t="n">
        <v>11</v>
      </c>
      <c r="B17" s="12" t="inlineStr">
        <is>
          <t>műanyag tálca obi</t>
        </is>
      </c>
      <c r="C17" s="22" t="n">
        <v>50</v>
      </c>
      <c r="D17" s="12" t="inlineStr">
        <is>
          <t>Nincs (áruházi / nem vásárlási szándék)</t>
        </is>
      </c>
      <c r="E17" s="12" t="inlineStr">
        <is>
          <t>Nem – kizárandó</t>
        </is>
      </c>
      <c r="F17" s="12" t="inlineStr">
        <is>
          <t>Gyűjtőtálca termesztősátorba, árapály (ebb &amp; flow) rendszer</t>
        </is>
      </c>
      <c r="G17" s="12" t="inlineStr">
        <is>
          <t>Nem használni (áruházi/nem vásárlási szándék)</t>
        </is>
      </c>
    </row>
    <row r="18">
      <c r="A18" s="7" t="n">
        <v>12</v>
      </c>
      <c r="B18" s="7" t="inlineStr">
        <is>
          <t>nagy műanyag tálca</t>
        </is>
      </c>
      <c r="C18" s="8" t="n">
        <v>40</v>
      </c>
      <c r="D18" s="7" t="inlineStr">
        <is>
          <t>Laza</t>
        </is>
      </c>
      <c r="E18" s="7" t="inlineStr">
        <is>
          <t>Igen</t>
        </is>
      </c>
      <c r="F18" s="7" t="inlineStr">
        <is>
          <t>Gyűjtőtálca termesztősátorba, árapály (ebb &amp; flow) rendszer</t>
        </is>
      </c>
      <c r="G18" s="7" t="inlineStr">
        <is>
          <t>Kategórialeírás (természetes említés)</t>
        </is>
      </c>
    </row>
    <row r="19">
      <c r="A19" s="7" t="n">
        <v>13</v>
      </c>
      <c r="B19" s="7" t="inlineStr">
        <is>
          <t>kármentő tálca műanyag</t>
        </is>
      </c>
      <c r="C19" s="8" t="n">
        <v>40</v>
      </c>
      <c r="D19" s="7" t="inlineStr">
        <is>
          <t>Laza</t>
        </is>
      </c>
      <c r="E19" s="7" t="inlineStr">
        <is>
          <t>Igen</t>
        </is>
      </c>
      <c r="F19" s="7" t="inlineStr">
        <is>
          <t>Gyűjtőtálca termesztősátorba, árapály (ebb &amp; flow) rendszer</t>
        </is>
      </c>
      <c r="G19" s="7" t="inlineStr">
        <is>
          <t>Kategórialeírás (természetes említés)</t>
        </is>
      </c>
    </row>
    <row r="20">
      <c r="A20" s="4" t="n">
        <v>14</v>
      </c>
      <c r="B20" s="4" t="inlineStr">
        <is>
          <t>árapály asztal eladó</t>
        </is>
      </c>
      <c r="C20" s="5" t="n">
        <v>30</v>
      </c>
      <c r="D20" s="4" t="inlineStr">
        <is>
          <t>Szoros</t>
        </is>
      </c>
      <c r="E20" s="4" t="inlineStr">
        <is>
          <t>Igen</t>
        </is>
      </c>
      <c r="F20" s="4" t="inlineStr">
        <is>
          <t>Gyűjtőtálca termesztősátorba, árapály (ebb &amp; flow) rendszer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termesztő tálca</t>
        </is>
      </c>
      <c r="C21" s="5" t="n">
        <v>30</v>
      </c>
      <c r="D21" s="4" t="inlineStr">
        <is>
          <t>Szoros</t>
        </is>
      </c>
      <c r="E21" s="4" t="inlineStr">
        <is>
          <t>Igen</t>
        </is>
      </c>
      <c r="F21" s="4" t="inlineStr">
        <is>
          <t>Gyűjtőtálca termesztősátorba, árapály (ebb &amp; flow) rendszer</t>
        </is>
      </c>
      <c r="G21" s="4" t="inlineStr">
        <is>
          <t>Kategórialeírás (természetes említés)</t>
        </is>
      </c>
    </row>
    <row r="22">
      <c r="A22" s="7" t="n">
        <v>16</v>
      </c>
      <c r="B22" s="7" t="inlineStr">
        <is>
          <t>fekete műanyag tálca</t>
        </is>
      </c>
      <c r="C22" s="8" t="n">
        <v>30</v>
      </c>
      <c r="D22" s="7" t="inlineStr">
        <is>
          <t>Laza</t>
        </is>
      </c>
      <c r="E22" s="7" t="inlineStr">
        <is>
          <t>Igen</t>
        </is>
      </c>
      <c r="F22" s="7" t="inlineStr">
        <is>
          <t>Gyűjtőtálca termesztősátorba, árapály (ebb &amp; flow) rendszer</t>
        </is>
      </c>
      <c r="G22" s="7" t="inlineStr">
        <is>
          <t>Kategórialeírás (természetes említés)</t>
        </is>
      </c>
    </row>
    <row r="23">
      <c r="A23" s="7" t="n">
        <v>17</v>
      </c>
      <c r="B23" s="7" t="inlineStr">
        <is>
          <t>kerek műanyag tálca</t>
        </is>
      </c>
      <c r="C23" s="8" t="n">
        <v>30</v>
      </c>
      <c r="D23" s="7" t="inlineStr">
        <is>
          <t>Laza</t>
        </is>
      </c>
      <c r="E23" s="7" t="inlineStr">
        <is>
          <t>Igen</t>
        </is>
      </c>
      <c r="F23" s="7" t="inlineStr">
        <is>
          <t>Gyűjtőtálca termesztősátorba, árapály (ebb &amp; flow) rendszer</t>
        </is>
      </c>
      <c r="G23" s="7" t="inlineStr">
        <is>
          <t>Kategórialeírás (természetes említés)</t>
        </is>
      </c>
    </row>
    <row r="24">
      <c r="A24" s="4" t="n">
        <v>18</v>
      </c>
      <c r="B24" s="4" t="inlineStr">
        <is>
          <t>növény tálca</t>
        </is>
      </c>
      <c r="C24" s="5" t="n">
        <v>20</v>
      </c>
      <c r="D24" s="4" t="inlineStr">
        <is>
          <t>Szoros</t>
        </is>
      </c>
      <c r="E24" s="4" t="inlineStr">
        <is>
          <t>Igen</t>
        </is>
      </c>
      <c r="F24" s="4" t="inlineStr">
        <is>
          <t>Gyűjtőtálca termesztősátorba, árapály (ebb &amp; flow) rendszer</t>
        </is>
      </c>
      <c r="G24" s="4" t="inlineStr">
        <is>
          <t>Kategórialeírás (természetes említés)</t>
        </is>
      </c>
    </row>
    <row r="25">
      <c r="A25" s="4" t="n">
        <v>19</v>
      </c>
      <c r="B25" s="4" t="inlineStr">
        <is>
          <t>vízgyűjtő tálca</t>
        </is>
      </c>
      <c r="C25" s="5" t="n">
        <v>20</v>
      </c>
      <c r="D25" s="4" t="inlineStr">
        <is>
          <t>Szoros</t>
        </is>
      </c>
      <c r="E25" s="4" t="inlineStr">
        <is>
          <t>Igen</t>
        </is>
      </c>
      <c r="F25" s="4" t="inlineStr">
        <is>
          <t>Gyűjtőtálca termesztősátorba, árapály (ebb &amp; flow) rendszer</t>
        </is>
      </c>
      <c r="G25" s="4" t="inlineStr">
        <is>
          <t>Kategórialeírás (természetes említés)</t>
        </is>
      </c>
    </row>
    <row r="26">
      <c r="A26" s="7" t="n">
        <v>20</v>
      </c>
      <c r="B26" s="7" t="inlineStr">
        <is>
          <t>csepegtető tálca műanyag</t>
        </is>
      </c>
      <c r="C26" s="8" t="n">
        <v>20</v>
      </c>
      <c r="D26" s="7" t="inlineStr">
        <is>
          <t>Laza</t>
        </is>
      </c>
      <c r="E26" s="7" t="inlineStr">
        <is>
          <t>Igen</t>
        </is>
      </c>
      <c r="F26" s="7" t="inlineStr">
        <is>
          <t>Gyűjtőtálca termesztősátorba, árapály (ebb &amp; flow) rendszer</t>
        </is>
      </c>
      <c r="G26" s="7" t="inlineStr">
        <is>
          <t>Kategórialeírás (természetes említés)</t>
        </is>
      </c>
    </row>
    <row r="27">
      <c r="A27" s="4" t="n">
        <v>21</v>
      </c>
      <c r="B27" s="4" t="inlineStr">
        <is>
          <t>kerti tálca</t>
        </is>
      </c>
      <c r="C27" s="5" t="n">
        <v>10</v>
      </c>
      <c r="D27" s="4" t="inlineStr">
        <is>
          <t>Szoros</t>
        </is>
      </c>
      <c r="E27" s="4" t="inlineStr">
        <is>
          <t>Igen</t>
        </is>
      </c>
      <c r="F27" s="4" t="inlineStr">
        <is>
          <t>Gyűjtőtálca termesztősátorba, árapály (ebb &amp; flow) rendszer</t>
        </is>
      </c>
      <c r="G27" s="4" t="inlineStr">
        <is>
          <t>Kategórialeírás (természetes említés)</t>
        </is>
      </c>
    </row>
    <row r="28">
      <c r="B28" s="10" t="inlineStr">
        <is>
          <t>Összesen (érdemes rá oldal = Igen):</t>
        </is>
      </c>
      <c r="C28" s="23">
        <f>SUMIFS(C7:C27,E7:E27,"Igen")</f>
        <v/>
      </c>
    </row>
    <row r="30">
      <c r="A30" s="10" t="inlineStr">
        <is>
          <t>Termékek a jelenlegi kínálatból: 36 db (elsődleges + másodlagos hozzárendelés; egy termék több kategóriában is szerepelhet)</t>
        </is>
      </c>
    </row>
    <row r="31">
      <c r="A31" s="3" t="inlineStr">
        <is>
          <t>#</t>
        </is>
      </c>
      <c r="B31" s="3" t="inlineStr">
        <is>
          <t>Termékkód</t>
        </is>
      </c>
      <c r="C31" s="3" t="inlineStr">
        <is>
          <t>Terméknév</t>
        </is>
      </c>
      <c r="D31" s="3" t="inlineStr">
        <is>
          <t>Hozzárendelés</t>
        </is>
      </c>
      <c r="E31" s="3" t="inlineStr">
        <is>
          <t>Illeszkedés</t>
        </is>
      </c>
      <c r="F31" s="3" t="inlineStr">
        <is>
          <t>Megjegyzés</t>
        </is>
      </c>
    </row>
    <row r="32">
      <c r="A32" s="4" t="n">
        <v>1</v>
      </c>
      <c r="B32" s="4" t="inlineStr">
        <is>
          <t>GRO0054</t>
        </is>
      </c>
      <c r="C32" s="4" t="inlineStr">
        <is>
          <t>Dán tálca apály-dagály alátét 106 x 33 cm árasztásos rendszerhez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Dán tálca – apály-dagály (árapály) rendszer</t>
        </is>
      </c>
    </row>
    <row r="33">
      <c r="A33" s="4" t="n">
        <v>2</v>
      </c>
      <c r="B33" s="4" t="inlineStr">
        <is>
          <t>GRO0056</t>
        </is>
      </c>
      <c r="C33" s="4" t="inlineStr">
        <is>
          <t>Dán tálca apály-dagály alátét 106 x 102 cm árasztásos rendszerhez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Dán tálca – apály-dagály (árapály) rendszer</t>
        </is>
      </c>
    </row>
    <row r="34">
      <c r="A34" s="4" t="n">
        <v>3</v>
      </c>
      <c r="B34" s="4" t="inlineStr">
        <is>
          <t>GRO0057</t>
        </is>
      </c>
      <c r="C34" s="4" t="inlineStr">
        <is>
          <t>Dán tálca apály-dagály alátét 106 x 202 cm árasztásos rendszerhez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Dán tálca – apály-dagály (árapály) rendszer</t>
        </is>
      </c>
    </row>
    <row r="35">
      <c r="A35" s="4" t="n">
        <v>4</v>
      </c>
      <c r="B35" s="4" t="inlineStr">
        <is>
          <t>GRO1417</t>
        </is>
      </c>
      <c r="C35" s="4" t="inlineStr">
        <is>
          <t>Dán tálca apály-dagály alátét 106 x 63 cm árasztásos rendszerhez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Dán tálca – apály-dagály (árapály) rendszer</t>
        </is>
      </c>
    </row>
    <row r="36">
      <c r="A36" s="4" t="n">
        <v>5</v>
      </c>
      <c r="B36" s="4" t="inlineStr">
        <is>
          <t>GRO1462</t>
        </is>
      </c>
      <c r="C36" s="4" t="inlineStr">
        <is>
          <t>Garland tálca (12 cm magas) M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Garland tálca (5–15 cm perem)</t>
        </is>
      </c>
    </row>
    <row r="37">
      <c r="A37" s="4" t="n">
        <v>6</v>
      </c>
      <c r="B37" s="4" t="inlineStr">
        <is>
          <t>GRO1463</t>
        </is>
      </c>
      <c r="C37" s="4" t="inlineStr">
        <is>
          <t>Garland Titan tálca 100 x 55 x 15 cm, 65 literes, újrahasznosított polipropilén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Garland tálca (5–15 cm perem)</t>
        </is>
      </c>
    </row>
    <row r="38">
      <c r="A38" s="7" t="n">
        <v>7</v>
      </c>
      <c r="B38" s="7" t="inlineStr">
        <is>
          <t>GRO1817</t>
        </is>
      </c>
      <c r="C38" s="7" t="inlineStr">
        <is>
          <t>Dán tálca kiegészítő leeresztő szűrő a 106 x 202 cm-es apály-dagály tálcához</t>
        </is>
      </c>
      <c r="D38" s="7" t="inlineStr">
        <is>
          <t>Elsődleges</t>
        </is>
      </c>
      <c r="E38" s="7" t="inlineStr">
        <is>
          <t>Laza</t>
        </is>
      </c>
      <c r="F38" s="7" t="inlineStr">
        <is>
          <t>Dán tálca kiegészítő</t>
        </is>
      </c>
    </row>
    <row r="39">
      <c r="A39" s="4" t="n">
        <v>8</v>
      </c>
      <c r="B39" s="4" t="inlineStr">
        <is>
          <t>GRO1906</t>
        </is>
      </c>
      <c r="C39" s="4" t="inlineStr">
        <is>
          <t>Garland Square négyzetes tálca 59 x 59 x 7 cm (M), fröccsöntött polipropilén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Garland tálca (5–15 cm perem)</t>
        </is>
      </c>
    </row>
    <row r="40">
      <c r="A40" s="4" t="n">
        <v>9</v>
      </c>
      <c r="B40" s="4" t="inlineStr">
        <is>
          <t>GRO1907</t>
        </is>
      </c>
      <c r="C40" s="4" t="inlineStr">
        <is>
          <t>Garland Giant tálca 110 x 55 x 5 cm, hosszúkás, fröccsöntött polipropilén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Garland tálca (5–15 cm perem)</t>
        </is>
      </c>
    </row>
    <row r="41">
      <c r="A41" s="4" t="n">
        <v>10</v>
      </c>
      <c r="B41" s="4" t="inlineStr">
        <is>
          <t>GRO1908</t>
        </is>
      </c>
      <c r="C41" s="4" t="inlineStr">
        <is>
          <t>Garland tálca (12 cm magas) L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Garland tálca (5–15 cm perem)</t>
        </is>
      </c>
    </row>
    <row r="42">
      <c r="A42" s="4" t="n">
        <v>11</v>
      </c>
      <c r="B42" s="4" t="inlineStr">
        <is>
          <t>GRO1909</t>
        </is>
      </c>
      <c r="C42" s="4" t="inlineStr">
        <is>
          <t>Garland tálca 5 cm magas peremmel, XS méret, fröccsöntött polipropilén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Garland tálca (5–15 cm perem)</t>
        </is>
      </c>
    </row>
    <row r="43">
      <c r="A43" s="4" t="n">
        <v>12</v>
      </c>
      <c r="B43" s="4" t="inlineStr">
        <is>
          <t>GRO1910</t>
        </is>
      </c>
      <c r="C43" s="4" t="inlineStr">
        <is>
          <t>Garland tálca 5 cm magas peremmel, S méret, fröccsöntött polipropilén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Garland tálca (5–15 cm perem)</t>
        </is>
      </c>
    </row>
    <row r="44">
      <c r="A44" s="4" t="n">
        <v>13</v>
      </c>
      <c r="B44" s="4" t="inlineStr">
        <is>
          <t>GRO1911</t>
        </is>
      </c>
      <c r="C44" s="4" t="inlineStr">
        <is>
          <t>Garland tálca 5 cm magas peremmel, XXL méret, fröccsöntött polipropilén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Garland tálca (5–15 cm perem)</t>
        </is>
      </c>
    </row>
    <row r="45">
      <c r="A45" s="4" t="n">
        <v>14</v>
      </c>
      <c r="B45" s="4" t="inlineStr">
        <is>
          <t>GRO1912</t>
        </is>
      </c>
      <c r="C45" s="4" t="inlineStr">
        <is>
          <t>Garland tálca (5 cm magas) Garland tálca M (prémium)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Garland tálca (5–15 cm perem)</t>
        </is>
      </c>
    </row>
    <row r="46">
      <c r="A46" s="4" t="n">
        <v>15</v>
      </c>
      <c r="B46" s="4" t="inlineStr">
        <is>
          <t>GRO2247</t>
        </is>
      </c>
      <c r="C46" s="4" t="inlineStr">
        <is>
          <t>Nutriculture Flexibilis Műanyag Tálca 120 x 120 x 10 cm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Nutriculture flexibilis tálca</t>
        </is>
      </c>
    </row>
    <row r="47">
      <c r="A47" s="4" t="n">
        <v>16</v>
      </c>
      <c r="B47" s="4" t="inlineStr">
        <is>
          <t>GRO2774</t>
        </is>
      </c>
      <c r="C47" s="4" t="inlineStr">
        <is>
          <t>Nutriculture Flexibilis Műanyag Tálca 100 x 100 x 10 cm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Nutriculture flexibilis tálca</t>
        </is>
      </c>
    </row>
    <row r="48">
      <c r="A48" s="4" t="n">
        <v>17</v>
      </c>
      <c r="B48" s="4" t="inlineStr">
        <is>
          <t>GRO3124</t>
        </is>
      </c>
      <c r="C48" s="4" t="inlineStr">
        <is>
          <t>Secret Jardin kiegészítő víztálca 100x100 cm termesztősátor aljába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Secret Jardin vízgyűjtő tálca termesztősátorba</t>
        </is>
      </c>
    </row>
    <row r="49">
      <c r="A49" s="4" t="n">
        <v>18</v>
      </c>
      <c r="B49" s="4" t="inlineStr">
        <is>
          <t>GRO3138</t>
        </is>
      </c>
      <c r="C49" s="4" t="inlineStr">
        <is>
          <t>Garland tálca 12 cm magas peremmel, S méret, fröccsöntött polipropilén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Garland tálca (5–15 cm perem)</t>
        </is>
      </c>
    </row>
    <row r="50">
      <c r="A50" s="7" t="n">
        <v>19</v>
      </c>
      <c r="B50" s="7" t="inlineStr">
        <is>
          <t>GRO3363</t>
        </is>
      </c>
      <c r="C50" s="7" t="inlineStr">
        <is>
          <t>Dán tálca kiegészítő lefolyó készlet</t>
        </is>
      </c>
      <c r="D50" s="7" t="inlineStr">
        <is>
          <t>Elsődleges</t>
        </is>
      </c>
      <c r="E50" s="7" t="inlineStr">
        <is>
          <t>Laza</t>
        </is>
      </c>
      <c r="F50" s="7" t="inlineStr">
        <is>
          <t>Dán tálca kiegészítő</t>
        </is>
      </c>
    </row>
    <row r="51">
      <c r="A51" s="4" t="n">
        <v>20</v>
      </c>
      <c r="B51" s="4" t="inlineStr">
        <is>
          <t>GRO3436</t>
        </is>
      </c>
      <c r="C51" s="4" t="inlineStr">
        <is>
          <t>Nutriculture Flexibilis Műanyag Tálca 150 x 150 x 10 cm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Nutriculture flexibilis tálca</t>
        </is>
      </c>
    </row>
    <row r="52">
      <c r="A52" s="4" t="n">
        <v>21</v>
      </c>
      <c r="B52" s="4" t="inlineStr">
        <is>
          <t>GRO3437</t>
        </is>
      </c>
      <c r="C52" s="4" t="inlineStr">
        <is>
          <t>Nutriculture flexibilis tálca 80x80x10 cm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Nutriculture flexibilis tálca</t>
        </is>
      </c>
    </row>
    <row r="53">
      <c r="A53" s="4" t="n">
        <v>22</v>
      </c>
      <c r="B53" s="4" t="inlineStr">
        <is>
          <t>GRO3773</t>
        </is>
      </c>
      <c r="C53" s="4" t="inlineStr">
        <is>
          <t>Garland tálca (7 cm magas) S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Garland tálca (5–15 cm perem)</t>
        </is>
      </c>
    </row>
    <row r="54">
      <c r="A54" s="4" t="n">
        <v>23</v>
      </c>
      <c r="B54" s="4" t="inlineStr">
        <is>
          <t>GRO3774</t>
        </is>
      </c>
      <c r="C54" s="4" t="inlineStr">
        <is>
          <t>Garland tálca (7 cm magas) S (lyukakkal)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Garland tálca (5–15 cm perem)</t>
        </is>
      </c>
    </row>
    <row r="55">
      <c r="A55" s="4" t="n">
        <v>24</v>
      </c>
      <c r="B55" s="4" t="inlineStr">
        <is>
          <t>GRO3775</t>
        </is>
      </c>
      <c r="C55" s="4" t="inlineStr">
        <is>
          <t>Garland tálca (5 cm magas) XL</t>
        </is>
      </c>
      <c r="D55" s="4" t="inlineStr">
        <is>
          <t>Elsődleges</t>
        </is>
      </c>
      <c r="E55" s="4" t="inlineStr">
        <is>
          <t>Erős</t>
        </is>
      </c>
      <c r="F55" s="4" t="inlineStr">
        <is>
          <t>Garland tálca (5–15 cm perem)</t>
        </is>
      </c>
    </row>
    <row r="56">
      <c r="A56" s="4" t="n">
        <v>25</v>
      </c>
      <c r="B56" s="4" t="inlineStr">
        <is>
          <t>GRO3776</t>
        </is>
      </c>
      <c r="C56" s="4" t="inlineStr">
        <is>
          <t>Garland tálca (5 cm magas) L</t>
        </is>
      </c>
      <c r="D56" s="4" t="inlineStr">
        <is>
          <t>Elsődleges</t>
        </is>
      </c>
      <c r="E56" s="4" t="inlineStr">
        <is>
          <t>Erős</t>
        </is>
      </c>
      <c r="F56" s="4" t="inlineStr">
        <is>
          <t>Garland tálca (5–15 cm perem)</t>
        </is>
      </c>
    </row>
    <row r="57">
      <c r="A57" s="4" t="n">
        <v>26</v>
      </c>
      <c r="B57" s="4" t="inlineStr">
        <is>
          <t>GRO3777</t>
        </is>
      </c>
      <c r="C57" s="4" t="inlineStr">
        <is>
          <t>Garland tálca (5 cm magas) XXXL</t>
        </is>
      </c>
      <c r="D57" s="4" t="inlineStr">
        <is>
          <t>Elsődleges</t>
        </is>
      </c>
      <c r="E57" s="4" t="inlineStr">
        <is>
          <t>Erős</t>
        </is>
      </c>
      <c r="F57" s="4" t="inlineStr">
        <is>
          <t>Garland tálca (5–15 cm perem)</t>
        </is>
      </c>
    </row>
    <row r="58">
      <c r="A58" s="7" t="n">
        <v>27</v>
      </c>
      <c r="B58" s="7" t="inlineStr">
        <is>
          <t>GRO4234</t>
        </is>
      </c>
      <c r="C58" s="7" t="inlineStr">
        <is>
          <t>Dán tálca kiegészítő leeresztő szűrő 3/4</t>
        </is>
      </c>
      <c r="D58" s="7" t="inlineStr">
        <is>
          <t>Elsődleges</t>
        </is>
      </c>
      <c r="E58" s="7" t="inlineStr">
        <is>
          <t>Laza</t>
        </is>
      </c>
      <c r="F58" s="7" t="inlineStr">
        <is>
          <t>Dán tálca kiegészítő</t>
        </is>
      </c>
    </row>
    <row r="59">
      <c r="A59" s="4" t="n">
        <v>28</v>
      </c>
      <c r="B59" s="4" t="inlineStr">
        <is>
          <t>GRO4667</t>
        </is>
      </c>
      <c r="C59" s="4" t="inlineStr">
        <is>
          <t>Secret Jardin vízgyűjtő tálca 40x40x8 cm growboxhoz</t>
        </is>
      </c>
      <c r="D59" s="4" t="inlineStr">
        <is>
          <t>Elsődleges</t>
        </is>
      </c>
      <c r="E59" s="4" t="inlineStr">
        <is>
          <t>Erős</t>
        </is>
      </c>
      <c r="F59" s="4" t="inlineStr">
        <is>
          <t>Secret Jardin vízgyűjtő tálca termesztősátorba</t>
        </is>
      </c>
    </row>
    <row r="60">
      <c r="A60" s="4" t="n">
        <v>29</v>
      </c>
      <c r="B60" s="4" t="inlineStr">
        <is>
          <t>GRO4668</t>
        </is>
      </c>
      <c r="C60" s="4" t="inlineStr">
        <is>
          <t>Secret Jardin vízgyűjtő tálca 60x60x8 cm growboxhoz</t>
        </is>
      </c>
      <c r="D60" s="4" t="inlineStr">
        <is>
          <t>Elsődleges</t>
        </is>
      </c>
      <c r="E60" s="4" t="inlineStr">
        <is>
          <t>Erős</t>
        </is>
      </c>
      <c r="F60" s="4" t="inlineStr">
        <is>
          <t>Secret Jardin vízgyűjtő tálca termesztősátorba</t>
        </is>
      </c>
    </row>
    <row r="61">
      <c r="A61" s="4" t="n">
        <v>30</v>
      </c>
      <c r="B61" s="4" t="inlineStr">
        <is>
          <t>GRO4669</t>
        </is>
      </c>
      <c r="C61" s="4" t="inlineStr">
        <is>
          <t>Secret Jardin vízgyűjtő tálca 80x80x8 cm growboxhoz</t>
        </is>
      </c>
      <c r="D61" s="4" t="inlineStr">
        <is>
          <t>Elsődleges</t>
        </is>
      </c>
      <c r="E61" s="4" t="inlineStr">
        <is>
          <t>Erős</t>
        </is>
      </c>
      <c r="F61" s="4" t="inlineStr">
        <is>
          <t>Secret Jardin vízgyűjtő tálca termesztősátorba</t>
        </is>
      </c>
    </row>
    <row r="62">
      <c r="A62" s="4" t="n">
        <v>31</v>
      </c>
      <c r="B62" s="4" t="inlineStr">
        <is>
          <t>GRO4670</t>
        </is>
      </c>
      <c r="C62" s="4" t="inlineStr">
        <is>
          <t>Secret Jardin vízgyűjtő tálca 100x100x8 cm growboxhoz</t>
        </is>
      </c>
      <c r="D62" s="4" t="inlineStr">
        <is>
          <t>Elsődleges</t>
        </is>
      </c>
      <c r="E62" s="4" t="inlineStr">
        <is>
          <t>Erős</t>
        </is>
      </c>
      <c r="F62" s="4" t="inlineStr">
        <is>
          <t>Secret Jardin vízgyűjtő tálca termesztősátorba</t>
        </is>
      </c>
    </row>
    <row r="63">
      <c r="A63" s="4" t="n">
        <v>32</v>
      </c>
      <c r="B63" s="4" t="inlineStr">
        <is>
          <t>GRO4671</t>
        </is>
      </c>
      <c r="C63" s="4" t="inlineStr">
        <is>
          <t>Secret Jardin vízgyűjtő tálca 120x120x8 cm growboxhoz</t>
        </is>
      </c>
      <c r="D63" s="4" t="inlineStr">
        <is>
          <t>Elsődleges</t>
        </is>
      </c>
      <c r="E63" s="4" t="inlineStr">
        <is>
          <t>Erős</t>
        </is>
      </c>
      <c r="F63" s="4" t="inlineStr">
        <is>
          <t>Secret Jardin vízgyűjtő tálca termesztősátorba</t>
        </is>
      </c>
    </row>
    <row r="64">
      <c r="A64" s="4" t="n">
        <v>33</v>
      </c>
      <c r="B64" s="4" t="inlineStr">
        <is>
          <t>GRO4672</t>
        </is>
      </c>
      <c r="C64" s="4" t="inlineStr">
        <is>
          <t>Secret Jardin vízgyűjtő tálca 150x150x8 cm growboxhoz</t>
        </is>
      </c>
      <c r="D64" s="4" t="inlineStr">
        <is>
          <t>Elsődleges</t>
        </is>
      </c>
      <c r="E64" s="4" t="inlineStr">
        <is>
          <t>Erős</t>
        </is>
      </c>
      <c r="F64" s="4" t="inlineStr">
        <is>
          <t>Secret Jardin vízgyűjtő tálca termesztősátorba</t>
        </is>
      </c>
    </row>
    <row r="65">
      <c r="A65" s="4" t="n">
        <v>34</v>
      </c>
      <c r="B65" s="4" t="inlineStr">
        <is>
          <t>GRO4673</t>
        </is>
      </c>
      <c r="C65" s="4" t="inlineStr">
        <is>
          <t>Secret Jardin vízgyűjtő tálca 120x60x8 cm growboxhoz</t>
        </is>
      </c>
      <c r="D65" s="4" t="inlineStr">
        <is>
          <t>Elsődleges</t>
        </is>
      </c>
      <c r="E65" s="4" t="inlineStr">
        <is>
          <t>Erős</t>
        </is>
      </c>
      <c r="F65" s="4" t="inlineStr">
        <is>
          <t>Secret Jardin vízgyűjtő tálca termesztősátorba</t>
        </is>
      </c>
    </row>
    <row r="66">
      <c r="A66" s="4" t="n">
        <v>35</v>
      </c>
      <c r="B66" s="4" t="inlineStr">
        <is>
          <t>GRO4674</t>
        </is>
      </c>
      <c r="C66" s="4" t="inlineStr">
        <is>
          <t>Secret Jardin vízgyűjtő tálca 240x120x8 cm growboxhoz</t>
        </is>
      </c>
      <c r="D66" s="4" t="inlineStr">
        <is>
          <t>Elsődleges</t>
        </is>
      </c>
      <c r="E66" s="4" t="inlineStr">
        <is>
          <t>Erős</t>
        </is>
      </c>
      <c r="F66" s="4" t="inlineStr">
        <is>
          <t>Secret Jardin vízgyűjtő tálca termesztősátorba</t>
        </is>
      </c>
    </row>
    <row r="67">
      <c r="A67" s="4" t="n">
        <v>36</v>
      </c>
      <c r="B67" s="4" t="inlineStr">
        <is>
          <t>GRO4408</t>
        </is>
      </c>
      <c r="C67" s="4" t="inlineStr">
        <is>
          <t>Cserépalátét univerzális tálca 72x50 cm</t>
        </is>
      </c>
      <c r="D67" s="4" t="inlineStr">
        <is>
          <t>Másodlagos</t>
        </is>
      </c>
      <c r="E67" s="4" t="inlineStr">
        <is>
          <t>Erős</t>
        </is>
      </c>
      <c r="F67" s="4" t="inlineStr">
        <is>
          <t>Univerzális alátéttálca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1" t="inlineStr">
        <is>
          <t>Gyártó- és márkanevekre érkező keresések (a gyártó szerinti szűrő / alkategória kérdéséhez)</t>
        </is>
      </c>
    </row>
    <row r="3">
      <c r="A3" s="3" t="inlineStr">
        <is>
          <t>Kulcsszó</t>
        </is>
      </c>
      <c r="B3" s="3" t="inlineStr">
        <is>
          <t>Havi keresés</t>
        </is>
      </c>
    </row>
    <row r="4">
      <c r="A4" s="2" t="inlineStr">
        <is>
          <t>airpot</t>
        </is>
      </c>
      <c r="B4" s="2" t="n">
        <v>140</v>
      </c>
    </row>
    <row r="5">
      <c r="A5" s="2" t="inlineStr">
        <is>
          <t>air pot</t>
        </is>
      </c>
      <c r="B5" s="2" t="n">
        <v>90</v>
      </c>
    </row>
    <row r="6">
      <c r="A6" s="2" t="inlineStr">
        <is>
          <t>smart pot</t>
        </is>
      </c>
      <c r="B6" s="2" t="n">
        <v>20</v>
      </c>
    </row>
    <row r="7">
      <c r="A7" s="2" t="inlineStr">
        <is>
          <t>air pot 50l</t>
        </is>
      </c>
      <c r="B7" s="2" t="n">
        <v>10</v>
      </c>
    </row>
    <row r="8">
      <c r="A8" s="2" t="inlineStr">
        <is>
          <t>air pot hydro</t>
        </is>
      </c>
      <c r="B8" s="2" t="n">
        <v>10</v>
      </c>
    </row>
    <row r="9">
      <c r="A9" s="2" t="inlineStr">
        <is>
          <t>smarpot</t>
        </is>
      </c>
      <c r="B9" s="2" t="n">
        <v>10</v>
      </c>
    </row>
    <row r="10">
      <c r="A10" s="2" t="inlineStr">
        <is>
          <t>root pouch</t>
        </is>
      </c>
      <c r="B10" s="2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2026-10-14T14:07:43Z</dcterms:created>
  <dcterms:modified xmlns:dcterms="http://purl.org/dc/terms/" xmlns:xsi="http://www.w3.org/2001/XMLSchema-instance" xsi:type="dcterms:W3CDTF">2026-10-14T14:07:44Z</dcterms:modified>
</cp:coreProperties>
</file>