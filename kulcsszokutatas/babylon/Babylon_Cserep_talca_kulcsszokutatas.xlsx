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Összefoglaló" sheetId="1" state="visible" r:id="rId1"/>
    <sheet xmlns:r="http://schemas.openxmlformats.org/officeDocument/2006/relationships" name="Kategóriaszerkezet-ajánlás" sheetId="2" state="visible" r:id="rId2"/>
    <sheet xmlns:r="http://schemas.openxmlformats.org/officeDocument/2006/relationships" name="Termékkínálat" sheetId="3" state="visible" r:id="rId3"/>
    <sheet xmlns:r="http://schemas.openxmlformats.org/officeDocument/2006/relationships" name="Bővítés – rokon területek" sheetId="4" state="visible" r:id="rId4"/>
    <sheet xmlns:r="http://schemas.openxmlformats.org/officeDocument/2006/relationships" name="Sandbox menünevek" sheetId="5" state="visible" r:id="rId5"/>
    <sheet xmlns:r="http://schemas.openxmlformats.org/officeDocument/2006/relationships" name="Összes kulcsszó" sheetId="6" state="visible" r:id="rId6"/>
    <sheet xmlns:r="http://schemas.openxmlformats.org/officeDocument/2006/relationships" name="1 Virágcserép" sheetId="7" state="visible" r:id="rId7"/>
    <sheet xmlns:r="http://schemas.openxmlformats.org/officeDocument/2006/relationships" name="2 Nagy virágcserép" sheetId="8" state="visible" r:id="rId8"/>
    <sheet xmlns:r="http://schemas.openxmlformats.org/officeDocument/2006/relationships" name="3 Szögletes cserép" sheetId="9" state="visible" r:id="rId9"/>
    <sheet xmlns:r="http://schemas.openxmlformats.org/officeDocument/2006/relationships" name="4 Air-Pot" sheetId="10" state="visible" r:id="rId10"/>
    <sheet xmlns:r="http://schemas.openxmlformats.org/officeDocument/2006/relationships" name="5 Szövetcserép" sheetId="11" state="visible" r:id="rId11"/>
    <sheet xmlns:r="http://schemas.openxmlformats.org/officeDocument/2006/relationships" name="6 Önöntöző cserép" sheetId="12" state="visible" r:id="rId12"/>
    <sheet xmlns:r="http://schemas.openxmlformats.org/officeDocument/2006/relationships" name="7 Cserépalátét" sheetId="13" state="visible" r:id="rId13"/>
    <sheet xmlns:r="http://schemas.openxmlformats.org/officeDocument/2006/relationships" name="8 Tálca" sheetId="14" state="visible" r:id="rId14"/>
    <sheet xmlns:r="http://schemas.openxmlformats.org/officeDocument/2006/relationships" name="Gyártói kulcsszavak" sheetId="15" state="visible" r:id="rId15"/>
  </sheets>
  <definedNames>
    <definedName name="_xlnm._FilterDatabase" localSheetId="5" hidden="1">'Összes kulcsszó'!$A$1:$I$125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FF2E7D32"/>
      <sz val="13"/>
    </font>
    <font>
      <sz val="10"/>
    </font>
    <font>
      <b val="1"/>
      <color rgb="FFFFFFFF"/>
      <sz val="10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FF2E7D32"/>
      </patternFill>
    </fill>
    <fill>
      <patternFill patternType="solid">
        <fgColor rgb="FFE8F5E9"/>
      </patternFill>
    </fill>
    <fill>
      <patternFill patternType="solid">
        <fgColor rgb="FFFDECEA"/>
      </patternFill>
    </fill>
    <fill>
      <patternFill patternType="solid">
        <fgColor rgb="FFFFF8E1"/>
      </patternFill>
    </fill>
    <fill>
      <patternFill patternType="solid">
        <fgColor rgb="FFF3F4F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 wrapText="1"/>
    </xf>
    <xf numFmtId="0" fontId="2" fillId="3" borderId="0" pivotButton="0" quotePrefix="0" xfId="0"/>
    <xf numFmtId="3" fontId="2" fillId="3" borderId="0" pivotButton="0" quotePrefix="0" xfId="0"/>
    <xf numFmtId="0" fontId="2" fillId="3" borderId="0" applyAlignment="1" pivotButton="0" quotePrefix="0" xfId="0">
      <alignment vertical="top" wrapText="1"/>
    </xf>
    <xf numFmtId="0" fontId="2" fillId="5" borderId="0" pivotButton="0" quotePrefix="0" xfId="0"/>
    <xf numFmtId="3" fontId="2" fillId="5" borderId="0" pivotButton="0" quotePrefix="0" xfId="0"/>
    <xf numFmtId="0" fontId="2" fillId="5" borderId="0" applyAlignment="1" pivotButton="0" quotePrefix="0" xfId="0">
      <alignment vertical="top" wrapText="1"/>
    </xf>
    <xf numFmtId="0" fontId="4" fillId="0" borderId="0" pivotButton="0" quotePrefix="0" xfId="0"/>
    <xf numFmtId="0" fontId="2" fillId="6" borderId="0" pivotButton="0" quotePrefix="0" xfId="0"/>
    <xf numFmtId="0" fontId="2" fillId="4" borderId="0" pivotButton="0" quotePrefix="0" xfId="0"/>
    <xf numFmtId="0" fontId="4" fillId="3" borderId="0" applyAlignment="1" pivotButton="0" quotePrefix="0" xfId="0">
      <alignment vertical="top" wrapText="1"/>
    </xf>
    <xf numFmtId="3" fontId="4" fillId="3" borderId="0" applyAlignment="1" pivotButton="0" quotePrefix="0" xfId="0">
      <alignment vertical="top" wrapText="1"/>
    </xf>
    <xf numFmtId="3" fontId="2" fillId="3" borderId="0" applyAlignment="1" pivotButton="0" quotePrefix="0" xfId="0">
      <alignment vertical="top" wrapText="1"/>
    </xf>
    <xf numFmtId="3" fontId="2" fillId="5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3" fontId="2" fillId="0" borderId="0" applyAlignment="1" pivotButton="0" quotePrefix="0" xfId="0">
      <alignment vertical="top" wrapText="1"/>
    </xf>
    <xf numFmtId="3" fontId="2" fillId="0" borderId="0" pivotButton="0" quotePrefix="0" xfId="0"/>
    <xf numFmtId="3" fontId="2" fillId="6" borderId="0" pivotButton="0" quotePrefix="0" xfId="0"/>
    <xf numFmtId="3" fontId="2" fillId="4" borderId="0" pivotButton="0" quotePrefix="0" xfId="0"/>
    <xf numFmtId="3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26" customWidth="1" min="2" max="2"/>
    <col width="16" customWidth="1" min="3" max="3"/>
    <col width="22" customWidth="1" min="4" max="4"/>
    <col width="16" customWidth="1" min="5" max="5"/>
    <col width="18" customWidth="1" min="6" max="6"/>
    <col width="46" customWidth="1" min="7" max="7"/>
    <col width="60" customWidth="1" min="8" max="8"/>
  </cols>
  <sheetData>
    <row r="1">
      <c r="A1" s="1" t="inlineStr">
        <is>
          <t>babylon-grow.eu – Cserép, tálca főkategória kulcsszókutatás (Google Ads Kulcsszótervező, HU, magyar, 12 hó átlag)</t>
        </is>
      </c>
    </row>
    <row r="2">
      <c r="A2" s="2" t="inlineStr">
        <is>
          <t>Forrás: Babylon Adwords fiók (867-850-6485) Kulcsszótervező (Windsor.ai-on át), lekérdezve: 2026-10-12 és 2026-10-14. Hely: Magyarország, nyelv: magyar, hálózat: Google Keresés. A számok kerekített lépcsős havi átlagok.</t>
        </is>
      </c>
    </row>
    <row r="4" ht="30" customHeight="1">
      <c r="A4" s="3" t="inlineStr">
        <is>
          <t>Kategória (menünév)</t>
        </is>
      </c>
      <c r="B4" s="3" t="inlineStr">
        <is>
          <t>Fő kulcsszó</t>
        </is>
      </c>
      <c r="C4" s="3" t="inlineStr">
        <is>
          <t>Fő kulcsszó havi</t>
        </is>
      </c>
      <c r="D4" s="3" t="inlineStr">
        <is>
          <t>Klaszter összesen (érdemes = Igen)</t>
        </is>
      </c>
      <c r="E4" s="3" t="inlineStr">
        <is>
          <t>Kötődés a webshophoz</t>
        </is>
      </c>
      <c r="F4" s="3" t="inlineStr">
        <is>
          <t>Érdemes rá kategória?</t>
        </is>
      </c>
      <c r="G4" s="3" t="inlineStr">
        <is>
          <t>Felhasználási terület</t>
        </is>
      </c>
      <c r="H4" s="3" t="inlineStr">
        <is>
          <t>Javasolt hely az új fában</t>
        </is>
      </c>
    </row>
    <row r="5">
      <c r="A5" s="4" t="inlineStr">
        <is>
          <t>Virágcserép</t>
        </is>
      </c>
      <c r="B5" s="4" t="inlineStr">
        <is>
          <t>virágcserép</t>
        </is>
      </c>
      <c r="C5" s="5">
        <f>SUMIFS('Összes kulcsszó'!$E:$E,'Összes kulcsszó'!$A:$A,A5,'Összes kulcsszó'!$C:$C,B5)</f>
        <v/>
      </c>
      <c r="D5" s="5">
        <f>SUMIFS('Összes kulcsszó'!$E:$E,'Összes kulcsszó'!$A:$A,A5,'Összes kulcsszó'!$G:$G,"Igen")</f>
        <v/>
      </c>
      <c r="E5" s="4" t="inlineStr">
        <is>
          <t>Szoros</t>
        </is>
      </c>
      <c r="F5" s="4" t="inlineStr">
        <is>
          <t>Igen</t>
        </is>
      </c>
      <c r="G5" s="4" t="inlineStr">
        <is>
          <t>Termesztő cserép – műanyag, kerek, literes méretek</t>
        </is>
      </c>
      <c r="H5" s="6" t="inlineStr">
        <is>
          <t>2. szint – „Virágcserép” (sandbox-név marad); H1 / SEO title: „Műanyag virágcserép”; szűrők: térfogat (liter), átmérő, forma</t>
        </is>
      </c>
    </row>
    <row r="6">
      <c r="A6" s="4" t="inlineStr">
        <is>
          <t>Nagy virágcserép</t>
        </is>
      </c>
      <c r="B6" s="4" t="inlineStr">
        <is>
          <t>nagy virágcserép</t>
        </is>
      </c>
      <c r="C6" s="5">
        <f>SUMIFS('Összes kulcsszó'!$E:$E,'Összes kulcsszó'!$A:$A,A6,'Összes kulcsszó'!$C:$C,B6)</f>
        <v/>
      </c>
      <c r="D6" s="5">
        <f>SUMIFS('Összes kulcsszó'!$E:$E,'Összes kulcsszó'!$A:$A,A6,'Összes kulcsszó'!$G:$G,"Igen")</f>
        <v/>
      </c>
      <c r="E6" s="4" t="inlineStr">
        <is>
          <t>Szoros</t>
        </is>
      </c>
      <c r="F6" s="4" t="inlineStr">
        <is>
          <t>Igen</t>
        </is>
      </c>
      <c r="G6" s="4" t="inlineStr">
        <is>
          <t>Nagy térfogatú cserép – 20–100 literes termesztés, kültér</t>
        </is>
      </c>
      <c r="H6" s="6" t="inlineStr">
        <is>
          <t>3. szint a Virágcserép alatt – csak ha legalább 3–4 nagy (kb. 20 l feletti) cserép van a kínálatban; különben a Virágcserép másodlagos kulcsszava</t>
        </is>
      </c>
    </row>
    <row r="7">
      <c r="A7" s="4" t="inlineStr">
        <is>
          <t>Szögletes cserép</t>
        </is>
      </c>
      <c r="B7" s="4" t="inlineStr">
        <is>
          <t>szögletes virágcserép</t>
        </is>
      </c>
      <c r="C7" s="5">
        <f>SUMIFS('Összes kulcsszó'!$E:$E,'Összes kulcsszó'!$A:$A,A7,'Összes kulcsszó'!$C:$C,B7)</f>
        <v/>
      </c>
      <c r="D7" s="5">
        <f>SUMIFS('Összes kulcsszó'!$E:$E,'Összes kulcsszó'!$A:$A,A7,'Összes kulcsszó'!$G:$G,"Igen")</f>
        <v/>
      </c>
      <c r="E7" s="4" t="inlineStr">
        <is>
          <t>Szoros</t>
        </is>
      </c>
      <c r="F7" s="4" t="inlineStr">
        <is>
          <t>Igen</t>
        </is>
      </c>
      <c r="G7" s="4" t="inlineStr">
        <is>
          <t>Helytakarékos termesztés sátorban / polcon</t>
        </is>
      </c>
      <c r="H7" s="6" t="inlineStr">
        <is>
          <t>Szűrő a Virágcserép kategóriában (forma: kerek / szögletes) – önálló kategóriának kevés</t>
        </is>
      </c>
    </row>
    <row r="8">
      <c r="A8" s="4" t="inlineStr">
        <is>
          <t>Air-Pot cserép</t>
        </is>
      </c>
      <c r="B8" s="4" t="inlineStr">
        <is>
          <t>airpot</t>
        </is>
      </c>
      <c r="C8" s="5">
        <f>SUMIFS('Összes kulcsszó'!$E:$E,'Összes kulcsszó'!$A:$A,A8,'Összes kulcsszó'!$C:$C,B8)</f>
        <v/>
      </c>
      <c r="D8" s="5">
        <f>SUMIFS('Összes kulcsszó'!$E:$E,'Összes kulcsszó'!$A:$A,A8,'Összes kulcsszó'!$G:$G,"Igen")</f>
        <v/>
      </c>
      <c r="E8" s="4" t="inlineStr">
        <is>
          <t>Szoros</t>
        </is>
      </c>
      <c r="F8" s="4" t="inlineStr">
        <is>
          <t>Igen</t>
        </is>
      </c>
      <c r="G8" s="4" t="inlineStr">
        <is>
          <t>Gyökérlégzés, gyökérmetszés – termesztés konténerben</t>
        </is>
      </c>
      <c r="H8" s="6" t="inlineStr">
        <is>
          <t>2. szint – a „Speciális cserép, szövetcserép” helyett vagy alatta; a menünévben a márkanév legyen</t>
        </is>
      </c>
    </row>
    <row r="9">
      <c r="A9" s="4" t="inlineStr">
        <is>
          <t>Szövetcserép, ültetőzsák</t>
        </is>
      </c>
      <c r="B9" s="4" t="inlineStr">
        <is>
          <t>ültetőzsák</t>
        </is>
      </c>
      <c r="C9" s="5">
        <f>SUMIFS('Összes kulcsszó'!$E:$E,'Összes kulcsszó'!$A:$A,A9,'Összes kulcsszó'!$C:$C,B9)</f>
        <v/>
      </c>
      <c r="D9" s="5">
        <f>SUMIFS('Összes kulcsszó'!$E:$E,'Összes kulcsszó'!$A:$A,A9,'Összes kulcsszó'!$G:$G,"Igen")</f>
        <v/>
      </c>
      <c r="E9" s="4" t="inlineStr">
        <is>
          <t>Szoros</t>
        </is>
      </c>
      <c r="F9" s="4" t="inlineStr">
        <is>
          <t>Igen</t>
        </is>
      </c>
      <c r="G9" s="4" t="inlineStr">
        <is>
          <t>Szövet / textil / filc cserép, ültető- és termesztőzsák</t>
        </is>
      </c>
      <c r="H9" s="6" t="inlineStr">
        <is>
          <t>2. szint – a „Speciális cserép, szövetcserép” utódja; menünév: „Szövetcserép, ültetőzsák”</t>
        </is>
      </c>
    </row>
    <row r="10">
      <c r="A10" s="7" t="inlineStr">
        <is>
          <t>Önöntöző cserép</t>
        </is>
      </c>
      <c r="B10" s="7" t="inlineStr">
        <is>
          <t>önöntöző cserép</t>
        </is>
      </c>
      <c r="C10" s="8">
        <f>SUMIFS('Összes kulcsszó'!$E:$E,'Összes kulcsszó'!$A:$A,A10,'Összes kulcsszó'!$C:$C,B10)</f>
        <v/>
      </c>
      <c r="D10" s="8">
        <f>SUMIFS('Összes kulcsszó'!$E:$E,'Összes kulcsszó'!$A:$A,A10,'Összes kulcsszó'!$G:$G,"Igen")</f>
        <v/>
      </c>
      <c r="E10" s="7" t="inlineStr">
        <is>
          <t>Laza</t>
        </is>
      </c>
      <c r="F10" s="7" t="inlineStr">
        <is>
          <t>Igen</t>
        </is>
      </c>
      <c r="G10" s="7" t="inlineStr">
        <is>
          <t>Víztartályos, önöntöző cserép – szobanövény, fűszer</t>
        </is>
      </c>
      <c r="H10" s="9" t="inlineStr">
        <is>
          <t>Opcionális 2. szint – csak ha van önöntöző kínálat; különben kimarad</t>
        </is>
      </c>
    </row>
    <row r="11">
      <c r="A11" s="4" t="inlineStr">
        <is>
          <t>Cserépalátét</t>
        </is>
      </c>
      <c r="B11" s="4" t="inlineStr">
        <is>
          <t>cserépalátét</t>
        </is>
      </c>
      <c r="C11" s="5">
        <f>SUMIFS('Összes kulcsszó'!$E:$E,'Összes kulcsszó'!$A:$A,A11,'Összes kulcsszó'!$C:$C,B11)</f>
        <v/>
      </c>
      <c r="D11" s="5">
        <f>SUMIFS('Összes kulcsszó'!$E:$E,'Összes kulcsszó'!$A:$A,A11,'Összes kulcsszó'!$G:$G,"Igen")</f>
        <v/>
      </c>
      <c r="E11" s="4" t="inlineStr">
        <is>
          <t>Szoros</t>
        </is>
      </c>
      <c r="F11" s="4" t="inlineStr">
        <is>
          <t>Igen</t>
        </is>
      </c>
      <c r="G11" s="4" t="inlineStr">
        <is>
          <t>Cserép alá – vízfelfogás, gurulós alátét</t>
        </is>
      </c>
      <c r="H11" s="6" t="inlineStr">
        <is>
          <t>2. szint – a „Tálca, alátét” kettébontásával; az „alátét” szó önmagában csavaralátét</t>
        </is>
      </c>
    </row>
    <row r="12">
      <c r="A12" s="7" t="inlineStr">
        <is>
          <t>Műanyag tálca, árapály asztal</t>
        </is>
      </c>
      <c r="B12" s="7" t="inlineStr">
        <is>
          <t>nagyméretű műanyag tálca</t>
        </is>
      </c>
      <c r="C12" s="8">
        <f>SUMIFS('Összes kulcsszó'!$E:$E,'Összes kulcsszó'!$A:$A,A12,'Összes kulcsszó'!$C:$C,B12)</f>
        <v/>
      </c>
      <c r="D12" s="8">
        <f>SUMIFS('Összes kulcsszó'!$E:$E,'Összes kulcsszó'!$A:$A,A12,'Összes kulcsszó'!$G:$G,"Igen")</f>
        <v/>
      </c>
      <c r="E12" s="7" t="inlineStr">
        <is>
          <t>Laza</t>
        </is>
      </c>
      <c r="F12" s="7" t="inlineStr">
        <is>
          <t>Igen</t>
        </is>
      </c>
      <c r="G12" s="7" t="inlineStr">
        <is>
          <t>Gyűjtőtálca termesztősátorba, árapály (ebb &amp; flow) rendszer</t>
        </is>
      </c>
      <c r="H12" s="9" t="inlineStr">
        <is>
          <t>2. szint – a „Tálca, alátét” kettébontásával</t>
        </is>
      </c>
    </row>
    <row r="14">
      <c r="A14" s="10" t="inlineStr">
        <is>
          <t>Jelmagyarázat</t>
        </is>
      </c>
    </row>
    <row r="15">
      <c r="A15" s="4" t="inlineStr">
        <is>
          <t>Szoros kötődés · érdemes: Igen</t>
        </is>
      </c>
    </row>
    <row r="16">
      <c r="A16" s="7" t="inlineStr">
        <is>
          <t>Laza kötődés · érdemes: Igen</t>
        </is>
      </c>
    </row>
    <row r="17">
      <c r="A17" s="11" t="inlineStr">
        <is>
          <t>Laza kötődés · érdemes: Nem</t>
        </is>
      </c>
    </row>
    <row r="18">
      <c r="A18" s="12" t="inlineStr">
        <is>
          <t>Nincs (áruházi / nem vásárlási szándék) kötődés · érdemes: Nem – kizárandó</t>
        </is>
      </c>
    </row>
    <row r="20">
      <c r="A20" s="2" t="inlineStr">
        <is>
          <t>Megjegyzés: a klaszter-összeg átfedéseket tartalmazhat (pl. elírt és ékezet nélküli változatok, amelyeket a Google külön sorban is mutat).</t>
        </is>
      </c>
    </row>
    <row r="21">
      <c r="A21" s="2" t="inlineStr">
        <is>
          <t>Fő megállapítás: a virágcserép (2400) és a nagy virágcserép (480) viszi az ágat; a sandbox két gyűjtőnevére („Speciális cserép”, „Tálca, alátét”) nincs vagy félrevezető a keresés – javasolt a kettébontásuk (Kategóriaszerkezet-ajánlás lap).</t>
        </is>
      </c>
    </row>
    <row r="22">
      <c r="A22" s="2" t="inlineStr">
        <is>
          <t>Az éles oldal jelenlegi kategóriáit nem vettük figyelembe; a javaslat a sandbox-tervezetre és a kulcsszóadatra épül.</t>
        </is>
      </c>
    </row>
    <row r="23">
      <c r="A23" s="2" t="inlineStr">
        <is>
          <t>A „szaporító tálca” / „palántanevelő tálca” céloldala a Palántanevelő ág, a „mikrozöld tálca” a Mikrozöld termesztésé – itt csak említés.</t>
        </is>
      </c>
    </row>
    <row r="24">
      <c r="A24" s="2" t="inlineStr">
        <is>
          <t>Termékkínálat: a termékexport még hiányzik – a termékszámok és a kategórialapok termékblokkja az export után kerül be.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34" customWidth="1" min="2" max="2"/>
    <col width="26" customWidth="1" min="3" max="3"/>
    <col width="26" customWidth="1" min="4" max="4"/>
    <col width="12" customWidth="1" min="5" max="5"/>
    <col width="16" customWidth="1" min="6" max="6"/>
    <col width="20" customWidth="1" min="7" max="7"/>
    <col width="18" customWidth="1" min="8" max="8"/>
    <col width="22" customWidth="1" min="9" max="9"/>
    <col width="60" customWidth="1" min="10" max="10"/>
  </cols>
  <sheetData>
    <row r="1">
      <c r="A1" s="1" t="inlineStr">
        <is>
          <t>Kategóriaszerkezet-ajánlás – Cserép, tálca (kulcsszóadat alapján; a termékszám termékexport után kerül be)</t>
        </is>
      </c>
    </row>
    <row r="2">
      <c r="A2" s="2" t="inlineStr">
        <is>
          <t>Az éles oldal jelenlegi kategóriáit nem vettük figyelembe. Kiindulás: a sandbox-tervezet (Virágcserép; Speciális cserép, szövetcserép; Tálca, alátét) és a Kulcsszótervező adatai.</t>
        </is>
      </c>
    </row>
    <row r="4" ht="30" customHeight="1">
      <c r="A4" s="3" t="inlineStr">
        <is>
          <t>Szint</t>
        </is>
      </c>
      <c r="B4" s="3" t="inlineStr">
        <is>
          <t>Javasolt kategórianév (menünév)</t>
        </is>
      </c>
      <c r="C4" s="3" t="inlineStr">
        <is>
          <t>Szülőkategória</t>
        </is>
      </c>
      <c r="D4" s="3" t="inlineStr">
        <is>
          <t>Fő kulcsszó</t>
        </is>
      </c>
      <c r="E4" s="3" t="inlineStr">
        <is>
          <t>Fő kulcsszó havi</t>
        </is>
      </c>
      <c r="F4" s="3" t="inlineStr">
        <is>
          <t>Klaszter összesen (érdemes = Igen)</t>
        </is>
      </c>
      <c r="G4" s="3" t="inlineStr">
        <is>
          <t>Kulcsszó-kötődés</t>
        </is>
      </c>
      <c r="H4" s="3" t="inlineStr">
        <is>
          <t>Termékek száma</t>
        </is>
      </c>
      <c r="I4" s="3" t="inlineStr">
        <is>
          <t>Típus</t>
        </is>
      </c>
      <c r="J4" s="3" t="inlineStr">
        <is>
          <t>Indoklás</t>
        </is>
      </c>
    </row>
    <row r="5">
      <c r="A5" s="13" t="n">
        <v>1</v>
      </c>
      <c r="B5" s="13" t="inlineStr">
        <is>
          <t>Cserép, tálca</t>
        </is>
      </c>
      <c r="C5" s="13" t="inlineStr">
        <is>
          <t>–</t>
        </is>
      </c>
      <c r="D5" s="13" t="inlineStr">
        <is>
          <t>virágcserép</t>
        </is>
      </c>
      <c r="E5" s="14" t="n">
        <v>2400</v>
      </c>
      <c r="F5" s="14" t="n"/>
      <c r="G5" s="13" t="inlineStr">
        <is>
          <t>Erősen kapcsolódik</t>
        </is>
      </c>
      <c r="H5" s="13" t="inlineStr">
        <is>
          <t>termékexport szükséges</t>
        </is>
      </c>
      <c r="I5" s="13" t="inlineStr">
        <is>
          <t>Főkategória</t>
        </is>
      </c>
      <c r="J5" s="13" t="inlineStr">
        <is>
          <t>A főkategória-névre nincs saját keresés („cserép” = tetőcserép); a H1 a virágcserép / cserépalátét / tálca szavakra épüljön.</t>
        </is>
      </c>
    </row>
    <row r="6">
      <c r="A6" s="6" t="n">
        <v>2</v>
      </c>
      <c r="B6" s="6" t="inlineStr">
        <is>
          <t>Virágcserép</t>
        </is>
      </c>
      <c r="C6" s="6" t="inlineStr">
        <is>
          <t>Cserép, tálca</t>
        </is>
      </c>
      <c r="D6" s="6" t="inlineStr">
        <is>
          <t>virágcserép</t>
        </is>
      </c>
      <c r="E6" s="15" t="n">
        <v>2400</v>
      </c>
      <c r="F6" s="15">
        <f>SUMIFS('Összes kulcsszó'!$E:$E,'Összes kulcsszó'!$A:$A,"Virágcserép",'Összes kulcsszó'!$G:$G,"Igen")</f>
        <v/>
      </c>
      <c r="G6" s="6" t="inlineStr">
        <is>
          <t>Erősen kapcsolódik</t>
        </is>
      </c>
      <c r="H6" s="6" t="inlineStr">
        <is>
          <t>termékexport szükséges</t>
        </is>
      </c>
      <c r="I6" s="6" t="inlineStr">
        <is>
          <t>Önálló kategória</t>
        </is>
      </c>
      <c r="J6" s="6" t="inlineStr">
        <is>
          <t>A főkategória legerősebb klasztere (virágcserép 2400, műanyag virágcserép 590, műanyag cserép 480). Térfogat (liter) és forma szűrővel.</t>
        </is>
      </c>
    </row>
    <row r="7">
      <c r="A7" s="6" t="n">
        <v>3</v>
      </c>
      <c r="B7" s="6" t="inlineStr">
        <is>
          <t>Nagy virágcserép</t>
        </is>
      </c>
      <c r="C7" s="6" t="inlineStr">
        <is>
          <t>Virágcserép</t>
        </is>
      </c>
      <c r="D7" s="6" t="inlineStr">
        <is>
          <t>nagy virágcserép</t>
        </is>
      </c>
      <c r="E7" s="15" t="n">
        <v>480</v>
      </c>
      <c r="F7" s="15">
        <f>SUMIFS('Összes kulcsszó'!$E:$E,'Összes kulcsszó'!$A:$A,"Nagy virágcserép",'Összes kulcsszó'!$G:$G,"Igen")</f>
        <v/>
      </c>
      <c r="G7" s="6" t="inlineStr">
        <is>
          <t>Erősen kapcsolódik</t>
        </is>
      </c>
      <c r="H7" s="6" t="inlineStr">
        <is>
          <t>termékexport szükséges</t>
        </is>
      </c>
      <c r="I7" s="6" t="inlineStr">
        <is>
          <t>Önálló kategória (feltételes)</t>
        </is>
      </c>
      <c r="J7" s="6" t="inlineStr">
        <is>
          <t>Erős saját klaszter (480 + 320 + 260). Csak akkor önálló, ha legalább 3–4 nagy cserép van; különben a Virágcserép másodlagos kulcsszava.</t>
        </is>
      </c>
    </row>
    <row r="8">
      <c r="A8" s="6" t="n">
        <v>3</v>
      </c>
      <c r="B8" s="6" t="inlineStr">
        <is>
          <t>Szögletes cserép</t>
        </is>
      </c>
      <c r="C8" s="6" t="inlineStr">
        <is>
          <t>Virágcserép</t>
        </is>
      </c>
      <c r="D8" s="6" t="inlineStr">
        <is>
          <t>szögletes virágcserép</t>
        </is>
      </c>
      <c r="E8" s="15" t="n">
        <v>90</v>
      </c>
      <c r="F8" s="15">
        <f>SUMIFS('Összes kulcsszó'!$E:$E,'Összes kulcsszó'!$A:$A,"Szögletes cserép",'Összes kulcsszó'!$G:$G,"Igen")</f>
        <v/>
      </c>
      <c r="G8" s="6" t="inlineStr">
        <is>
          <t>Erősen kapcsolódik</t>
        </is>
      </c>
      <c r="H8" s="6" t="inlineStr">
        <is>
          <t>termékexport szükséges</t>
        </is>
      </c>
      <c r="I8" s="6" t="inlineStr">
        <is>
          <t>Szűrő</t>
        </is>
      </c>
      <c r="J8" s="6" t="inlineStr">
        <is>
          <t>Kis volumen (90 + 70 + 40) – forma-szűrőként elég.</t>
        </is>
      </c>
    </row>
    <row r="9">
      <c r="A9" s="6" t="n">
        <v>2</v>
      </c>
      <c r="B9" s="6" t="inlineStr">
        <is>
          <t>Air-Pot cserép</t>
        </is>
      </c>
      <c r="C9" s="6" t="inlineStr">
        <is>
          <t>Cserép, tálca</t>
        </is>
      </c>
      <c r="D9" s="6" t="inlineStr">
        <is>
          <t>airpot</t>
        </is>
      </c>
      <c r="E9" s="15" t="n">
        <v>140</v>
      </c>
      <c r="F9" s="15">
        <f>SUMIFS('Összes kulcsszó'!$E:$E,'Összes kulcsszó'!$A:$A,"Air-Pot cserép",'Összes kulcsszó'!$G:$G,"Igen")</f>
        <v/>
      </c>
      <c r="G9" s="6" t="inlineStr">
        <is>
          <t>Erősen kapcsolódik</t>
        </is>
      </c>
      <c r="H9" s="6" t="inlineStr">
        <is>
          <t>termékexport szükséges</t>
        </is>
      </c>
      <c r="I9" s="6" t="inlineStr">
        <is>
          <t>Önálló kategória</t>
        </is>
      </c>
      <c r="J9" s="6" t="inlineStr">
        <is>
          <t>A sandbox „Speciális cserép” helyett: a márkanévre van keresés (airpot 140, air pot 90), a „légmetsző cserép”-re nincs.</t>
        </is>
      </c>
    </row>
    <row r="10">
      <c r="A10" s="6" t="n">
        <v>2</v>
      </c>
      <c r="B10" s="6" t="inlineStr">
        <is>
          <t>Szövetcserép, ültetőzsák</t>
        </is>
      </c>
      <c r="C10" s="6" t="inlineStr">
        <is>
          <t>Cserép, tálca</t>
        </is>
      </c>
      <c r="D10" s="6" t="inlineStr">
        <is>
          <t>ültetőzsák</t>
        </is>
      </c>
      <c r="E10" s="15" t="n">
        <v>90</v>
      </c>
      <c r="F10" s="15">
        <f>SUMIFS('Összes kulcsszó'!$E:$E,'Összes kulcsszó'!$A:$A,"Szövetcserép, ültetőzsák",'Összes kulcsszó'!$G:$G,"Igen")</f>
        <v/>
      </c>
      <c r="G10" s="6" t="inlineStr">
        <is>
          <t>Erősen kapcsolódik</t>
        </is>
      </c>
      <c r="H10" s="6" t="inlineStr">
        <is>
          <t>termékexport szükséges</t>
        </is>
      </c>
      <c r="I10" s="6" t="inlineStr">
        <is>
          <t>Önálló kategória</t>
        </is>
      </c>
      <c r="J10" s="6" t="inlineStr">
        <is>
          <t>Az „ültetőzsák” (90 + 50) viszi; a szövet / textil cserép, smart pot, grow bag egyenként 20.</t>
        </is>
      </c>
    </row>
    <row r="11">
      <c r="A11" s="9" t="n">
        <v>2</v>
      </c>
      <c r="B11" s="9" t="inlineStr">
        <is>
          <t>Önöntöző cserép</t>
        </is>
      </c>
      <c r="C11" s="9" t="inlineStr">
        <is>
          <t>Cserép, tálca</t>
        </is>
      </c>
      <c r="D11" s="9" t="inlineStr">
        <is>
          <t>önöntöző cserép</t>
        </is>
      </c>
      <c r="E11" s="16" t="n">
        <v>90</v>
      </c>
      <c r="F11" s="16">
        <f>SUMIFS('Összes kulcsszó'!$E:$E,'Összes kulcsszó'!$A:$A,"Önöntöző cserép",'Összes kulcsszó'!$G:$G,"Igen")</f>
        <v/>
      </c>
      <c r="G11" s="9" t="inlineStr">
        <is>
          <t>Lazán kapcsolódik</t>
        </is>
      </c>
      <c r="H11" s="9" t="inlineStr">
        <is>
          <t>termékexport szükséges</t>
        </is>
      </c>
      <c r="I11" s="9" t="inlineStr">
        <is>
          <t>Opcionális kategória</t>
        </is>
      </c>
      <c r="J11" s="9" t="inlineStr">
        <is>
          <t>Csak ha van önöntöző kínálat (önöntöző cserép 90).</t>
        </is>
      </c>
    </row>
    <row r="12">
      <c r="A12" s="6" t="n">
        <v>2</v>
      </c>
      <c r="B12" s="6" t="inlineStr">
        <is>
          <t>Cserépalátét</t>
        </is>
      </c>
      <c r="C12" s="6" t="inlineStr">
        <is>
          <t>Cserép, tálca</t>
        </is>
      </c>
      <c r="D12" s="6" t="inlineStr">
        <is>
          <t>cserépalátét</t>
        </is>
      </c>
      <c r="E12" s="15" t="n">
        <v>260</v>
      </c>
      <c r="F12" s="15">
        <f>SUMIFS('Összes kulcsszó'!$E:$E,'Összes kulcsszó'!$A:$A,"Cserépalátét",'Összes kulcsszó'!$G:$G,"Igen")</f>
        <v/>
      </c>
      <c r="G12" s="6" t="inlineStr">
        <is>
          <t>Erősen kapcsolódik</t>
        </is>
      </c>
      <c r="H12" s="6" t="inlineStr">
        <is>
          <t>termékexport szükséges</t>
        </is>
      </c>
      <c r="I12" s="6" t="inlineStr">
        <is>
          <t>Önálló kategória</t>
        </is>
      </c>
      <c r="J12" s="6" t="inlineStr">
        <is>
          <t>A sandbox „Tálca, alátét” kettébontása: a cserépalátét-klaszter önmagában erős (260 + 260 + 140 + 140 + 110).</t>
        </is>
      </c>
    </row>
    <row r="13">
      <c r="A13" s="9" t="n">
        <v>2</v>
      </c>
      <c r="B13" s="9" t="inlineStr">
        <is>
          <t>Műanyag tálca, árapály asztal</t>
        </is>
      </c>
      <c r="C13" s="9" t="inlineStr">
        <is>
          <t>Cserép, tálca</t>
        </is>
      </c>
      <c r="D13" s="9" t="inlineStr">
        <is>
          <t>nagyméretű műanyag tálca</t>
        </is>
      </c>
      <c r="E13" s="16" t="n">
        <v>140</v>
      </c>
      <c r="F13" s="16">
        <f>SUMIFS('Összes kulcsszó'!$E:$E,'Összes kulcsszó'!$A:$A,"Műanyag tálca, árapály asztal",'Összes kulcsszó'!$G:$G,"Igen")</f>
        <v/>
      </c>
      <c r="G13" s="9" t="inlineStr">
        <is>
          <t>Lazán kapcsolódik</t>
        </is>
      </c>
      <c r="H13" s="9" t="inlineStr">
        <is>
          <t>termékexport szükséges</t>
        </is>
      </c>
      <c r="I13" s="9" t="inlineStr">
        <is>
          <t>Önálló kategória</t>
        </is>
      </c>
      <c r="J13" s="9" t="inlineStr">
        <is>
          <t>Gyűjtőtálca sátorba és árapály rendszer (ebb and flow 70, árapály asztal 50). A „gyűjtőtálca” névre nincs keresés.</t>
        </is>
      </c>
    </row>
    <row r="15">
      <c r="A15" s="10" t="inlineStr">
        <is>
          <t>Ami NE legyen önálló kategória</t>
        </is>
      </c>
    </row>
    <row r="16">
      <c r="A16" s="3" t="inlineStr">
        <is>
          <t>Téma</t>
        </is>
      </c>
      <c r="B16" s="3" t="inlineStr">
        <is>
          <t>Kulcsszó</t>
        </is>
      </c>
      <c r="C16" s="3" t="inlineStr">
        <is>
          <t>Havi keresés</t>
        </is>
      </c>
      <c r="D16" s="3" t="inlineStr">
        <is>
          <t>Javaslat</t>
        </is>
      </c>
    </row>
    <row r="17">
      <c r="A17" s="17" t="inlineStr">
        <is>
          <t>Speciális cserép (sandbox-név)</t>
        </is>
      </c>
      <c r="B17" s="17" t="inlineStr">
        <is>
          <t>szövetcserép</t>
        </is>
      </c>
      <c r="C17" s="18" t="n">
        <v>10</v>
      </c>
      <c r="D17" s="17" t="inlineStr">
        <is>
          <t>A „speciális cserép” névre nincs mérhető keresés – helyette Air-Pot és Szövetcserép, ültetőzsák.</t>
        </is>
      </c>
    </row>
    <row r="18">
      <c r="A18" s="17" t="inlineStr">
        <is>
          <t>Literes méretek</t>
        </is>
      </c>
      <c r="B18" s="17" t="inlineStr">
        <is>
          <t>20 literes cserép</t>
        </is>
      </c>
      <c r="C18" s="18" t="n">
        <v>50</v>
      </c>
      <c r="D18" s="17" t="inlineStr">
        <is>
          <t>Szűrő (térfogat) a Virágcserép kategóriában, nem kategória.</t>
        </is>
      </c>
    </row>
    <row r="19">
      <c r="A19" s="17" t="inlineStr">
        <is>
          <t>Szaporító / palántanevelő tálca</t>
        </is>
      </c>
      <c r="B19" s="17" t="inlineStr">
        <is>
          <t>szaporító tálca</t>
        </is>
      </c>
      <c r="C19" s="18" t="n">
        <v>320</v>
      </c>
      <c r="D19" s="17" t="inlineStr">
        <is>
          <t>A Palántanevelő / mini üvegház ág céloldala – itt csak említés (kannibalizáció).</t>
        </is>
      </c>
    </row>
    <row r="20">
      <c r="A20" s="17" t="inlineStr">
        <is>
          <t>Mikrozöld tálca</t>
        </is>
      </c>
      <c r="B20" s="17" t="inlineStr">
        <is>
          <t>mikrozöld tálca</t>
        </is>
      </c>
      <c r="C20" s="18" t="n">
        <v>70</v>
      </c>
      <c r="D20" s="17" t="inlineStr">
        <is>
          <t>A Mikrozöld termesztés főkategóriáé.</t>
        </is>
      </c>
    </row>
    <row r="21">
      <c r="A21" s="17" t="inlineStr">
        <is>
          <t>Csepptálca, kármentő</t>
        </is>
      </c>
      <c r="B21" s="17" t="inlineStr">
        <is>
          <t>kármentő tálca</t>
        </is>
      </c>
      <c r="C21" s="18" t="n">
        <v>480</v>
      </c>
      <c r="D21" s="17" t="inlineStr">
        <is>
          <t>Klíma / ipari keresés – nem célozni.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18" customWidth="1" min="3" max="3"/>
    <col width="20" customWidth="1" min="4" max="4"/>
    <col width="30" customWidth="1" min="5" max="5"/>
    <col width="30" customWidth="1" min="6" max="6"/>
    <col width="18" customWidth="1" min="7" max="7"/>
    <col width="40" customWidth="1" min="8" max="8"/>
  </cols>
  <sheetData>
    <row r="1">
      <c r="A1" s="1" t="inlineStr">
        <is>
          <t>Termékkínálat – termék–kategória hozzárendelés</t>
        </is>
      </c>
    </row>
    <row r="2">
      <c r="A2" s="2" t="inlineStr">
        <is>
          <t>A termékexport ebben a munkamenetben még nem állt rendelkezésre (a felhőből az éles bolt nem érhető el), ezért a termékek itt és a kategórialapokon még nem szerepelnek.</t>
        </is>
      </c>
    </row>
    <row r="3">
      <c r="A3" s="2" t="inlineStr">
        <is>
          <t>Kérjük a teljes termékexportot CSV-ben (termékkód, terméknév, gyártó, gyűjtőtermék) – utána minden kategóriához kigyűjtjük az odaillő termékeket (egy termék több kategóriában is lehet).</t>
        </is>
      </c>
    </row>
    <row r="5">
      <c r="A5" s="3" t="inlineStr">
        <is>
          <t>Termékkód</t>
        </is>
      </c>
      <c r="B5" s="3" t="inlineStr">
        <is>
          <t>Terméknév</t>
        </is>
      </c>
      <c r="C5" s="3" t="inlineStr">
        <is>
          <t>Gyártó</t>
        </is>
      </c>
      <c r="D5" s="3" t="inlineStr">
        <is>
          <t>Gyűjtőtermék (GYUJTO…)</t>
        </is>
      </c>
      <c r="E5" s="3" t="inlineStr">
        <is>
          <t>Elsődleges javasolt kategória</t>
        </is>
      </c>
      <c r="F5" s="3" t="inlineStr">
        <is>
          <t>További kategóriák</t>
        </is>
      </c>
      <c r="G5" s="3" t="inlineStr">
        <is>
          <t>Illeszkedés (Erős / Laza)</t>
        </is>
      </c>
      <c r="H5" s="3" t="inlineStr">
        <is>
          <t>Megjegyzés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"/>
    </sheetView>
  </sheetViews>
  <sheetFormatPr baseColWidth="8" defaultRowHeight="15"/>
  <cols>
    <col width="38" customWidth="1" min="1" max="1"/>
    <col width="44" customWidth="1" min="2" max="2"/>
    <col width="16" customWidth="1" min="3" max="3"/>
    <col width="20" customWidth="1" min="4" max="4"/>
    <col width="16" customWidth="1" min="5" max="5"/>
    <col width="52" customWidth="1" min="6" max="6"/>
  </cols>
  <sheetData>
    <row r="1">
      <c r="A1" s="1" t="inlineStr">
        <is>
          <t>Rokon, cserepekhez kapcsolódó területek (Kulcsszótervező, HU, 12 hó átlag)</t>
        </is>
      </c>
    </row>
    <row r="2">
      <c r="A2" s="2" t="inlineStr">
        <is>
          <t>Más szándékú vagy más főkategóriába tartozó témák – csak ha van hozzá termék.</t>
        </is>
      </c>
    </row>
    <row r="4">
      <c r="A4" s="3" t="inlineStr">
        <is>
          <t>Terület</t>
        </is>
      </c>
      <c r="B4" s="3" t="inlineStr">
        <is>
          <t>Javaslat</t>
        </is>
      </c>
      <c r="C4" s="3" t="inlineStr">
        <is>
          <t>Releváns keresés (Szoros+Laza)</t>
        </is>
      </c>
    </row>
    <row r="5">
      <c r="A5" s="2" t="inlineStr">
        <is>
          <t>Műanyag vödör</t>
        </is>
      </c>
      <c r="B5" s="2" t="inlineStr">
        <is>
          <t>Csak ha van vödör (pl. DWC / hidro vödör) – akkor a Hidro ágba vagy szűrőként</t>
        </is>
      </c>
      <c r="C5" s="19">
        <f>SUMIFS(C12:C29,A12:A29,A5,E12:E29,"&lt;&gt;Nem")</f>
        <v/>
      </c>
    </row>
    <row r="6">
      <c r="A6" s="2" t="inlineStr">
        <is>
          <t>Hidrokultúrás cserép, hálós kosár</t>
        </is>
      </c>
      <c r="B6" s="2" t="inlineStr">
        <is>
          <t>A Hidro főkategóriába (ha van); innen kereszt-link</t>
        </is>
      </c>
      <c r="C6" s="19">
        <f>SUMIFS(C12:C29,A12:A29,A6,E12:E29,"&lt;&gt;Nem")</f>
        <v/>
      </c>
    </row>
    <row r="7">
      <c r="A7" s="2" t="inlineStr">
        <is>
          <t>Orchidea és átlátszó cserép</t>
        </is>
      </c>
      <c r="B7" s="2" t="inlineStr">
        <is>
          <t>Csak ha van ilyen termék – különben szűrő / említés</t>
        </is>
      </c>
      <c r="C7" s="19">
        <f>SUMIFS(C12:C29,A12:A29,A7,E12:E29,"&lt;&gt;Nem")</f>
        <v/>
      </c>
    </row>
    <row r="8">
      <c r="A8" s="2" t="inlineStr">
        <is>
          <t>Kaspó, virágláda, dekor cserép</t>
        </is>
      </c>
      <c r="B8" s="2" t="inlineStr">
        <is>
          <t>Nem growshop-téma – csak ha forgalmazod</t>
        </is>
      </c>
      <c r="C8" s="19">
        <f>SUMIFS(C12:C29,A12:A29,A8,E12:E29,"&lt;&gt;Nem")</f>
        <v/>
      </c>
    </row>
    <row r="11">
      <c r="A11" s="3" t="inlineStr">
        <is>
          <t>Terület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7" t="inlineStr">
        <is>
          <t>Műanyag vödör</t>
        </is>
      </c>
      <c r="B12" s="7" t="inlineStr">
        <is>
          <t>műanyag vödör</t>
        </is>
      </c>
      <c r="C12" s="8" t="n">
        <v>590</v>
      </c>
      <c r="D12" s="7" t="inlineStr">
        <is>
          <t>Laza</t>
        </is>
      </c>
      <c r="E12" s="7" t="inlineStr">
        <is>
          <t>Igen</t>
        </is>
      </c>
      <c r="F12" s="7" t="inlineStr">
        <is>
          <t>Csak ha van vödör (pl. DWC / hidro vödör) – akkor a Hidro ágba vagy szűrőként</t>
        </is>
      </c>
    </row>
    <row r="13">
      <c r="A13" s="7" t="inlineStr">
        <is>
          <t>Műanyag vödör</t>
        </is>
      </c>
      <c r="B13" s="7" t="inlineStr">
        <is>
          <t>műanyagvödör</t>
        </is>
      </c>
      <c r="C13" s="8" t="n">
        <v>590</v>
      </c>
      <c r="D13" s="7" t="inlineStr">
        <is>
          <t>Laza</t>
        </is>
      </c>
      <c r="E13" s="7" t="inlineStr">
        <is>
          <t>Igen</t>
        </is>
      </c>
      <c r="F13" s="7" t="inlineStr">
        <is>
          <t>Csak ha van vödör (pl. DWC / hidro vödör) – akkor a Hidro ágba vagy szűrőként</t>
        </is>
      </c>
    </row>
    <row r="14">
      <c r="A14" s="7" t="inlineStr">
        <is>
          <t>Műanyag vödör</t>
        </is>
      </c>
      <c r="B14" s="7" t="inlineStr">
        <is>
          <t>olcsó műanyag vödör</t>
        </is>
      </c>
      <c r="C14" s="8" t="n">
        <v>70</v>
      </c>
      <c r="D14" s="7" t="inlineStr">
        <is>
          <t>Laza</t>
        </is>
      </c>
      <c r="E14" s="7" t="inlineStr">
        <is>
          <t>Igen</t>
        </is>
      </c>
      <c r="F14" s="7" t="inlineStr">
        <is>
          <t>Csak ha van vödör (pl. DWC / hidro vödör) – akkor a Hidro ágba vagy szűrőként</t>
        </is>
      </c>
    </row>
    <row r="15">
      <c r="A15" s="7" t="inlineStr">
        <is>
          <t>Műanyag vödör</t>
        </is>
      </c>
      <c r="B15" s="7" t="inlineStr">
        <is>
          <t>műanyag vödör fedővel</t>
        </is>
      </c>
      <c r="C15" s="8" t="n">
        <v>20</v>
      </c>
      <c r="D15" s="7" t="inlineStr">
        <is>
          <t>Laza</t>
        </is>
      </c>
      <c r="E15" s="7" t="inlineStr">
        <is>
          <t>Igen</t>
        </is>
      </c>
      <c r="F15" s="7" t="inlineStr">
        <is>
          <t>Csak ha van vödör (pl. DWC / hidro vödör) – akkor a Hidro ágba vagy szűrőként</t>
        </is>
      </c>
    </row>
    <row r="16">
      <c r="A16" s="7" t="inlineStr">
        <is>
          <t>Hidrokultúrás cserép, hálós kosár</t>
        </is>
      </c>
      <c r="B16" s="7" t="inlineStr">
        <is>
          <t>hidrokultúrás cserép</t>
        </is>
      </c>
      <c r="C16" s="8" t="n">
        <v>30</v>
      </c>
      <c r="D16" s="7" t="inlineStr">
        <is>
          <t>Laza</t>
        </is>
      </c>
      <c r="E16" s="7" t="inlineStr">
        <is>
          <t>Igen</t>
        </is>
      </c>
      <c r="F16" s="7" t="inlineStr">
        <is>
          <t>A Hidro főkategóriába (ha van); innen kereszt-link</t>
        </is>
      </c>
    </row>
    <row r="17">
      <c r="A17" s="7" t="inlineStr">
        <is>
          <t>Hidrokultúrás cserép, hálós kosár</t>
        </is>
      </c>
      <c r="B17" s="7" t="inlineStr">
        <is>
          <t>hálós kosár</t>
        </is>
      </c>
      <c r="C17" s="8" t="n">
        <v>20</v>
      </c>
      <c r="D17" s="7" t="inlineStr">
        <is>
          <t>Laza</t>
        </is>
      </c>
      <c r="E17" s="7" t="inlineStr">
        <is>
          <t>Igen</t>
        </is>
      </c>
      <c r="F17" s="7" t="inlineStr">
        <is>
          <t>A Hidro főkategóriába (ha van); innen kereszt-link</t>
        </is>
      </c>
    </row>
    <row r="18">
      <c r="A18" s="7" t="inlineStr">
        <is>
          <t>Hidrokultúrás cserép, hálós kosár</t>
        </is>
      </c>
      <c r="B18" s="7" t="inlineStr">
        <is>
          <t>hidroponikus cserép</t>
        </is>
      </c>
      <c r="C18" s="8" t="n">
        <v>20</v>
      </c>
      <c r="D18" s="7" t="inlineStr">
        <is>
          <t>Laza</t>
        </is>
      </c>
      <c r="E18" s="7" t="inlineStr">
        <is>
          <t>Igen</t>
        </is>
      </c>
      <c r="F18" s="7" t="inlineStr">
        <is>
          <t>A Hidro főkategóriába (ha van); innen kereszt-link</t>
        </is>
      </c>
    </row>
    <row r="19">
      <c r="A19" s="7" t="inlineStr">
        <is>
          <t>Hidrokultúrás cserép, hálós kosár</t>
        </is>
      </c>
      <c r="B19" s="7" t="inlineStr">
        <is>
          <t>hidro cserép</t>
        </is>
      </c>
      <c r="C19" s="8" t="n">
        <v>10</v>
      </c>
      <c r="D19" s="7" t="inlineStr">
        <is>
          <t>Laza</t>
        </is>
      </c>
      <c r="E19" s="7" t="inlineStr">
        <is>
          <t>Igen</t>
        </is>
      </c>
      <c r="F19" s="7" t="inlineStr">
        <is>
          <t>A Hidro főkategóriába (ha van); innen kereszt-link</t>
        </is>
      </c>
    </row>
    <row r="20">
      <c r="A20" s="7" t="inlineStr">
        <is>
          <t>Hidrokultúrás cserép, hálós kosár</t>
        </is>
      </c>
      <c r="B20" s="7" t="inlineStr">
        <is>
          <t>net pot</t>
        </is>
      </c>
      <c r="C20" s="8" t="n">
        <v>10</v>
      </c>
      <c r="D20" s="7" t="inlineStr">
        <is>
          <t>Laza</t>
        </is>
      </c>
      <c r="E20" s="7" t="inlineStr">
        <is>
          <t>Igen</t>
        </is>
      </c>
      <c r="F20" s="7" t="inlineStr">
        <is>
          <t>A Hidro főkategóriába (ha van); innen kereszt-link</t>
        </is>
      </c>
    </row>
    <row r="21">
      <c r="A21" s="7" t="inlineStr">
        <is>
          <t>Orchidea és átlátszó cserép</t>
        </is>
      </c>
      <c r="B21" s="7" t="inlineStr">
        <is>
          <t>orchidea cserép</t>
        </is>
      </c>
      <c r="C21" s="8" t="n">
        <v>720</v>
      </c>
      <c r="D21" s="7" t="inlineStr">
        <is>
          <t>Laza</t>
        </is>
      </c>
      <c r="E21" s="7" t="inlineStr">
        <is>
          <t>Igen</t>
        </is>
      </c>
      <c r="F21" s="7" t="inlineStr">
        <is>
          <t>Csak ha van ilyen termék – különben szűrő / említés</t>
        </is>
      </c>
    </row>
    <row r="22">
      <c r="A22" s="7" t="inlineStr">
        <is>
          <t>Orchidea és átlátszó cserép</t>
        </is>
      </c>
      <c r="B22" s="7" t="inlineStr">
        <is>
          <t>átlátszó cserép</t>
        </is>
      </c>
      <c r="C22" s="8" t="n">
        <v>90</v>
      </c>
      <c r="D22" s="7" t="inlineStr">
        <is>
          <t>Laza</t>
        </is>
      </c>
      <c r="E22" s="7" t="inlineStr">
        <is>
          <t>Igen</t>
        </is>
      </c>
      <c r="F22" s="7" t="inlineStr">
        <is>
          <t>Csak ha van ilyen termék – különben szűrő / említés</t>
        </is>
      </c>
    </row>
    <row r="23">
      <c r="A23" s="7" t="inlineStr">
        <is>
          <t>Orchidea és átlátszó cserép</t>
        </is>
      </c>
      <c r="B23" s="7" t="inlineStr">
        <is>
          <t>orchidea cserép átlátszó</t>
        </is>
      </c>
      <c r="C23" s="8" t="n">
        <v>70</v>
      </c>
      <c r="D23" s="7" t="inlineStr">
        <is>
          <t>Laza</t>
        </is>
      </c>
      <c r="E23" s="7" t="inlineStr">
        <is>
          <t>Igen</t>
        </is>
      </c>
      <c r="F23" s="7" t="inlineStr">
        <is>
          <t>Csak ha van ilyen termék – különben szűrő / említés</t>
        </is>
      </c>
    </row>
    <row r="24">
      <c r="A24" s="7" t="inlineStr">
        <is>
          <t>Orchidea és átlátszó cserép</t>
        </is>
      </c>
      <c r="B24" s="7" t="inlineStr">
        <is>
          <t>átlátszó orchidea cserép</t>
        </is>
      </c>
      <c r="C24" s="8" t="n">
        <v>30</v>
      </c>
      <c r="D24" s="7" t="inlineStr">
        <is>
          <t>Laza</t>
        </is>
      </c>
      <c r="E24" s="7" t="inlineStr">
        <is>
          <t>Igen</t>
        </is>
      </c>
      <c r="F24" s="7" t="inlineStr">
        <is>
          <t>Csak ha van ilyen termék – különben szűrő / említés</t>
        </is>
      </c>
    </row>
    <row r="25">
      <c r="A25" s="11" t="inlineStr">
        <is>
          <t>Kaspó, virágláda, dekor cserép</t>
        </is>
      </c>
      <c r="B25" s="11" t="inlineStr">
        <is>
          <t>kaspó</t>
        </is>
      </c>
      <c r="C25" s="20" t="n">
        <v>2400</v>
      </c>
      <c r="D25" s="11" t="inlineStr">
        <is>
          <t>Laza</t>
        </is>
      </c>
      <c r="E25" s="11" t="inlineStr">
        <is>
          <t>Nem</t>
        </is>
      </c>
      <c r="F25" s="11" t="inlineStr">
        <is>
          <t>Nem growshop-téma – csak ha forgalmazod</t>
        </is>
      </c>
    </row>
    <row r="26">
      <c r="A26" s="11" t="inlineStr">
        <is>
          <t>Kaspó, virágláda, dekor cserép</t>
        </is>
      </c>
      <c r="B26" s="11" t="inlineStr">
        <is>
          <t>virágláda</t>
        </is>
      </c>
      <c r="C26" s="20" t="n">
        <v>2400</v>
      </c>
      <c r="D26" s="11" t="inlineStr">
        <is>
          <t>Laza</t>
        </is>
      </c>
      <c r="E26" s="11" t="inlineStr">
        <is>
          <t>Nem</t>
        </is>
      </c>
      <c r="F26" s="11" t="inlineStr">
        <is>
          <t>Nem growshop-téma – csak ha forgalmazod</t>
        </is>
      </c>
    </row>
    <row r="27">
      <c r="A27" s="11" t="inlineStr">
        <is>
          <t>Kaspó, virágláda, dekor cserép</t>
        </is>
      </c>
      <c r="B27" s="11" t="inlineStr">
        <is>
          <t>virágtartó</t>
        </is>
      </c>
      <c r="C27" s="20" t="n">
        <v>2400</v>
      </c>
      <c r="D27" s="11" t="inlineStr">
        <is>
          <t>Laza</t>
        </is>
      </c>
      <c r="E27" s="11" t="inlineStr">
        <is>
          <t>Nem</t>
        </is>
      </c>
      <c r="F27" s="11" t="inlineStr">
        <is>
          <t>Nem growshop-téma – csak ha forgalmazod</t>
        </is>
      </c>
    </row>
    <row r="28">
      <c r="A28" s="11" t="inlineStr">
        <is>
          <t>Kaspó, virágláda, dekor cserép</t>
        </is>
      </c>
      <c r="B28" s="11" t="inlineStr">
        <is>
          <t>agyag cserép</t>
        </is>
      </c>
      <c r="C28" s="20" t="n">
        <v>720</v>
      </c>
      <c r="D28" s="11" t="inlineStr">
        <is>
          <t>Laza</t>
        </is>
      </c>
      <c r="E28" s="11" t="inlineStr">
        <is>
          <t>Nem</t>
        </is>
      </c>
      <c r="F28" s="11" t="inlineStr">
        <is>
          <t>Nem growshop-téma – csak ha forgalmazod</t>
        </is>
      </c>
    </row>
    <row r="29">
      <c r="A29" s="11" t="inlineStr">
        <is>
          <t>Kaspó, virágláda, dekor cserép</t>
        </is>
      </c>
      <c r="B29" s="11" t="inlineStr">
        <is>
          <t>kerámia cserép</t>
        </is>
      </c>
      <c r="C29" s="20" t="n">
        <v>590</v>
      </c>
      <c r="D29" s="11" t="inlineStr">
        <is>
          <t>Laza</t>
        </is>
      </c>
      <c r="E29" s="11" t="inlineStr">
        <is>
          <t>Nem</t>
        </is>
      </c>
      <c r="F29" s="11" t="inlineStr">
        <is>
          <t>Nem growshop-téma – csak ha forgalmazod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34" customWidth="1" min="1" max="1"/>
    <col width="60" customWidth="1" min="2" max="2"/>
    <col width="16" customWidth="1" min="3" max="3"/>
    <col width="22" customWidth="1" min="4" max="4"/>
    <col width="16" customWidth="1" min="5" max="5"/>
    <col width="52" customWidth="1" min="6" max="6"/>
  </cols>
  <sheetData>
    <row r="1">
      <c r="A1" s="1" t="inlineStr">
        <is>
          <t>A sandbox „Cserép, tálca” menünevei – keresési volumen és javasolt név</t>
        </is>
      </c>
    </row>
    <row r="2">
      <c r="A2" s="2" t="inlineStr">
        <is>
          <t>Sandbox-tervezet: Virágcserép; Speciális cserép, szövetcserép; Tálca, alátét.</t>
        </is>
      </c>
    </row>
    <row r="4">
      <c r="A4" s="3" t="inlineStr">
        <is>
          <t>Régi kategória</t>
        </is>
      </c>
      <c r="B4" s="3" t="inlineStr">
        <is>
          <t>Javaslat (hova kerüljön)</t>
        </is>
      </c>
      <c r="C4" s="3" t="inlineStr">
        <is>
          <t>Releváns keresés (Szoros+Laza)</t>
        </is>
      </c>
    </row>
    <row r="5">
      <c r="A5" s="2" t="inlineStr">
        <is>
          <t>Cserép, tálca (főkategória)</t>
        </is>
      </c>
      <c r="B5" s="17" t="inlineStr">
        <is>
          <t>A „cserép” (2900) tetőcserép, a „cserép tálca” / „cserép és tálca” kifejezésre nincs mérhető keresés. Menünévnek jó, a H1 / SEO title legyen: „Virágcserép, cserépalátét, tálca”.</t>
        </is>
      </c>
      <c r="C5" s="19">
        <f>SUMIFS(C12:C25,A12:A25,A5,E12:E25,"Igen")</f>
        <v/>
      </c>
    </row>
    <row r="6">
      <c r="A6" s="2" t="inlineStr">
        <is>
          <t>Virágcserép</t>
        </is>
      </c>
      <c r="B6" s="17" t="inlineStr">
        <is>
          <t>Marad; H1: „Műanyag virágcserép”, szűrők: liter, átmérő, forma</t>
        </is>
      </c>
      <c r="C6" s="19">
        <f>SUMIFS(C12:C25,A12:A25,A6,E12:E25,"Igen")</f>
        <v/>
      </c>
    </row>
    <row r="7">
      <c r="A7" s="2" t="inlineStr">
        <is>
          <t>Speciális cserép, szövetcserép</t>
        </is>
      </c>
      <c r="B7" s="17" t="inlineStr">
        <is>
          <t>A „speciális cserép” névre nincs keresés, a „szövetcserép”-re 10. Javaslat: két önálló alkategória – „Air-Pot cserép” és „Szövetcserép, ültetőzsák”.</t>
        </is>
      </c>
      <c r="C7" s="19">
        <f>SUMIFS(C12:C25,A12:A25,A7,E12:E25,"Igen")</f>
        <v/>
      </c>
    </row>
    <row r="8">
      <c r="A8" s="2" t="inlineStr">
        <is>
          <t>Tálca, alátét</t>
        </is>
      </c>
      <c r="B8" s="17" t="inlineStr">
        <is>
          <t>Az „alátét” (720) csavaralátét, a „tálcák” (1000) konyhai. Javaslat: kettébontás – „Cserépalátét” és „Műanyag tálca, árapály asztal”.</t>
        </is>
      </c>
      <c r="C8" s="19">
        <f>SUMIFS(C12:C25,A12:A25,A8,E12:E25,"Igen")</f>
        <v/>
      </c>
    </row>
    <row r="11">
      <c r="A11" s="3" t="inlineStr">
        <is>
          <t>Régi kategória</t>
        </is>
      </c>
      <c r="B11" s="3" t="inlineStr">
        <is>
          <t>Kulcsszó</t>
        </is>
      </c>
      <c r="C11" s="3" t="inlineStr">
        <is>
          <t>Havi keresés</t>
        </is>
      </c>
      <c r="D11" s="3" t="inlineStr">
        <is>
          <t>Kötődés a webshophoz</t>
        </is>
      </c>
      <c r="E11" s="3" t="inlineStr">
        <is>
          <t>Érdemes rá oldal?</t>
        </is>
      </c>
      <c r="F11" s="3" t="inlineStr">
        <is>
          <t>Javasolt felhasználás</t>
        </is>
      </c>
    </row>
    <row r="12">
      <c r="A12" s="11" t="inlineStr">
        <is>
          <t>Cserép, tálca (főkategória)</t>
        </is>
      </c>
      <c r="B12" s="11" t="inlineStr">
        <is>
          <t>cserép</t>
        </is>
      </c>
      <c r="C12" s="20" t="n">
        <v>2900</v>
      </c>
      <c r="D12" s="11" t="inlineStr">
        <is>
          <t>Laza</t>
        </is>
      </c>
      <c r="E12" s="11" t="inlineStr">
        <is>
          <t>Nem</t>
        </is>
      </c>
      <c r="F12" s="11" t="inlineStr">
        <is>
          <t>Nem célozni külön oldallal (max. említés)</t>
        </is>
      </c>
    </row>
    <row r="13">
      <c r="A13" s="4" t="inlineStr">
        <is>
          <t>Cserép, tálca (főkategória)</t>
        </is>
      </c>
      <c r="B13" s="4" t="inlineStr">
        <is>
          <t>virágcserép</t>
        </is>
      </c>
      <c r="C13" s="5" t="n">
        <v>2400</v>
      </c>
      <c r="D13" s="4" t="inlineStr">
        <is>
          <t>Szoros</t>
        </is>
      </c>
      <c r="E13" s="4" t="inlineStr">
        <is>
          <t>Igen</t>
        </is>
      </c>
      <c r="F13" s="4" t="inlineStr">
        <is>
          <t>Az új kategória leírásában / átirányítás (301) a régi URL-ről</t>
        </is>
      </c>
    </row>
    <row r="14">
      <c r="A14" s="4" t="inlineStr">
        <is>
          <t>Cserép, tálca (főkategória)</t>
        </is>
      </c>
      <c r="B14" s="4" t="inlineStr">
        <is>
          <t>cserépalátét</t>
        </is>
      </c>
      <c r="C14" s="5" t="n">
        <v>260</v>
      </c>
      <c r="D14" s="4" t="inlineStr">
        <is>
          <t>Szoros</t>
        </is>
      </c>
      <c r="E14" s="4" t="inlineStr">
        <is>
          <t>Igen</t>
        </is>
      </c>
      <c r="F14" s="4" t="inlineStr">
        <is>
          <t>Az új kategória leírásában / átirányítás (301) a régi URL-ről</t>
        </is>
      </c>
    </row>
    <row r="15">
      <c r="A15" s="4" t="inlineStr">
        <is>
          <t>Virágcserép</t>
        </is>
      </c>
      <c r="B15" s="4" t="inlineStr">
        <is>
          <t>virágcserép</t>
        </is>
      </c>
      <c r="C15" s="5" t="n">
        <v>2400</v>
      </c>
      <c r="D15" s="4" t="inlineStr">
        <is>
          <t>Szoros</t>
        </is>
      </c>
      <c r="E15" s="4" t="inlineStr">
        <is>
          <t>Igen</t>
        </is>
      </c>
      <c r="F15" s="4" t="inlineStr">
        <is>
          <t>Az új kategória leírásában / átirányítás (301) a régi URL-ről</t>
        </is>
      </c>
    </row>
    <row r="16">
      <c r="A16" s="4" t="inlineStr">
        <is>
          <t>Virágcserép</t>
        </is>
      </c>
      <c r="B16" s="4" t="inlineStr">
        <is>
          <t>műanyag virágcserép</t>
        </is>
      </c>
      <c r="C16" s="5" t="n">
        <v>590</v>
      </c>
      <c r="D16" s="4" t="inlineStr">
        <is>
          <t>Szoros</t>
        </is>
      </c>
      <c r="E16" s="4" t="inlineStr">
        <is>
          <t>Igen</t>
        </is>
      </c>
      <c r="F16" s="4" t="inlineStr">
        <is>
          <t>Az új kategória leírásában / átirányítás (301) a régi URL-ről</t>
        </is>
      </c>
    </row>
    <row r="17">
      <c r="A17" s="4" t="inlineStr">
        <is>
          <t>Speciális cserép, szövetcserép</t>
        </is>
      </c>
      <c r="B17" s="4" t="inlineStr">
        <is>
          <t>airpot</t>
        </is>
      </c>
      <c r="C17" s="5" t="n">
        <v>140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Az új kategória leírásában / átirányítás (301) a régi URL-ről</t>
        </is>
      </c>
    </row>
    <row r="18">
      <c r="A18" s="4" t="inlineStr">
        <is>
          <t>Speciális cserép, szövetcserép</t>
        </is>
      </c>
      <c r="B18" s="4" t="inlineStr">
        <is>
          <t>ültetőzsák</t>
        </is>
      </c>
      <c r="C18" s="5" t="n">
        <v>90</v>
      </c>
      <c r="D18" s="4" t="inlineStr">
        <is>
          <t>Szoros</t>
        </is>
      </c>
      <c r="E18" s="4" t="inlineStr">
        <is>
          <t>Igen</t>
        </is>
      </c>
      <c r="F18" s="4" t="inlineStr">
        <is>
          <t>Az új kategória leírásában / átirányítás (301) a régi URL-ről</t>
        </is>
      </c>
    </row>
    <row r="19">
      <c r="A19" s="4" t="inlineStr">
        <is>
          <t>Speciális cserép, szövetcserép</t>
        </is>
      </c>
      <c r="B19" s="4" t="inlineStr">
        <is>
          <t>szövet cserép</t>
        </is>
      </c>
      <c r="C19" s="5" t="n">
        <v>20</v>
      </c>
      <c r="D19" s="4" t="inlineStr">
        <is>
          <t>Szoros</t>
        </is>
      </c>
      <c r="E19" s="4" t="inlineStr">
        <is>
          <t>Igen</t>
        </is>
      </c>
      <c r="F19" s="4" t="inlineStr">
        <is>
          <t>Az új kategória leírásában / átirányítás (301) a régi URL-ről</t>
        </is>
      </c>
    </row>
    <row r="20">
      <c r="A20" s="4" t="inlineStr">
        <is>
          <t>Speciális cserép, szövetcserép</t>
        </is>
      </c>
      <c r="B20" s="4" t="inlineStr">
        <is>
          <t>szövetcserép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Az új kategória leírásában / átirányítás (301) a régi URL-ről</t>
        </is>
      </c>
    </row>
    <row r="21">
      <c r="A21" s="11" t="inlineStr">
        <is>
          <t>Tálca, alátét</t>
        </is>
      </c>
      <c r="B21" s="11" t="inlineStr">
        <is>
          <t>tálcák</t>
        </is>
      </c>
      <c r="C21" s="20" t="n">
        <v>1000</v>
      </c>
      <c r="D21" s="11" t="inlineStr">
        <is>
          <t>Laza</t>
        </is>
      </c>
      <c r="E21" s="11" t="inlineStr">
        <is>
          <t>Nem</t>
        </is>
      </c>
      <c r="F21" s="11" t="inlineStr">
        <is>
          <t>Nem célozni külön oldallal (max. említés)</t>
        </is>
      </c>
    </row>
    <row r="22">
      <c r="A22" s="11" t="inlineStr">
        <is>
          <t>Tálca, alátét</t>
        </is>
      </c>
      <c r="B22" s="11" t="inlineStr">
        <is>
          <t>alátét</t>
        </is>
      </c>
      <c r="C22" s="20" t="n">
        <v>720</v>
      </c>
      <c r="D22" s="11" t="inlineStr">
        <is>
          <t>Laza</t>
        </is>
      </c>
      <c r="E22" s="11" t="inlineStr">
        <is>
          <t>Nem</t>
        </is>
      </c>
      <c r="F22" s="11" t="inlineStr">
        <is>
          <t>Nem célozni külön oldallal (max. említés)</t>
        </is>
      </c>
    </row>
    <row r="23">
      <c r="A23" s="4" t="inlineStr">
        <is>
          <t>Tálca, alátét</t>
        </is>
      </c>
      <c r="B23" s="4" t="inlineStr">
        <is>
          <t>cserépalátét</t>
        </is>
      </c>
      <c r="C23" s="5" t="n">
        <v>260</v>
      </c>
      <c r="D23" s="4" t="inlineStr">
        <is>
          <t>Szoros</t>
        </is>
      </c>
      <c r="E23" s="4" t="inlineStr">
        <is>
          <t>Igen</t>
        </is>
      </c>
      <c r="F23" s="4" t="inlineStr">
        <is>
          <t>Az új kategória leírásában / átirányítás (301) a régi URL-ről</t>
        </is>
      </c>
    </row>
    <row r="24">
      <c r="A24" s="4" t="inlineStr">
        <is>
          <t>Tálca, alátét</t>
        </is>
      </c>
      <c r="B24" s="4" t="inlineStr">
        <is>
          <t>cserép alátét</t>
        </is>
      </c>
      <c r="C24" s="5" t="n">
        <v>260</v>
      </c>
      <c r="D24" s="4" t="inlineStr">
        <is>
          <t>Szoros</t>
        </is>
      </c>
      <c r="E24" s="4" t="inlineStr">
        <is>
          <t>Igen</t>
        </is>
      </c>
      <c r="F24" s="4" t="inlineStr">
        <is>
          <t>Az új kategória leírásában / átirányítás (301) a régi URL-ről</t>
        </is>
      </c>
    </row>
    <row r="25">
      <c r="A25" s="7" t="inlineStr">
        <is>
          <t>Tálca, alátét</t>
        </is>
      </c>
      <c r="B25" s="7" t="inlineStr">
        <is>
          <t>nagyméretű műanyag tálca</t>
        </is>
      </c>
      <c r="C25" s="8" t="n">
        <v>140</v>
      </c>
      <c r="D25" s="7" t="inlineStr">
        <is>
          <t>Laza</t>
        </is>
      </c>
      <c r="E25" s="7" t="inlineStr">
        <is>
          <t>Igen</t>
        </is>
      </c>
      <c r="F25" s="7" t="inlineStr">
        <is>
          <t>Az új kategória leírásában / átirányítás (301) a régi URL-ről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5" customWidth="1" min="2" max="2"/>
    <col width="38" customWidth="1" min="3" max="3"/>
    <col width="22" customWidth="1" min="4" max="4"/>
    <col width="12" customWidth="1" min="5" max="5"/>
    <col width="22" customWidth="1" min="6" max="6"/>
    <col width="16" customWidth="1" min="7" max="7"/>
    <col width="30" customWidth="1" min="8" max="8"/>
    <col width="40" customWidth="1" min="9" max="9"/>
  </cols>
  <sheetData>
    <row r="1">
      <c r="A1" s="3" t="inlineStr">
        <is>
          <t>Kategória</t>
        </is>
      </c>
      <c r="B1" s="3" t="inlineStr">
        <is>
          <t>#</t>
        </is>
      </c>
      <c r="C1" s="3" t="inlineStr">
        <is>
          <t>Kulcsszó</t>
        </is>
      </c>
      <c r="D1" s="3" t="inlineStr">
        <is>
          <t>Megjegyzés (szint)</t>
        </is>
      </c>
      <c r="E1" s="3" t="inlineStr">
        <is>
          <t>Havi keresés</t>
        </is>
      </c>
      <c r="F1" s="3" t="inlineStr">
        <is>
          <t>Kötődés a webshophoz</t>
        </is>
      </c>
      <c r="G1" s="3" t="inlineStr">
        <is>
          <t>Érdemes rá kategória/oldal?</t>
        </is>
      </c>
      <c r="H1" s="3" t="inlineStr">
        <is>
          <t>Felhasználási terület</t>
        </is>
      </c>
      <c r="I1" s="3" t="inlineStr">
        <is>
          <t>Javasolt felhasználás</t>
        </is>
      </c>
    </row>
    <row r="2">
      <c r="A2" s="4" t="inlineStr">
        <is>
          <t>Virágcserép</t>
        </is>
      </c>
      <c r="B2" s="4" t="n">
        <v>1</v>
      </c>
      <c r="C2" s="4" t="inlineStr">
        <is>
          <t>virágcserép</t>
        </is>
      </c>
      <c r="D2" s="4" t="n"/>
      <c r="E2" s="5" t="n">
        <v>2400</v>
      </c>
      <c r="F2" s="4" t="inlineStr">
        <is>
          <t>Szoros</t>
        </is>
      </c>
      <c r="G2" s="4" t="inlineStr">
        <is>
          <t>Igen</t>
        </is>
      </c>
      <c r="H2" s="4" t="inlineStr">
        <is>
          <t>Termesztő cserép – műanyag, kerek, literes méretek</t>
        </is>
      </c>
      <c r="I2" s="4" t="inlineStr">
        <is>
          <t>Kategórianév + H1 + SEO title (fő kulcsszó)</t>
        </is>
      </c>
    </row>
    <row r="3">
      <c r="A3" s="11" t="inlineStr">
        <is>
          <t>Műanyag tálca, árapály asztal</t>
        </is>
      </c>
      <c r="B3" s="11" t="n">
        <v>2</v>
      </c>
      <c r="C3" s="11" t="inlineStr">
        <is>
          <t>tálcák</t>
        </is>
      </c>
      <c r="D3" s="11" t="n"/>
      <c r="E3" s="20" t="n">
        <v>1000</v>
      </c>
      <c r="F3" s="11" t="inlineStr">
        <is>
          <t>Laza</t>
        </is>
      </c>
      <c r="G3" s="11" t="inlineStr">
        <is>
          <t>Nem</t>
        </is>
      </c>
      <c r="H3" s="11" t="inlineStr">
        <is>
          <t>Gyűjtőtálca termesztősátorba, árapály (ebb &amp; flow) rendszer</t>
        </is>
      </c>
      <c r="I3" s="11" t="inlineStr">
        <is>
          <t>Nem célozni külön oldallal (max. említés)</t>
        </is>
      </c>
    </row>
    <row r="4">
      <c r="A4" s="11" t="inlineStr">
        <is>
          <t>Cserépalátét</t>
        </is>
      </c>
      <c r="B4" s="11" t="n">
        <v>2</v>
      </c>
      <c r="C4" s="11" t="inlineStr">
        <is>
          <t>alátét</t>
        </is>
      </c>
      <c r="D4" s="11" t="n"/>
      <c r="E4" s="20" t="n">
        <v>720</v>
      </c>
      <c r="F4" s="11" t="inlineStr">
        <is>
          <t>Laza</t>
        </is>
      </c>
      <c r="G4" s="11" t="inlineStr">
        <is>
          <t>Nem</t>
        </is>
      </c>
      <c r="H4" s="11" t="inlineStr">
        <is>
          <t>Cserép alá – vízfelfogás, gurulós alátét</t>
        </is>
      </c>
      <c r="I4" s="11" t="inlineStr">
        <is>
          <t>Nem célozni külön oldallal (max. említés)</t>
        </is>
      </c>
    </row>
    <row r="5">
      <c r="A5" s="4" t="inlineStr">
        <is>
          <t>Virágcserép</t>
        </is>
      </c>
      <c r="B5" s="4" t="n">
        <v>2</v>
      </c>
      <c r="C5" s="4" t="inlineStr">
        <is>
          <t>műanyag virágcserép</t>
        </is>
      </c>
      <c r="D5" s="4" t="n"/>
      <c r="E5" s="5" t="n">
        <v>590</v>
      </c>
      <c r="F5" s="4" t="inlineStr">
        <is>
          <t>Szoros</t>
        </is>
      </c>
      <c r="G5" s="4" t="inlineStr">
        <is>
          <t>Igen</t>
        </is>
      </c>
      <c r="H5" s="4" t="inlineStr">
        <is>
          <t>Termesztő cserép – műanyag, kerek, literes méretek</t>
        </is>
      </c>
      <c r="I5" s="4" t="inlineStr">
        <is>
          <t>SEO title / H1 / bevezető (másodlagos)</t>
        </is>
      </c>
    </row>
    <row r="6">
      <c r="A6" s="4" t="inlineStr">
        <is>
          <t>Virágcserép</t>
        </is>
      </c>
      <c r="B6" s="4" t="n">
        <v>3</v>
      </c>
      <c r="C6" s="4" t="inlineStr">
        <is>
          <t>műanyag virág cserép</t>
        </is>
      </c>
      <c r="D6" s="4" t="n"/>
      <c r="E6" s="5" t="n">
        <v>590</v>
      </c>
      <c r="F6" s="4" t="inlineStr">
        <is>
          <t>Szoros</t>
        </is>
      </c>
      <c r="G6" s="4" t="inlineStr">
        <is>
          <t>Igen</t>
        </is>
      </c>
      <c r="H6" s="4" t="inlineStr">
        <is>
          <t>Termesztő cserép – műanyag, kerek, literes méretek</t>
        </is>
      </c>
      <c r="I6" s="4" t="inlineStr">
        <is>
          <t>Kategórialeírás (természetes említés)</t>
        </is>
      </c>
    </row>
    <row r="7">
      <c r="A7" s="7" t="inlineStr">
        <is>
          <t>Műanyag tálca, árapály asztal</t>
        </is>
      </c>
      <c r="B7" s="7" t="n">
        <v>3</v>
      </c>
      <c r="C7" s="7" t="inlineStr">
        <is>
          <t>műanyag tálca</t>
        </is>
      </c>
      <c r="D7" s="7" t="n"/>
      <c r="E7" s="8" t="n">
        <v>590</v>
      </c>
      <c r="F7" s="7" t="inlineStr">
        <is>
          <t>Laza</t>
        </is>
      </c>
      <c r="G7" s="7" t="inlineStr">
        <is>
          <t>Igen</t>
        </is>
      </c>
      <c r="H7" s="7" t="inlineStr">
        <is>
          <t>Gyűjtőtálca termesztősátorba, árapály (ebb &amp; flow) rendszer</t>
        </is>
      </c>
      <c r="I7" s="7" t="inlineStr">
        <is>
          <t>SEO title / H1 / bevezető (másodlagos)</t>
        </is>
      </c>
    </row>
    <row r="8">
      <c r="A8" s="4" t="inlineStr">
        <is>
          <t>Virágcserép</t>
        </is>
      </c>
      <c r="B8" s="4" t="n">
        <v>4</v>
      </c>
      <c r="C8" s="4" t="inlineStr">
        <is>
          <t>műanyag cserép</t>
        </is>
      </c>
      <c r="D8" s="4" t="n"/>
      <c r="E8" s="5" t="n">
        <v>480</v>
      </c>
      <c r="F8" s="4" t="inlineStr">
        <is>
          <t>Szoros</t>
        </is>
      </c>
      <c r="G8" s="4" t="inlineStr">
        <is>
          <t>Igen</t>
        </is>
      </c>
      <c r="H8" s="4" t="inlineStr">
        <is>
          <t>Termesztő cserép – műanyag, kerek, literes méretek</t>
        </is>
      </c>
      <c r="I8" s="4" t="inlineStr">
        <is>
          <t>SEO title / H1 / bevezető (másodlagos)</t>
        </is>
      </c>
    </row>
    <row r="9">
      <c r="A9" s="4" t="inlineStr">
        <is>
          <t>Virágcserép</t>
        </is>
      </c>
      <c r="B9" s="4" t="n">
        <v>5</v>
      </c>
      <c r="C9" s="4" t="inlineStr">
        <is>
          <t>műanyagcserép</t>
        </is>
      </c>
      <c r="D9" s="4" t="n"/>
      <c r="E9" s="5" t="n">
        <v>480</v>
      </c>
      <c r="F9" s="4" t="inlineStr">
        <is>
          <t>Szoros</t>
        </is>
      </c>
      <c r="G9" s="4" t="inlineStr">
        <is>
          <t>Igen</t>
        </is>
      </c>
      <c r="H9" s="4" t="inlineStr">
        <is>
          <t>Termesztő cserép – műanyag, kerek, literes méretek</t>
        </is>
      </c>
      <c r="I9" s="4" t="inlineStr">
        <is>
          <t>Kategórialeírás (természetes említés)</t>
        </is>
      </c>
    </row>
    <row r="10">
      <c r="A10" s="4" t="inlineStr">
        <is>
          <t>Nagy virágcserép</t>
        </is>
      </c>
      <c r="B10" s="4" t="n">
        <v>1</v>
      </c>
      <c r="C10" s="4" t="inlineStr">
        <is>
          <t>nagy virágcserép</t>
        </is>
      </c>
      <c r="D10" s="4" t="n"/>
      <c r="E10" s="5" t="n">
        <v>480</v>
      </c>
      <c r="F10" s="4" t="inlineStr">
        <is>
          <t>Szoros</t>
        </is>
      </c>
      <c r="G10" s="4" t="inlineStr">
        <is>
          <t>Igen</t>
        </is>
      </c>
      <c r="H10" s="4" t="inlineStr">
        <is>
          <t>Nagy térfogatú cserép – 20–100 literes termesztés, kültér</t>
        </is>
      </c>
      <c r="I10" s="4" t="inlineStr">
        <is>
          <t>Kategórianév + H1 + SEO title (fő kulcsszó)</t>
        </is>
      </c>
    </row>
    <row r="11">
      <c r="A11" s="11" t="inlineStr">
        <is>
          <t>Műanyag tálca, árapály asztal</t>
        </is>
      </c>
      <c r="B11" s="11" t="n">
        <v>4</v>
      </c>
      <c r="C11" s="11" t="inlineStr">
        <is>
          <t>kármentő tálca</t>
        </is>
      </c>
      <c r="D11" s="11" t="n"/>
      <c r="E11" s="20" t="n">
        <v>480</v>
      </c>
      <c r="F11" s="11" t="inlineStr">
        <is>
          <t>Laza</t>
        </is>
      </c>
      <c r="G11" s="11" t="inlineStr">
        <is>
          <t>Nem</t>
        </is>
      </c>
      <c r="H11" s="11" t="inlineStr">
        <is>
          <t>Gyűjtőtálca termesztősátorba, árapály (ebb &amp; flow) rendszer</t>
        </is>
      </c>
      <c r="I11" s="11" t="inlineStr">
        <is>
          <t>Nem célozni külön oldallal (max. említés)</t>
        </is>
      </c>
    </row>
    <row r="12">
      <c r="A12" s="11" t="inlineStr">
        <is>
          <t>Nagy virágcserép</t>
        </is>
      </c>
      <c r="B12" s="11" t="n">
        <v>2</v>
      </c>
      <c r="C12" s="11" t="inlineStr">
        <is>
          <t>műanyag virágcserép 100 cm</t>
        </is>
      </c>
      <c r="D12" s="11" t="n"/>
      <c r="E12" s="20" t="n">
        <v>390</v>
      </c>
      <c r="F12" s="11" t="inlineStr">
        <is>
          <t>Laza</t>
        </is>
      </c>
      <c r="G12" s="11" t="inlineStr">
        <is>
          <t>Nem</t>
        </is>
      </c>
      <c r="H12" s="11" t="inlineStr">
        <is>
          <t>Nagy térfogatú cserép – 20–100 literes termesztés, kültér</t>
        </is>
      </c>
      <c r="I12" s="11" t="inlineStr">
        <is>
          <t>Nem célozni külön oldallal (max. említés)</t>
        </is>
      </c>
    </row>
    <row r="13">
      <c r="A13" s="12" t="inlineStr">
        <is>
          <t>Virágcserép</t>
        </is>
      </c>
      <c r="B13" s="12" t="n">
        <v>6</v>
      </c>
      <c r="C13" s="12" t="inlineStr">
        <is>
          <t>obi virágcserép</t>
        </is>
      </c>
      <c r="D13" s="12" t="n"/>
      <c r="E13" s="21" t="n">
        <v>320</v>
      </c>
      <c r="F13" s="12" t="inlineStr">
        <is>
          <t>Nincs (áruházi / nem vásárlási szándék)</t>
        </is>
      </c>
      <c r="G13" s="12" t="inlineStr">
        <is>
          <t>Nem – kizárandó</t>
        </is>
      </c>
      <c r="H13" s="12" t="inlineStr">
        <is>
          <t>Termesztő cserép – műanyag, kerek, literes méretek</t>
        </is>
      </c>
      <c r="I13" s="12" t="inlineStr">
        <is>
          <t>Nem használni (áruházi/nem vásárlási szándék)</t>
        </is>
      </c>
    </row>
    <row r="14">
      <c r="A14" s="4" t="inlineStr">
        <is>
          <t>Nagy virágcserép</t>
        </is>
      </c>
      <c r="B14" s="4" t="n">
        <v>3</v>
      </c>
      <c r="C14" s="4" t="inlineStr">
        <is>
          <t>nagyméretű műanyag virágcserép</t>
        </is>
      </c>
      <c r="D14" s="4" t="n"/>
      <c r="E14" s="5" t="n">
        <v>320</v>
      </c>
      <c r="F14" s="4" t="inlineStr">
        <is>
          <t>Szoros</t>
        </is>
      </c>
      <c r="G14" s="4" t="inlineStr">
        <is>
          <t>Igen</t>
        </is>
      </c>
      <c r="H14" s="4" t="inlineStr">
        <is>
          <t>Nagy térfogatú cserép – 20–100 literes termesztés, kültér</t>
        </is>
      </c>
      <c r="I14" s="4" t="inlineStr">
        <is>
          <t>SEO title / H1 / bevezető (másodlagos)</t>
        </is>
      </c>
    </row>
    <row r="15">
      <c r="A15" s="11" t="inlineStr">
        <is>
          <t>Nagy virágcserép</t>
        </is>
      </c>
      <c r="B15" s="11" t="n">
        <v>4</v>
      </c>
      <c r="C15" s="11" t="inlineStr">
        <is>
          <t>műanyag virágcserép 60 cm</t>
        </is>
      </c>
      <c r="D15" s="11" t="n"/>
      <c r="E15" s="20" t="n">
        <v>320</v>
      </c>
      <c r="F15" s="11" t="inlineStr">
        <is>
          <t>Laza</t>
        </is>
      </c>
      <c r="G15" s="11" t="inlineStr">
        <is>
          <t>Nem</t>
        </is>
      </c>
      <c r="H15" s="11" t="inlineStr">
        <is>
          <t>Nagy térfogatú cserép – 20–100 literes termesztés, kültér</t>
        </is>
      </c>
      <c r="I15" s="11" t="inlineStr">
        <is>
          <t>Nem célozni külön oldallal (max. említés)</t>
        </is>
      </c>
    </row>
    <row r="16">
      <c r="A16" s="12" t="inlineStr">
        <is>
          <t>Cserépalátét</t>
        </is>
      </c>
      <c r="B16" s="12" t="n">
        <v>3</v>
      </c>
      <c r="C16" s="12" t="inlineStr">
        <is>
          <t>obi cserépalátét</t>
        </is>
      </c>
      <c r="D16" s="12" t="n"/>
      <c r="E16" s="21" t="n">
        <v>320</v>
      </c>
      <c r="F16" s="12" t="inlineStr">
        <is>
          <t>Nincs (áruházi / nem vásárlási szándék)</t>
        </is>
      </c>
      <c r="G16" s="12" t="inlineStr">
        <is>
          <t>Nem – kizárandó</t>
        </is>
      </c>
      <c r="H16" s="12" t="inlineStr">
        <is>
          <t>Cserép alá – vízfelfogás, gurulós alátét</t>
        </is>
      </c>
      <c r="I16" s="12" t="inlineStr">
        <is>
          <t>Nem használni (áruházi/nem vásárlási szándék)</t>
        </is>
      </c>
    </row>
    <row r="17">
      <c r="A17" s="11" t="inlineStr">
        <is>
          <t>Műanyag tálca, árapály asztal</t>
        </is>
      </c>
      <c r="B17" s="11" t="n">
        <v>5</v>
      </c>
      <c r="C17" s="11" t="inlineStr">
        <is>
          <t>szaporító tálca</t>
        </is>
      </c>
      <c r="D17" s="11" t="n"/>
      <c r="E17" s="20" t="n">
        <v>320</v>
      </c>
      <c r="F17" s="11" t="inlineStr">
        <is>
          <t>Laza</t>
        </is>
      </c>
      <c r="G17" s="11" t="inlineStr">
        <is>
          <t>Nem</t>
        </is>
      </c>
      <c r="H17" s="11" t="inlineStr">
        <is>
          <t>Gyűjtőtálca termesztősátorba, árapály (ebb &amp; flow) rendszer</t>
        </is>
      </c>
      <c r="I17" s="11" t="inlineStr">
        <is>
          <t>Nem célozni külön oldallal (max. említés)</t>
        </is>
      </c>
    </row>
    <row r="18">
      <c r="A18" s="4" t="inlineStr">
        <is>
          <t>Virágcserép</t>
        </is>
      </c>
      <c r="B18" s="4" t="n">
        <v>7</v>
      </c>
      <c r="C18" s="4" t="inlineStr">
        <is>
          <t>virágcserép műanyag</t>
        </is>
      </c>
      <c r="D18" s="4" t="n"/>
      <c r="E18" s="5" t="n">
        <v>260</v>
      </c>
      <c r="F18" s="4" t="inlineStr">
        <is>
          <t>Szoros</t>
        </is>
      </c>
      <c r="G18" s="4" t="inlineStr">
        <is>
          <t>Igen</t>
        </is>
      </c>
      <c r="H18" s="4" t="inlineStr">
        <is>
          <t>Termesztő cserép – műanyag, kerek, literes méretek</t>
        </is>
      </c>
      <c r="I18" s="4" t="inlineStr">
        <is>
          <t>Kategórialeírás (természetes említés)</t>
        </is>
      </c>
    </row>
    <row r="19">
      <c r="A19" s="4" t="inlineStr">
        <is>
          <t>Nagy virágcserép</t>
        </is>
      </c>
      <c r="B19" s="4" t="n">
        <v>5</v>
      </c>
      <c r="C19" s="4" t="inlineStr">
        <is>
          <t>virágcserép nagy</t>
        </is>
      </c>
      <c r="D19" s="4" t="n"/>
      <c r="E19" s="5" t="n">
        <v>260</v>
      </c>
      <c r="F19" s="4" t="inlineStr">
        <is>
          <t>Szoros</t>
        </is>
      </c>
      <c r="G19" s="4" t="inlineStr">
        <is>
          <t>Igen</t>
        </is>
      </c>
      <c r="H19" s="4" t="inlineStr">
        <is>
          <t>Nagy térfogatú cserép – 20–100 literes termesztés, kültér</t>
        </is>
      </c>
      <c r="I19" s="4" t="inlineStr">
        <is>
          <t>SEO title / H1 / bevezető (másodlagos)</t>
        </is>
      </c>
    </row>
    <row r="20">
      <c r="A20" s="4" t="inlineStr">
        <is>
          <t>Cserépalátét</t>
        </is>
      </c>
      <c r="B20" s="4" t="n">
        <v>1</v>
      </c>
      <c r="C20" s="4" t="inlineStr">
        <is>
          <t>cserépalátét</t>
        </is>
      </c>
      <c r="D20" s="4" t="n"/>
      <c r="E20" s="5" t="n">
        <v>260</v>
      </c>
      <c r="F20" s="4" t="inlineStr">
        <is>
          <t>Szoros</t>
        </is>
      </c>
      <c r="G20" s="4" t="inlineStr">
        <is>
          <t>Igen</t>
        </is>
      </c>
      <c r="H20" s="4" t="inlineStr">
        <is>
          <t>Cserép alá – vízfelfogás, gurulós alátét</t>
        </is>
      </c>
      <c r="I20" s="4" t="inlineStr">
        <is>
          <t>Kategórianév + H1 + SEO title (fő kulcsszó)</t>
        </is>
      </c>
    </row>
    <row r="21">
      <c r="A21" s="4" t="inlineStr">
        <is>
          <t>Cserépalátét</t>
        </is>
      </c>
      <c r="B21" s="4" t="n">
        <v>4</v>
      </c>
      <c r="C21" s="4" t="inlineStr">
        <is>
          <t>cserép alátét</t>
        </is>
      </c>
      <c r="D21" s="4" t="n"/>
      <c r="E21" s="5" t="n">
        <v>260</v>
      </c>
      <c r="F21" s="4" t="inlineStr">
        <is>
          <t>Szoros</t>
        </is>
      </c>
      <c r="G21" s="4" t="inlineStr">
        <is>
          <t>Igen</t>
        </is>
      </c>
      <c r="H21" s="4" t="inlineStr">
        <is>
          <t>Cserép alá – vízfelfogás, gurulós alátét</t>
        </is>
      </c>
      <c r="I21" s="4" t="inlineStr">
        <is>
          <t>SEO title / H1 / bevezető (másodlagos)</t>
        </is>
      </c>
    </row>
    <row r="22">
      <c r="A22" s="7" t="inlineStr">
        <is>
          <t>Cserépalátét</t>
        </is>
      </c>
      <c r="B22" s="7" t="n">
        <v>5</v>
      </c>
      <c r="C22" s="7" t="inlineStr">
        <is>
          <t>gurulós virágtartó</t>
        </is>
      </c>
      <c r="D22" s="7" t="n"/>
      <c r="E22" s="8" t="n">
        <v>260</v>
      </c>
      <c r="F22" s="7" t="inlineStr">
        <is>
          <t>Laza</t>
        </is>
      </c>
      <c r="G22" s="7" t="inlineStr">
        <is>
          <t>Igen</t>
        </is>
      </c>
      <c r="H22" s="7" t="inlineStr">
        <is>
          <t>Cserép alá – vízfelfogás, gurulós alátét</t>
        </is>
      </c>
      <c r="I22" s="7" t="inlineStr">
        <is>
          <t>Kategórialeírás (természetes említés)</t>
        </is>
      </c>
    </row>
    <row r="23">
      <c r="A23" s="11" t="inlineStr">
        <is>
          <t>Műanyag tálca, árapály asztal</t>
        </is>
      </c>
      <c r="B23" s="11" t="n">
        <v>6</v>
      </c>
      <c r="C23" s="11" t="inlineStr">
        <is>
          <t>csepptálca</t>
        </is>
      </c>
      <c r="D23" s="11" t="n"/>
      <c r="E23" s="20" t="n">
        <v>210</v>
      </c>
      <c r="F23" s="11" t="inlineStr">
        <is>
          <t>Laza</t>
        </is>
      </c>
      <c r="G23" s="11" t="inlineStr">
        <is>
          <t>Nem</t>
        </is>
      </c>
      <c r="H23" s="11" t="inlineStr">
        <is>
          <t>Gyűjtőtálca termesztősátorba, árapály (ebb &amp; flow) rendszer</t>
        </is>
      </c>
      <c r="I23" s="11" t="inlineStr">
        <is>
          <t>Nem célozni külön oldallal (max. említés)</t>
        </is>
      </c>
    </row>
    <row r="24">
      <c r="A24" s="4" t="inlineStr">
        <is>
          <t>Virágcserép</t>
        </is>
      </c>
      <c r="B24" s="4" t="n">
        <v>8</v>
      </c>
      <c r="C24" s="4" t="inlineStr">
        <is>
          <t>könnyű cserepek</t>
        </is>
      </c>
      <c r="D24" s="4" t="n"/>
      <c r="E24" s="5" t="n">
        <v>140</v>
      </c>
      <c r="F24" s="4" t="inlineStr">
        <is>
          <t>Szoros</t>
        </is>
      </c>
      <c r="G24" s="4" t="inlineStr">
        <is>
          <t>Igen</t>
        </is>
      </c>
      <c r="H24" s="4" t="inlineStr">
        <is>
          <t>Termesztő cserép – műanyag, kerek, literes méretek</t>
        </is>
      </c>
      <c r="I24" s="4" t="inlineStr">
        <is>
          <t>Kategórialeírás (természetes említés)</t>
        </is>
      </c>
    </row>
    <row r="25">
      <c r="A25" s="4" t="inlineStr">
        <is>
          <t>Virágcserép</t>
        </is>
      </c>
      <c r="B25" s="4" t="n">
        <v>9</v>
      </c>
      <c r="C25" s="4" t="inlineStr">
        <is>
          <t>cserepek</t>
        </is>
      </c>
      <c r="D25" s="4" t="n"/>
      <c r="E25" s="5" t="n">
        <v>140</v>
      </c>
      <c r="F25" s="4" t="inlineStr">
        <is>
          <t>Szoros</t>
        </is>
      </c>
      <c r="G25" s="4" t="inlineStr">
        <is>
          <t>Igen</t>
        </is>
      </c>
      <c r="H25" s="4" t="inlineStr">
        <is>
          <t>Termesztő cserép – műanyag, kerek, literes méretek</t>
        </is>
      </c>
      <c r="I25" s="4" t="inlineStr">
        <is>
          <t>Kategórialeírás (természetes említés)</t>
        </is>
      </c>
    </row>
    <row r="26">
      <c r="A26" s="12" t="inlineStr">
        <is>
          <t>Virágcserép</t>
        </is>
      </c>
      <c r="B26" s="12" t="n">
        <v>10</v>
      </c>
      <c r="C26" s="12" t="inlineStr">
        <is>
          <t>praktiker virágcserép</t>
        </is>
      </c>
      <c r="D26" s="12" t="n"/>
      <c r="E26" s="21" t="n">
        <v>140</v>
      </c>
      <c r="F26" s="12" t="inlineStr">
        <is>
          <t>Nincs (áruházi / nem vásárlási szándék)</t>
        </is>
      </c>
      <c r="G26" s="12" t="inlineStr">
        <is>
          <t>Nem – kizárandó</t>
        </is>
      </c>
      <c r="H26" s="12" t="inlineStr">
        <is>
          <t>Termesztő cserép – műanyag, kerek, literes méretek</t>
        </is>
      </c>
      <c r="I26" s="12" t="inlineStr">
        <is>
          <t>Nem használni (áruházi/nem vásárlási szándék)</t>
        </is>
      </c>
    </row>
    <row r="27">
      <c r="A27" s="4" t="inlineStr">
        <is>
          <t>Nagy virágcserép</t>
        </is>
      </c>
      <c r="B27" s="4" t="n">
        <v>6</v>
      </c>
      <c r="C27" s="4" t="inlineStr">
        <is>
          <t>nagy cserép</t>
        </is>
      </c>
      <c r="D27" s="4" t="n"/>
      <c r="E27" s="5" t="n">
        <v>140</v>
      </c>
      <c r="F27" s="4" t="inlineStr">
        <is>
          <t>Szoros</t>
        </is>
      </c>
      <c r="G27" s="4" t="inlineStr">
        <is>
          <t>Igen</t>
        </is>
      </c>
      <c r="H27" s="4" t="inlineStr">
        <is>
          <t>Nagy térfogatú cserép – 20–100 literes termesztés, kültér</t>
        </is>
      </c>
      <c r="I27" s="4" t="inlineStr">
        <is>
          <t>SEO title / H1 / bevezető (másodlagos)</t>
        </is>
      </c>
    </row>
    <row r="28">
      <c r="A28" s="4" t="inlineStr">
        <is>
          <t>Air-Pot cserép</t>
        </is>
      </c>
      <c r="B28" s="4" t="n">
        <v>1</v>
      </c>
      <c r="C28" s="4" t="inlineStr">
        <is>
          <t>airpot</t>
        </is>
      </c>
      <c r="D28" s="4" t="n"/>
      <c r="E28" s="5" t="n">
        <v>140</v>
      </c>
      <c r="F28" s="4" t="inlineStr">
        <is>
          <t>Szoros</t>
        </is>
      </c>
      <c r="G28" s="4" t="inlineStr">
        <is>
          <t>Igen</t>
        </is>
      </c>
      <c r="H28" s="4" t="inlineStr">
        <is>
          <t>Gyökérlégzés, gyökérmetszés – termesztés konténerben</t>
        </is>
      </c>
      <c r="I28" s="4" t="inlineStr">
        <is>
          <t>Kategórianév + H1 + SEO title (fő kulcsszó)</t>
        </is>
      </c>
    </row>
    <row r="29">
      <c r="A29" s="4" t="inlineStr">
        <is>
          <t>Cserépalátét</t>
        </is>
      </c>
      <c r="B29" s="4" t="n">
        <v>6</v>
      </c>
      <c r="C29" s="4" t="inlineStr">
        <is>
          <t>virágcserép alátét</t>
        </is>
      </c>
      <c r="D29" s="4" t="n"/>
      <c r="E29" s="5" t="n">
        <v>140</v>
      </c>
      <c r="F29" s="4" t="inlineStr">
        <is>
          <t>Szoros</t>
        </is>
      </c>
      <c r="G29" s="4" t="inlineStr">
        <is>
          <t>Igen</t>
        </is>
      </c>
      <c r="H29" s="4" t="inlineStr">
        <is>
          <t>Cserép alá – vízfelfogás, gurulós alátét</t>
        </is>
      </c>
      <c r="I29" s="4" t="inlineStr">
        <is>
          <t>SEO title / H1 / bevezető (másodlagos)</t>
        </is>
      </c>
    </row>
    <row r="30">
      <c r="A30" s="4" t="inlineStr">
        <is>
          <t>Cserépalátét</t>
        </is>
      </c>
      <c r="B30" s="4" t="n">
        <v>7</v>
      </c>
      <c r="C30" s="4" t="inlineStr">
        <is>
          <t>virágcserép alátéttel</t>
        </is>
      </c>
      <c r="D30" s="4" t="n"/>
      <c r="E30" s="5" t="n">
        <v>140</v>
      </c>
      <c r="F30" s="4" t="inlineStr">
        <is>
          <t>Szoros</t>
        </is>
      </c>
      <c r="G30" s="4" t="inlineStr">
        <is>
          <t>Igen</t>
        </is>
      </c>
      <c r="H30" s="4" t="inlineStr">
        <is>
          <t>Cserép alá – vízfelfogás, gurulós alátét</t>
        </is>
      </c>
      <c r="I30" s="4" t="inlineStr">
        <is>
          <t>Kategórialeírás (természetes említés)</t>
        </is>
      </c>
    </row>
    <row r="31">
      <c r="A31" s="7" t="inlineStr">
        <is>
          <t>Műanyag tálca, árapály asztal</t>
        </is>
      </c>
      <c r="B31" s="7" t="n">
        <v>1</v>
      </c>
      <c r="C31" s="7" t="inlineStr">
        <is>
          <t>nagyméretű műanyag tálca</t>
        </is>
      </c>
      <c r="D31" s="7" t="n"/>
      <c r="E31" s="8" t="n">
        <v>140</v>
      </c>
      <c r="F31" s="7" t="inlineStr">
        <is>
          <t>Laza</t>
        </is>
      </c>
      <c r="G31" s="7" t="inlineStr">
        <is>
          <t>Igen</t>
        </is>
      </c>
      <c r="H31" s="7" t="inlineStr">
        <is>
          <t>Gyűjtőtálca termesztősátorba, árapály (ebb &amp; flow) rendszer</t>
        </is>
      </c>
      <c r="I31" s="7" t="inlineStr">
        <is>
          <t>Kategórianév + H1 + SEO title (fő kulcsszó)</t>
        </is>
      </c>
    </row>
    <row r="32">
      <c r="A32" s="4" t="inlineStr">
        <is>
          <t>Virágcserép</t>
        </is>
      </c>
      <c r="B32" s="4" t="n">
        <v>11</v>
      </c>
      <c r="C32" s="4" t="inlineStr">
        <is>
          <t>olcsó műanyag virágcserép</t>
        </is>
      </c>
      <c r="D32" s="4" t="n"/>
      <c r="E32" s="5" t="n">
        <v>110</v>
      </c>
      <c r="F32" s="4" t="inlineStr">
        <is>
          <t>Szoros</t>
        </is>
      </c>
      <c r="G32" s="4" t="inlineStr">
        <is>
          <t>Igen</t>
        </is>
      </c>
      <c r="H32" s="4" t="inlineStr">
        <is>
          <t>Termesztő cserép – műanyag, kerek, literes méretek</t>
        </is>
      </c>
      <c r="I32" s="4" t="inlineStr">
        <is>
          <t>Kategórialeírás (természetes említés)</t>
        </is>
      </c>
    </row>
    <row r="33">
      <c r="A33" s="4" t="inlineStr">
        <is>
          <t>Virágcserép</t>
        </is>
      </c>
      <c r="B33" s="4" t="n">
        <v>12</v>
      </c>
      <c r="C33" s="4" t="inlineStr">
        <is>
          <t>virágcserepek</t>
        </is>
      </c>
      <c r="D33" s="4" t="n"/>
      <c r="E33" s="5" t="n">
        <v>110</v>
      </c>
      <c r="F33" s="4" t="inlineStr">
        <is>
          <t>Szoros</t>
        </is>
      </c>
      <c r="G33" s="4" t="inlineStr">
        <is>
          <t>Igen</t>
        </is>
      </c>
      <c r="H33" s="4" t="inlineStr">
        <is>
          <t>Termesztő cserép – műanyag, kerek, literes méretek</t>
        </is>
      </c>
      <c r="I33" s="4" t="inlineStr">
        <is>
          <t>Kategórialeírás (természetes említés)</t>
        </is>
      </c>
    </row>
    <row r="34">
      <c r="A34" s="4" t="inlineStr">
        <is>
          <t>Virágcserép</t>
        </is>
      </c>
      <c r="B34" s="4" t="n">
        <v>13</v>
      </c>
      <c r="C34" s="4" t="inlineStr">
        <is>
          <t>műanyag cserép nagykereskedés</t>
        </is>
      </c>
      <c r="D34" s="4" t="n"/>
      <c r="E34" s="5" t="n">
        <v>110</v>
      </c>
      <c r="F34" s="4" t="inlineStr">
        <is>
          <t>Szoros</t>
        </is>
      </c>
      <c r="G34" s="4" t="inlineStr">
        <is>
          <t>Igen</t>
        </is>
      </c>
      <c r="H34" s="4" t="inlineStr">
        <is>
          <t>Termesztő cserép – műanyag, kerek, literes méretek</t>
        </is>
      </c>
      <c r="I34" s="4" t="inlineStr">
        <is>
          <t>Kategórialeírás (természetes említés)</t>
        </is>
      </c>
    </row>
    <row r="35">
      <c r="A35" s="4" t="inlineStr">
        <is>
          <t>Virágcserép</t>
        </is>
      </c>
      <c r="B35" s="4" t="n">
        <v>14</v>
      </c>
      <c r="C35" s="4" t="inlineStr">
        <is>
          <t>virágcserép méretek</t>
        </is>
      </c>
      <c r="D35" s="4" t="n"/>
      <c r="E35" s="5" t="n">
        <v>110</v>
      </c>
      <c r="F35" s="4" t="inlineStr">
        <is>
          <t>Szoros</t>
        </is>
      </c>
      <c r="G35" s="4" t="inlineStr">
        <is>
          <t>Igen</t>
        </is>
      </c>
      <c r="H35" s="4" t="inlineStr">
        <is>
          <t>Termesztő cserép – műanyag, kerek, literes méretek</t>
        </is>
      </c>
      <c r="I35" s="4" t="inlineStr">
        <is>
          <t>Leírás alsó része, GYIK vagy blog</t>
        </is>
      </c>
    </row>
    <row r="36">
      <c r="A36" s="4" t="inlineStr">
        <is>
          <t>Cserépalátét</t>
        </is>
      </c>
      <c r="B36" s="4" t="n">
        <v>8</v>
      </c>
      <c r="C36" s="4" t="inlineStr">
        <is>
          <t>műanyag cserépalátét</t>
        </is>
      </c>
      <c r="D36" s="4" t="n"/>
      <c r="E36" s="5" t="n">
        <v>110</v>
      </c>
      <c r="F36" s="4" t="inlineStr">
        <is>
          <t>Szoros</t>
        </is>
      </c>
      <c r="G36" s="4" t="inlineStr">
        <is>
          <t>Igen</t>
        </is>
      </c>
      <c r="H36" s="4" t="inlineStr">
        <is>
          <t>Cserép alá – vízfelfogás, gurulós alátét</t>
        </is>
      </c>
      <c r="I36" s="4" t="inlineStr">
        <is>
          <t>SEO title / H1 / bevezető (másodlagos)</t>
        </is>
      </c>
    </row>
    <row r="37">
      <c r="A37" s="4" t="inlineStr">
        <is>
          <t>Nagy virágcserép</t>
        </is>
      </c>
      <c r="B37" s="4" t="n">
        <v>7</v>
      </c>
      <c r="C37" s="4" t="inlineStr">
        <is>
          <t>nagy méretű virágcserép</t>
        </is>
      </c>
      <c r="D37" s="4" t="n"/>
      <c r="E37" s="5" t="n">
        <v>90</v>
      </c>
      <c r="F37" s="4" t="inlineStr">
        <is>
          <t>Szoros</t>
        </is>
      </c>
      <c r="G37" s="4" t="inlineStr">
        <is>
          <t>Igen</t>
        </is>
      </c>
      <c r="H37" s="4" t="inlineStr">
        <is>
          <t>Nagy térfogatú cserép – 20–100 literes termesztés, kültér</t>
        </is>
      </c>
      <c r="I37" s="4" t="inlineStr">
        <is>
          <t>Kategórialeírás (természetes említés)</t>
        </is>
      </c>
    </row>
    <row r="38">
      <c r="A38" s="4" t="inlineStr">
        <is>
          <t>Szögletes cserép</t>
        </is>
      </c>
      <c r="B38" s="4" t="n">
        <v>1</v>
      </c>
      <c r="C38" s="4" t="inlineStr">
        <is>
          <t>szögletes virágcserép</t>
        </is>
      </c>
      <c r="D38" s="4" t="n"/>
      <c r="E38" s="5" t="n">
        <v>90</v>
      </c>
      <c r="F38" s="4" t="inlineStr">
        <is>
          <t>Szoros</t>
        </is>
      </c>
      <c r="G38" s="4" t="inlineStr">
        <is>
          <t>Igen</t>
        </is>
      </c>
      <c r="H38" s="4" t="inlineStr">
        <is>
          <t>Helytakarékos termesztés sátorban / polcon</t>
        </is>
      </c>
      <c r="I38" s="4" t="inlineStr">
        <is>
          <t>Kategórianév + H1 + SEO title (fő kulcsszó)</t>
        </is>
      </c>
    </row>
    <row r="39">
      <c r="A39" s="4" t="inlineStr">
        <is>
          <t>Air-Pot cserép</t>
        </is>
      </c>
      <c r="B39" s="4" t="n">
        <v>2</v>
      </c>
      <c r="C39" s="4" t="inlineStr">
        <is>
          <t>air pot</t>
        </is>
      </c>
      <c r="D39" s="4" t="n"/>
      <c r="E39" s="5" t="n">
        <v>90</v>
      </c>
      <c r="F39" s="4" t="inlineStr">
        <is>
          <t>Szoros</t>
        </is>
      </c>
      <c r="G39" s="4" t="inlineStr">
        <is>
          <t>Igen</t>
        </is>
      </c>
      <c r="H39" s="4" t="inlineStr">
        <is>
          <t>Gyökérlégzés, gyökérmetszés – termesztés konténerben</t>
        </is>
      </c>
      <c r="I39" s="4" t="inlineStr">
        <is>
          <t>SEO title / H1 / bevezető (másodlagos)</t>
        </is>
      </c>
    </row>
    <row r="40">
      <c r="A40" s="4" t="inlineStr">
        <is>
          <t>Szövetcserép, ültetőzsák</t>
        </is>
      </c>
      <c r="B40" s="4" t="n">
        <v>1</v>
      </c>
      <c r="C40" s="4" t="inlineStr">
        <is>
          <t>ültetőzsák</t>
        </is>
      </c>
      <c r="D40" s="4" t="n"/>
      <c r="E40" s="5" t="n">
        <v>90</v>
      </c>
      <c r="F40" s="4" t="inlineStr">
        <is>
          <t>Szoros</t>
        </is>
      </c>
      <c r="G40" s="4" t="inlineStr">
        <is>
          <t>Igen</t>
        </is>
      </c>
      <c r="H40" s="4" t="inlineStr">
        <is>
          <t>Szövet / textil / filc cserép, ültető- és termesztőzsák</t>
        </is>
      </c>
      <c r="I40" s="4" t="inlineStr">
        <is>
          <t>Kategórianév + H1 + SEO title (fő kulcsszó)</t>
        </is>
      </c>
    </row>
    <row r="41">
      <c r="A41" s="7" t="inlineStr">
        <is>
          <t>Önöntöző cserép</t>
        </is>
      </c>
      <c r="B41" s="7" t="n">
        <v>1</v>
      </c>
      <c r="C41" s="7" t="inlineStr">
        <is>
          <t>önöntöző cserép</t>
        </is>
      </c>
      <c r="D41" s="7" t="n"/>
      <c r="E41" s="8" t="n">
        <v>90</v>
      </c>
      <c r="F41" s="7" t="inlineStr">
        <is>
          <t>Laza</t>
        </is>
      </c>
      <c r="G41" s="7" t="inlineStr">
        <is>
          <t>Igen</t>
        </is>
      </c>
      <c r="H41" s="7" t="inlineStr">
        <is>
          <t>Víztartályos, önöntöző cserép – szobanövény, fűszer</t>
        </is>
      </c>
      <c r="I41" s="7" t="inlineStr">
        <is>
          <t>Kategórianév + H1 + SEO title (fő kulcsszó)</t>
        </is>
      </c>
    </row>
    <row r="42">
      <c r="A42" s="11" t="inlineStr">
        <is>
          <t>Cserépalátét</t>
        </is>
      </c>
      <c r="B42" s="11" t="n">
        <v>9</v>
      </c>
      <c r="C42" s="11" t="inlineStr">
        <is>
          <t>kerámia cserépalátét</t>
        </is>
      </c>
      <c r="D42" s="11" t="n"/>
      <c r="E42" s="20" t="n">
        <v>90</v>
      </c>
      <c r="F42" s="11" t="inlineStr">
        <is>
          <t>Laza</t>
        </is>
      </c>
      <c r="G42" s="11" t="inlineStr">
        <is>
          <t>Nem</t>
        </is>
      </c>
      <c r="H42" s="11" t="inlineStr">
        <is>
          <t>Cserép alá – vízfelfogás, gurulós alátét</t>
        </is>
      </c>
      <c r="I42" s="11" t="inlineStr">
        <is>
          <t>Nem célozni külön oldallal (max. említés)</t>
        </is>
      </c>
    </row>
    <row r="43">
      <c r="A43" s="4" t="inlineStr">
        <is>
          <t>Virágcserép</t>
        </is>
      </c>
      <c r="B43" s="4" t="n">
        <v>15</v>
      </c>
      <c r="C43" s="4" t="inlineStr">
        <is>
          <t>műanyag virágcserép 40 cm</t>
        </is>
      </c>
      <c r="D43" s="4" t="n"/>
      <c r="E43" s="5" t="n">
        <v>70</v>
      </c>
      <c r="F43" s="4" t="inlineStr">
        <is>
          <t>Szoros</t>
        </is>
      </c>
      <c r="G43" s="4" t="inlineStr">
        <is>
          <t>Igen</t>
        </is>
      </c>
      <c r="H43" s="4" t="inlineStr">
        <is>
          <t>Termesztő cserép – műanyag, kerek, literes méretek</t>
        </is>
      </c>
      <c r="I43" s="4" t="inlineStr">
        <is>
          <t>Kategórialeírás (természetes említés)</t>
        </is>
      </c>
    </row>
    <row r="44">
      <c r="A44" s="4" t="inlineStr">
        <is>
          <t>Nagy virágcserép</t>
        </is>
      </c>
      <c r="B44" s="4" t="n">
        <v>8</v>
      </c>
      <c r="C44" s="4" t="inlineStr">
        <is>
          <t>nagyméretű cserép</t>
        </is>
      </c>
      <c r="D44" s="4" t="n"/>
      <c r="E44" s="5" t="n">
        <v>70</v>
      </c>
      <c r="F44" s="4" t="inlineStr">
        <is>
          <t>Szoros</t>
        </is>
      </c>
      <c r="G44" s="4" t="inlineStr">
        <is>
          <t>Igen</t>
        </is>
      </c>
      <c r="H44" s="4" t="inlineStr">
        <is>
          <t>Nagy térfogatú cserép – 20–100 literes termesztés, kültér</t>
        </is>
      </c>
      <c r="I44" s="4" t="inlineStr">
        <is>
          <t>Kategórialeírás (természetes említés)</t>
        </is>
      </c>
    </row>
    <row r="45">
      <c r="A45" s="4" t="inlineStr">
        <is>
          <t>Nagy virágcserép</t>
        </is>
      </c>
      <c r="B45" s="4" t="n">
        <v>9</v>
      </c>
      <c r="C45" s="4" t="inlineStr">
        <is>
          <t>nagy virágcserép olcsón</t>
        </is>
      </c>
      <c r="D45" s="4" t="n"/>
      <c r="E45" s="5" t="n">
        <v>70</v>
      </c>
      <c r="F45" s="4" t="inlineStr">
        <is>
          <t>Szoros</t>
        </is>
      </c>
      <c r="G45" s="4" t="inlineStr">
        <is>
          <t>Igen</t>
        </is>
      </c>
      <c r="H45" s="4" t="inlineStr">
        <is>
          <t>Nagy térfogatú cserép – 20–100 literes termesztés, kültér</t>
        </is>
      </c>
      <c r="I45" s="4" t="inlineStr">
        <is>
          <t>Kategórialeírás (természetes említés)</t>
        </is>
      </c>
    </row>
    <row r="46">
      <c r="A46" s="4" t="inlineStr">
        <is>
          <t>Szögletes cserép</t>
        </is>
      </c>
      <c r="B46" s="4" t="n">
        <v>2</v>
      </c>
      <c r="C46" s="4" t="inlineStr">
        <is>
          <t>magas cserép</t>
        </is>
      </c>
      <c r="D46" s="4" t="n"/>
      <c r="E46" s="5" t="n">
        <v>70</v>
      </c>
      <c r="F46" s="4" t="inlineStr">
        <is>
          <t>Szoros</t>
        </is>
      </c>
      <c r="G46" s="4" t="inlineStr">
        <is>
          <t>Igen</t>
        </is>
      </c>
      <c r="H46" s="4" t="inlineStr">
        <is>
          <t>Helytakarékos termesztés sátorban / polcon</t>
        </is>
      </c>
      <c r="I46" s="4" t="inlineStr">
        <is>
          <t>SEO title / H1 / bevezető (másodlagos)</t>
        </is>
      </c>
    </row>
    <row r="47">
      <c r="A47" s="7" t="inlineStr">
        <is>
          <t>Cserépalátét</t>
        </is>
      </c>
      <c r="B47" s="7" t="n">
        <v>10</v>
      </c>
      <c r="C47" s="7" t="inlineStr">
        <is>
          <t>gurulós virágállvány</t>
        </is>
      </c>
      <c r="D47" s="7" t="n"/>
      <c r="E47" s="8" t="n">
        <v>70</v>
      </c>
      <c r="F47" s="7" t="inlineStr">
        <is>
          <t>Laza</t>
        </is>
      </c>
      <c r="G47" s="7" t="inlineStr">
        <is>
          <t>Igen</t>
        </is>
      </c>
      <c r="H47" s="7" t="inlineStr">
        <is>
          <t>Cserép alá – vízfelfogás, gurulós alátét</t>
        </is>
      </c>
      <c r="I47" s="7" t="inlineStr">
        <is>
          <t>Kategórialeírás (természetes említés)</t>
        </is>
      </c>
    </row>
    <row r="48">
      <c r="A48" s="11" t="inlineStr">
        <is>
          <t>Cserépalátét</t>
        </is>
      </c>
      <c r="B48" s="11" t="n">
        <v>11</v>
      </c>
      <c r="C48" s="11" t="inlineStr">
        <is>
          <t>agyag cserépalátét</t>
        </is>
      </c>
      <c r="D48" s="11" t="n"/>
      <c r="E48" s="20" t="n">
        <v>70</v>
      </c>
      <c r="F48" s="11" t="inlineStr">
        <is>
          <t>Laza</t>
        </is>
      </c>
      <c r="G48" s="11" t="inlineStr">
        <is>
          <t>Nem</t>
        </is>
      </c>
      <c r="H48" s="11" t="inlineStr">
        <is>
          <t>Cserép alá – vízfelfogás, gurulós alátét</t>
        </is>
      </c>
      <c r="I48" s="11" t="inlineStr">
        <is>
          <t>Nem célozni külön oldallal (max. említés)</t>
        </is>
      </c>
    </row>
    <row r="49">
      <c r="A49" s="4" t="inlineStr">
        <is>
          <t>Műanyag tálca, árapály asztal</t>
        </is>
      </c>
      <c r="B49" s="4" t="n">
        <v>7</v>
      </c>
      <c r="C49" s="4" t="inlineStr">
        <is>
          <t>ebb and flow</t>
        </is>
      </c>
      <c r="D49" s="4" t="n"/>
      <c r="E49" s="5" t="n">
        <v>70</v>
      </c>
      <c r="F49" s="4" t="inlineStr">
        <is>
          <t>Szoros</t>
        </is>
      </c>
      <c r="G49" s="4" t="inlineStr">
        <is>
          <t>Igen</t>
        </is>
      </c>
      <c r="H49" s="4" t="inlineStr">
        <is>
          <t>Gyűjtőtálca termesztősátorba, árapály (ebb &amp; flow) rendszer</t>
        </is>
      </c>
      <c r="I49" s="4" t="inlineStr">
        <is>
          <t>SEO title / H1 / bevezető (másodlagos)</t>
        </is>
      </c>
    </row>
    <row r="50">
      <c r="A50" s="7" t="inlineStr">
        <is>
          <t>Műanyag tálca, árapály asztal</t>
        </is>
      </c>
      <c r="B50" s="7" t="n">
        <v>8</v>
      </c>
      <c r="C50" s="7" t="inlineStr">
        <is>
          <t>műanyag csepegtető tálca</t>
        </is>
      </c>
      <c r="D50" s="7" t="n"/>
      <c r="E50" s="8" t="n">
        <v>70</v>
      </c>
      <c r="F50" s="7" t="inlineStr">
        <is>
          <t>Laza</t>
        </is>
      </c>
      <c r="G50" s="7" t="inlineStr">
        <is>
          <t>Igen</t>
        </is>
      </c>
      <c r="H50" s="7" t="inlineStr">
        <is>
          <t>Gyűjtőtálca termesztősátorba, árapály (ebb &amp; flow) rendszer</t>
        </is>
      </c>
      <c r="I50" s="7" t="inlineStr">
        <is>
          <t>Kategórialeírás (természetes említés)</t>
        </is>
      </c>
    </row>
    <row r="51">
      <c r="A51" s="4" t="inlineStr">
        <is>
          <t>Virágcserép</t>
        </is>
      </c>
      <c r="B51" s="4" t="n">
        <v>16</v>
      </c>
      <c r="C51" s="4" t="inlineStr">
        <is>
          <t>olcsó virágcserép</t>
        </is>
      </c>
      <c r="D51" s="4" t="n"/>
      <c r="E51" s="5" t="n">
        <v>50</v>
      </c>
      <c r="F51" s="4" t="inlineStr">
        <is>
          <t>Szoros</t>
        </is>
      </c>
      <c r="G51" s="4" t="inlineStr">
        <is>
          <t>Igen</t>
        </is>
      </c>
      <c r="H51" s="4" t="inlineStr">
        <is>
          <t>Termesztő cserép – műanyag, kerek, literes méretek</t>
        </is>
      </c>
      <c r="I51" s="4" t="inlineStr">
        <is>
          <t>Kategórialeírás (természetes említés)</t>
        </is>
      </c>
    </row>
    <row r="52">
      <c r="A52" s="4" t="inlineStr">
        <is>
          <t>Virágcserép</t>
        </is>
      </c>
      <c r="B52" s="4" t="n">
        <v>17</v>
      </c>
      <c r="C52" s="4" t="inlineStr">
        <is>
          <t>20 literes cserép</t>
        </is>
      </c>
      <c r="D52" s="4" t="n"/>
      <c r="E52" s="5" t="n">
        <v>50</v>
      </c>
      <c r="F52" s="4" t="inlineStr">
        <is>
          <t>Szoros</t>
        </is>
      </c>
      <c r="G52" s="4" t="inlineStr">
        <is>
          <t>Igen</t>
        </is>
      </c>
      <c r="H52" s="4" t="inlineStr">
        <is>
          <t>Termesztő cserép – műanyag, kerek, literes méretek</t>
        </is>
      </c>
      <c r="I52" s="4" t="inlineStr">
        <is>
          <t>Kategórialeírás (természetes említés)</t>
        </is>
      </c>
    </row>
    <row r="53">
      <c r="A53" s="4" t="inlineStr">
        <is>
          <t>Nagy virágcserép</t>
        </is>
      </c>
      <c r="B53" s="4" t="n">
        <v>10</v>
      </c>
      <c r="C53" s="4" t="inlineStr">
        <is>
          <t>nagy műanyag cserép</t>
        </is>
      </c>
      <c r="D53" s="4" t="n"/>
      <c r="E53" s="5" t="n">
        <v>50</v>
      </c>
      <c r="F53" s="4" t="inlineStr">
        <is>
          <t>Szoros</t>
        </is>
      </c>
      <c r="G53" s="4" t="inlineStr">
        <is>
          <t>Igen</t>
        </is>
      </c>
      <c r="H53" s="4" t="inlineStr">
        <is>
          <t>Nagy térfogatú cserép – 20–100 literes termesztés, kültér</t>
        </is>
      </c>
      <c r="I53" s="4" t="inlineStr">
        <is>
          <t>Kategórialeírás (természetes említés)</t>
        </is>
      </c>
    </row>
    <row r="54">
      <c r="A54" s="4" t="inlineStr">
        <is>
          <t>Szövetcserép, ültetőzsák</t>
        </is>
      </c>
      <c r="B54" s="4" t="n">
        <v>2</v>
      </c>
      <c r="C54" s="4" t="inlineStr">
        <is>
          <t>ultetozsak</t>
        </is>
      </c>
      <c r="D54" s="4" t="n"/>
      <c r="E54" s="5" t="n">
        <v>50</v>
      </c>
      <c r="F54" s="4" t="inlineStr">
        <is>
          <t>Szoros</t>
        </is>
      </c>
      <c r="G54" s="4" t="inlineStr">
        <is>
          <t>Igen</t>
        </is>
      </c>
      <c r="H54" s="4" t="inlineStr">
        <is>
          <t>Szövet / textil / filc cserép, ültető- és termesztőzsák</t>
        </is>
      </c>
      <c r="I54" s="4" t="inlineStr">
        <is>
          <t>Kategórialeírás (természetes említés)</t>
        </is>
      </c>
    </row>
    <row r="55">
      <c r="A55" s="4" t="inlineStr">
        <is>
          <t>Cserépalátét</t>
        </is>
      </c>
      <c r="B55" s="4" t="n">
        <v>12</v>
      </c>
      <c r="C55" s="4" t="inlineStr">
        <is>
          <t>virágcserép alátét 60 cm</t>
        </is>
      </c>
      <c r="D55" s="4" t="n"/>
      <c r="E55" s="5" t="n">
        <v>50</v>
      </c>
      <c r="F55" s="4" t="inlineStr">
        <is>
          <t>Szoros</t>
        </is>
      </c>
      <c r="G55" s="4" t="inlineStr">
        <is>
          <t>Igen</t>
        </is>
      </c>
      <c r="H55" s="4" t="inlineStr">
        <is>
          <t>Cserép alá – vízfelfogás, gurulós alátét</t>
        </is>
      </c>
      <c r="I55" s="4" t="inlineStr">
        <is>
          <t>Kategórialeírás (természetes említés)</t>
        </is>
      </c>
    </row>
    <row r="56">
      <c r="A56" s="4" t="inlineStr">
        <is>
          <t>Cserépalátét</t>
        </is>
      </c>
      <c r="B56" s="4" t="n">
        <v>13</v>
      </c>
      <c r="C56" s="4" t="inlineStr">
        <is>
          <t>cserépalátét 80 cm</t>
        </is>
      </c>
      <c r="D56" s="4" t="n"/>
      <c r="E56" s="5" t="n">
        <v>50</v>
      </c>
      <c r="F56" s="4" t="inlineStr">
        <is>
          <t>Szoros</t>
        </is>
      </c>
      <c r="G56" s="4" t="inlineStr">
        <is>
          <t>Igen</t>
        </is>
      </c>
      <c r="H56" s="4" t="inlineStr">
        <is>
          <t>Cserép alá – vízfelfogás, gurulós alátét</t>
        </is>
      </c>
      <c r="I56" s="4" t="inlineStr">
        <is>
          <t>Kategórialeírás (természetes említés)</t>
        </is>
      </c>
    </row>
    <row r="57">
      <c r="A57" s="4" t="inlineStr">
        <is>
          <t>Műanyag tálca, árapály asztal</t>
        </is>
      </c>
      <c r="B57" s="4" t="n">
        <v>9</v>
      </c>
      <c r="C57" s="4" t="inlineStr">
        <is>
          <t>árapály asztal</t>
        </is>
      </c>
      <c r="D57" s="4" t="n"/>
      <c r="E57" s="5" t="n">
        <v>50</v>
      </c>
      <c r="F57" s="4" t="inlineStr">
        <is>
          <t>Szoros</t>
        </is>
      </c>
      <c r="G57" s="4" t="inlineStr">
        <is>
          <t>Igen</t>
        </is>
      </c>
      <c r="H57" s="4" t="inlineStr">
        <is>
          <t>Gyűjtőtálca termesztősátorba, árapály (ebb &amp; flow) rendszer</t>
        </is>
      </c>
      <c r="I57" s="4" t="inlineStr">
        <is>
          <t>SEO title / H1 / bevezető (másodlagos)</t>
        </is>
      </c>
    </row>
    <row r="58">
      <c r="A58" s="7" t="inlineStr">
        <is>
          <t>Műanyag tálca, árapály asztal</t>
        </is>
      </c>
      <c r="B58" s="7" t="n">
        <v>10</v>
      </c>
      <c r="C58" s="7" t="inlineStr">
        <is>
          <t>műanyag kármentő tálca</t>
        </is>
      </c>
      <c r="D58" s="7" t="n"/>
      <c r="E58" s="8" t="n">
        <v>50</v>
      </c>
      <c r="F58" s="7" t="inlineStr">
        <is>
          <t>Laza</t>
        </is>
      </c>
      <c r="G58" s="7" t="inlineStr">
        <is>
          <t>Igen</t>
        </is>
      </c>
      <c r="H58" s="7" t="inlineStr">
        <is>
          <t>Gyűjtőtálca termesztősátorba, árapály (ebb &amp; flow) rendszer</t>
        </is>
      </c>
      <c r="I58" s="7" t="inlineStr">
        <is>
          <t>Kategórialeírás (természetes említés)</t>
        </is>
      </c>
    </row>
    <row r="59">
      <c r="A59" s="12" t="inlineStr">
        <is>
          <t>Műanyag tálca, árapály asztal</t>
        </is>
      </c>
      <c r="B59" s="12" t="n">
        <v>11</v>
      </c>
      <c r="C59" s="12" t="inlineStr">
        <is>
          <t>műanyag tálca obi</t>
        </is>
      </c>
      <c r="D59" s="12" t="n"/>
      <c r="E59" s="21" t="n">
        <v>50</v>
      </c>
      <c r="F59" s="12" t="inlineStr">
        <is>
          <t>Nincs (áruházi / nem vásárlási szándék)</t>
        </is>
      </c>
      <c r="G59" s="12" t="inlineStr">
        <is>
          <t>Nem – kizárandó</t>
        </is>
      </c>
      <c r="H59" s="12" t="inlineStr">
        <is>
          <t>Gyűjtőtálca termesztősátorba, árapály (ebb &amp; flow) rendszer</t>
        </is>
      </c>
      <c r="I59" s="12" t="inlineStr">
        <is>
          <t>Nem használni (áruházi/nem vásárlási szándék)</t>
        </is>
      </c>
    </row>
    <row r="60">
      <c r="A60" s="7" t="inlineStr">
        <is>
          <t>Virágcserép</t>
        </is>
      </c>
      <c r="B60" s="7" t="n">
        <v>18</v>
      </c>
      <c r="C60" s="7" t="inlineStr">
        <is>
          <t>kerti cserép</t>
        </is>
      </c>
      <c r="D60" s="7" t="n"/>
      <c r="E60" s="8" t="n">
        <v>40</v>
      </c>
      <c r="F60" s="7" t="inlineStr">
        <is>
          <t>Laza</t>
        </is>
      </c>
      <c r="G60" s="7" t="inlineStr">
        <is>
          <t>Igen</t>
        </is>
      </c>
      <c r="H60" s="7" t="inlineStr">
        <is>
          <t>Termesztő cserép – műanyag, kerek, literes méretek</t>
        </is>
      </c>
      <c r="I60" s="7" t="inlineStr">
        <is>
          <t>Kategórialeírás (természetes említés)</t>
        </is>
      </c>
    </row>
    <row r="61">
      <c r="A61" s="4" t="inlineStr">
        <is>
          <t>Nagy virágcserép</t>
        </is>
      </c>
      <c r="B61" s="4" t="n">
        <v>11</v>
      </c>
      <c r="C61" s="4" t="inlineStr">
        <is>
          <t>nagy műanyag virágcserép</t>
        </is>
      </c>
      <c r="D61" s="4" t="n"/>
      <c r="E61" s="5" t="n">
        <v>40</v>
      </c>
      <c r="F61" s="4" t="inlineStr">
        <is>
          <t>Szoros</t>
        </is>
      </c>
      <c r="G61" s="4" t="inlineStr">
        <is>
          <t>Igen</t>
        </is>
      </c>
      <c r="H61" s="4" t="inlineStr">
        <is>
          <t>Nagy térfogatú cserép – 20–100 literes termesztés, kültér</t>
        </is>
      </c>
      <c r="I61" s="4" t="inlineStr">
        <is>
          <t>Kategórialeírás (természetes említés)</t>
        </is>
      </c>
    </row>
    <row r="62">
      <c r="A62" s="4" t="inlineStr">
        <is>
          <t>Nagy virágcserép</t>
        </is>
      </c>
      <c r="B62" s="4" t="n">
        <v>12</v>
      </c>
      <c r="C62" s="4" t="inlineStr">
        <is>
          <t>nagyméretű műanyag cserép</t>
        </is>
      </c>
      <c r="D62" s="4" t="n"/>
      <c r="E62" s="5" t="n">
        <v>40</v>
      </c>
      <c r="F62" s="4" t="inlineStr">
        <is>
          <t>Szoros</t>
        </is>
      </c>
      <c r="G62" s="4" t="inlineStr">
        <is>
          <t>Igen</t>
        </is>
      </c>
      <c r="H62" s="4" t="inlineStr">
        <is>
          <t>Nagy térfogatú cserép – 20–100 literes termesztés, kültér</t>
        </is>
      </c>
      <c r="I62" s="4" t="inlineStr">
        <is>
          <t>Kategórialeírás (természetes említés)</t>
        </is>
      </c>
    </row>
    <row r="63">
      <c r="A63" s="7" t="inlineStr">
        <is>
          <t>Nagy virágcserép</t>
        </is>
      </c>
      <c r="B63" s="7" t="n">
        <v>13</v>
      </c>
      <c r="C63" s="7" t="inlineStr">
        <is>
          <t>xxl cserép</t>
        </is>
      </c>
      <c r="D63" s="7" t="n"/>
      <c r="E63" s="8" t="n">
        <v>40</v>
      </c>
      <c r="F63" s="7" t="inlineStr">
        <is>
          <t>Laza</t>
        </is>
      </c>
      <c r="G63" s="7" t="inlineStr">
        <is>
          <t>Igen</t>
        </is>
      </c>
      <c r="H63" s="7" t="inlineStr">
        <is>
          <t>Nagy térfogatú cserép – 20–100 literes termesztés, kültér</t>
        </is>
      </c>
      <c r="I63" s="7" t="inlineStr">
        <is>
          <t>Kategórialeírás (természetes említés)</t>
        </is>
      </c>
    </row>
    <row r="64">
      <c r="A64" s="4" t="inlineStr">
        <is>
          <t>Szögletes cserép</t>
        </is>
      </c>
      <c r="B64" s="4" t="n">
        <v>3</v>
      </c>
      <c r="C64" s="4" t="inlineStr">
        <is>
          <t>szögletes cserép</t>
        </is>
      </c>
      <c r="D64" s="4" t="n"/>
      <c r="E64" s="5" t="n">
        <v>40</v>
      </c>
      <c r="F64" s="4" t="inlineStr">
        <is>
          <t>Szoros</t>
        </is>
      </c>
      <c r="G64" s="4" t="inlineStr">
        <is>
          <t>Igen</t>
        </is>
      </c>
      <c r="H64" s="4" t="inlineStr">
        <is>
          <t>Helytakarékos termesztés sátorban / polcon</t>
        </is>
      </c>
      <c r="I64" s="4" t="inlineStr">
        <is>
          <t>SEO title / H1 / bevezető (másodlagos)</t>
        </is>
      </c>
    </row>
    <row r="65">
      <c r="A65" s="7" t="inlineStr">
        <is>
          <t>Szövetcserép, ültetőzsák</t>
        </is>
      </c>
      <c r="B65" s="7" t="n">
        <v>3</v>
      </c>
      <c r="C65" s="7" t="inlineStr">
        <is>
          <t>burgonya ültető zsák</t>
        </is>
      </c>
      <c r="D65" s="7" t="n"/>
      <c r="E65" s="8" t="n">
        <v>40</v>
      </c>
      <c r="F65" s="7" t="inlineStr">
        <is>
          <t>Laza</t>
        </is>
      </c>
      <c r="G65" s="7" t="inlineStr">
        <is>
          <t>Igen</t>
        </is>
      </c>
      <c r="H65" s="7" t="inlineStr">
        <is>
          <t>Szövet / textil / filc cserép, ültető- és termesztőzsák</t>
        </is>
      </c>
      <c r="I65" s="7" t="inlineStr">
        <is>
          <t>Kategórialeírás (természetes említés)</t>
        </is>
      </c>
    </row>
    <row r="66">
      <c r="A66" s="7" t="inlineStr">
        <is>
          <t>Szövetcserép, ültetőzsák</t>
        </is>
      </c>
      <c r="B66" s="7" t="n">
        <v>4</v>
      </c>
      <c r="C66" s="7" t="inlineStr">
        <is>
          <t>krumpli ültető zsák</t>
        </is>
      </c>
      <c r="D66" s="7" t="n"/>
      <c r="E66" s="8" t="n">
        <v>40</v>
      </c>
      <c r="F66" s="7" t="inlineStr">
        <is>
          <t>Laza</t>
        </is>
      </c>
      <c r="G66" s="7" t="inlineStr">
        <is>
          <t>Igen</t>
        </is>
      </c>
      <c r="H66" s="7" t="inlineStr">
        <is>
          <t>Szövet / textil / filc cserép, ültető- és termesztőzsák</t>
        </is>
      </c>
      <c r="I66" s="7" t="inlineStr">
        <is>
          <t>Kategórialeírás (természetes említés)</t>
        </is>
      </c>
    </row>
    <row r="67">
      <c r="A67" s="4" t="inlineStr">
        <is>
          <t>Cserépalátét</t>
        </is>
      </c>
      <c r="B67" s="4" t="n">
        <v>14</v>
      </c>
      <c r="C67" s="4" t="inlineStr">
        <is>
          <t>cserépalátét 60 cm</t>
        </is>
      </c>
      <c r="D67" s="4" t="n"/>
      <c r="E67" s="5" t="n">
        <v>40</v>
      </c>
      <c r="F67" s="4" t="inlineStr">
        <is>
          <t>Szoros</t>
        </is>
      </c>
      <c r="G67" s="4" t="inlineStr">
        <is>
          <t>Igen</t>
        </is>
      </c>
      <c r="H67" s="4" t="inlineStr">
        <is>
          <t>Cserép alá – vízfelfogás, gurulós alátét</t>
        </is>
      </c>
      <c r="I67" s="4" t="inlineStr">
        <is>
          <t>Kategórialeírás (természetes említés)</t>
        </is>
      </c>
    </row>
    <row r="68">
      <c r="A68" s="7" t="inlineStr">
        <is>
          <t>Műanyag tálca, árapály asztal</t>
        </is>
      </c>
      <c r="B68" s="7" t="n">
        <v>12</v>
      </c>
      <c r="C68" s="7" t="inlineStr">
        <is>
          <t>nagy műanyag tálca</t>
        </is>
      </c>
      <c r="D68" s="7" t="n"/>
      <c r="E68" s="8" t="n">
        <v>40</v>
      </c>
      <c r="F68" s="7" t="inlineStr">
        <is>
          <t>Laza</t>
        </is>
      </c>
      <c r="G68" s="7" t="inlineStr">
        <is>
          <t>Igen</t>
        </is>
      </c>
      <c r="H68" s="7" t="inlineStr">
        <is>
          <t>Gyűjtőtálca termesztősátorba, árapály (ebb &amp; flow) rendszer</t>
        </is>
      </c>
      <c r="I68" s="7" t="inlineStr">
        <is>
          <t>Kategórialeírás (természetes említés)</t>
        </is>
      </c>
    </row>
    <row r="69">
      <c r="A69" s="7" t="inlineStr">
        <is>
          <t>Műanyag tálca, árapály asztal</t>
        </is>
      </c>
      <c r="B69" s="7" t="n">
        <v>13</v>
      </c>
      <c r="C69" s="7" t="inlineStr">
        <is>
          <t>kármentő tálca műanyag</t>
        </is>
      </c>
      <c r="D69" s="7" t="n"/>
      <c r="E69" s="8" t="n">
        <v>40</v>
      </c>
      <c r="F69" s="7" t="inlineStr">
        <is>
          <t>Laza</t>
        </is>
      </c>
      <c r="G69" s="7" t="inlineStr">
        <is>
          <t>Igen</t>
        </is>
      </c>
      <c r="H69" s="7" t="inlineStr">
        <is>
          <t>Gyűjtőtálca termesztősátorba, árapály (ebb &amp; flow) rendszer</t>
        </is>
      </c>
      <c r="I69" s="7" t="inlineStr">
        <is>
          <t>Kategórialeírás (természetes említés)</t>
        </is>
      </c>
    </row>
    <row r="70">
      <c r="A70" s="4" t="inlineStr">
        <is>
          <t>Virágcserép</t>
        </is>
      </c>
      <c r="B70" s="4" t="n">
        <v>19</v>
      </c>
      <c r="C70" s="4" t="inlineStr">
        <is>
          <t>10 literes cserép</t>
        </is>
      </c>
      <c r="D70" s="4" t="n"/>
      <c r="E70" s="5" t="n">
        <v>30</v>
      </c>
      <c r="F70" s="4" t="inlineStr">
        <is>
          <t>Szoros</t>
        </is>
      </c>
      <c r="G70" s="4" t="inlineStr">
        <is>
          <t>Igen</t>
        </is>
      </c>
      <c r="H70" s="4" t="inlineStr">
        <is>
          <t>Termesztő cserép – műanyag, kerek, literes méretek</t>
        </is>
      </c>
      <c r="I70" s="4" t="inlineStr">
        <is>
          <t>Kategórialeírás (természetes említés)</t>
        </is>
      </c>
    </row>
    <row r="71">
      <c r="A71" s="4" t="inlineStr">
        <is>
          <t>Virágcserép</t>
        </is>
      </c>
      <c r="B71" s="4" t="n">
        <v>20</v>
      </c>
      <c r="C71" s="4" t="inlineStr">
        <is>
          <t>50 literes cserép</t>
        </is>
      </c>
      <c r="D71" s="4" t="n"/>
      <c r="E71" s="5" t="n">
        <v>30</v>
      </c>
      <c r="F71" s="4" t="inlineStr">
        <is>
          <t>Szoros</t>
        </is>
      </c>
      <c r="G71" s="4" t="inlineStr">
        <is>
          <t>Igen</t>
        </is>
      </c>
      <c r="H71" s="4" t="inlineStr">
        <is>
          <t>Termesztő cserép – műanyag, kerek, literes méretek</t>
        </is>
      </c>
      <c r="I71" s="4" t="inlineStr">
        <is>
          <t>Kategórialeírás (természetes említés)</t>
        </is>
      </c>
    </row>
    <row r="72">
      <c r="A72" s="4" t="inlineStr">
        <is>
          <t>Virágcserép</t>
        </is>
      </c>
      <c r="B72" s="4" t="n">
        <v>21</v>
      </c>
      <c r="C72" s="4" t="inlineStr">
        <is>
          <t>virágcserép 30 cm</t>
        </is>
      </c>
      <c r="D72" s="4" t="n"/>
      <c r="E72" s="5" t="n">
        <v>30</v>
      </c>
      <c r="F72" s="4" t="inlineStr">
        <is>
          <t>Szoros</t>
        </is>
      </c>
      <c r="G72" s="4" t="inlineStr">
        <is>
          <t>Igen</t>
        </is>
      </c>
      <c r="H72" s="4" t="inlineStr">
        <is>
          <t>Termesztő cserép – műanyag, kerek, literes méretek</t>
        </is>
      </c>
      <c r="I72" s="4" t="inlineStr">
        <is>
          <t>Kategórialeírás (természetes említés)</t>
        </is>
      </c>
    </row>
    <row r="73">
      <c r="A73" s="4" t="inlineStr">
        <is>
          <t>Szögletes cserép</t>
        </is>
      </c>
      <c r="B73" s="4" t="n">
        <v>4</v>
      </c>
      <c r="C73" s="4" t="inlineStr">
        <is>
          <t>szögletes műanyag cserép</t>
        </is>
      </c>
      <c r="D73" s="4" t="n"/>
      <c r="E73" s="5" t="n">
        <v>30</v>
      </c>
      <c r="F73" s="4" t="inlineStr">
        <is>
          <t>Szoros</t>
        </is>
      </c>
      <c r="G73" s="4" t="inlineStr">
        <is>
          <t>Igen</t>
        </is>
      </c>
      <c r="H73" s="4" t="inlineStr">
        <is>
          <t>Helytakarékos termesztés sátorban / polcon</t>
        </is>
      </c>
      <c r="I73" s="4" t="inlineStr">
        <is>
          <t>SEO title / H1 / bevezető (másodlagos)</t>
        </is>
      </c>
    </row>
    <row r="74">
      <c r="A74" s="4" t="inlineStr">
        <is>
          <t>Cserépalátét</t>
        </is>
      </c>
      <c r="B74" s="4" t="n">
        <v>15</v>
      </c>
      <c r="C74" s="4" t="inlineStr">
        <is>
          <t>cserépalátét 50 cm</t>
        </is>
      </c>
      <c r="D74" s="4" t="n"/>
      <c r="E74" s="5" t="n">
        <v>30</v>
      </c>
      <c r="F74" s="4" t="inlineStr">
        <is>
          <t>Szoros</t>
        </is>
      </c>
      <c r="G74" s="4" t="inlineStr">
        <is>
          <t>Igen</t>
        </is>
      </c>
      <c r="H74" s="4" t="inlineStr">
        <is>
          <t>Cserép alá – vízfelfogás, gurulós alátét</t>
        </is>
      </c>
      <c r="I74" s="4" t="inlineStr">
        <is>
          <t>Kategórialeírás (természetes említés)</t>
        </is>
      </c>
    </row>
    <row r="75">
      <c r="A75" s="4" t="inlineStr">
        <is>
          <t>Cserépalátét</t>
        </is>
      </c>
      <c r="B75" s="4" t="n">
        <v>16</v>
      </c>
      <c r="C75" s="4" t="inlineStr">
        <is>
          <t>virágcserép alátét 50 cm</t>
        </is>
      </c>
      <c r="D75" s="4" t="n"/>
      <c r="E75" s="5" t="n">
        <v>30</v>
      </c>
      <c r="F75" s="4" t="inlineStr">
        <is>
          <t>Szoros</t>
        </is>
      </c>
      <c r="G75" s="4" t="inlineStr">
        <is>
          <t>Igen</t>
        </is>
      </c>
      <c r="H75" s="4" t="inlineStr">
        <is>
          <t>Cserép alá – vízfelfogás, gurulós alátét</t>
        </is>
      </c>
      <c r="I75" s="4" t="inlineStr">
        <is>
          <t>Kategórialeírás (természetes említés)</t>
        </is>
      </c>
    </row>
    <row r="76">
      <c r="A76" s="7" t="inlineStr">
        <is>
          <t>Cserépalátét</t>
        </is>
      </c>
      <c r="B76" s="7" t="n">
        <v>17</v>
      </c>
      <c r="C76" s="7" t="inlineStr">
        <is>
          <t>gurulós alátét</t>
        </is>
      </c>
      <c r="D76" s="7" t="n"/>
      <c r="E76" s="8" t="n">
        <v>30</v>
      </c>
      <c r="F76" s="7" t="inlineStr">
        <is>
          <t>Laza</t>
        </is>
      </c>
      <c r="G76" s="7" t="inlineStr">
        <is>
          <t>Igen</t>
        </is>
      </c>
      <c r="H76" s="7" t="inlineStr">
        <is>
          <t>Cserép alá – vízfelfogás, gurulós alátét</t>
        </is>
      </c>
      <c r="I76" s="7" t="inlineStr">
        <is>
          <t>Kategórialeírás (természetes említés)</t>
        </is>
      </c>
    </row>
    <row r="77">
      <c r="A77" s="7" t="inlineStr">
        <is>
          <t>Cserépalátét</t>
        </is>
      </c>
      <c r="B77" s="7" t="n">
        <v>18</v>
      </c>
      <c r="C77" s="7" t="inlineStr">
        <is>
          <t>guruló virágtartó</t>
        </is>
      </c>
      <c r="D77" s="7" t="n"/>
      <c r="E77" s="8" t="n">
        <v>30</v>
      </c>
      <c r="F77" s="7" t="inlineStr">
        <is>
          <t>Laza</t>
        </is>
      </c>
      <c r="G77" s="7" t="inlineStr">
        <is>
          <t>Igen</t>
        </is>
      </c>
      <c r="H77" s="7" t="inlineStr">
        <is>
          <t>Cserép alá – vízfelfogás, gurulós alátét</t>
        </is>
      </c>
      <c r="I77" s="7" t="inlineStr">
        <is>
          <t>Kategórialeírás (természetes említés)</t>
        </is>
      </c>
    </row>
    <row r="78">
      <c r="A78" s="4" t="inlineStr">
        <is>
          <t>Műanyag tálca, árapály asztal</t>
        </is>
      </c>
      <c r="B78" s="4" t="n">
        <v>14</v>
      </c>
      <c r="C78" s="4" t="inlineStr">
        <is>
          <t>árapály asztal eladó</t>
        </is>
      </c>
      <c r="D78" s="4" t="n"/>
      <c r="E78" s="5" t="n">
        <v>30</v>
      </c>
      <c r="F78" s="4" t="inlineStr">
        <is>
          <t>Szoros</t>
        </is>
      </c>
      <c r="G78" s="4" t="inlineStr">
        <is>
          <t>Igen</t>
        </is>
      </c>
      <c r="H78" s="4" t="inlineStr">
        <is>
          <t>Gyűjtőtálca termesztősátorba, árapály (ebb &amp; flow) rendszer</t>
        </is>
      </c>
      <c r="I78" s="4" t="inlineStr">
        <is>
          <t>Kategórialeírás (természetes említés)</t>
        </is>
      </c>
    </row>
    <row r="79">
      <c r="A79" s="4" t="inlineStr">
        <is>
          <t>Műanyag tálca, árapály asztal</t>
        </is>
      </c>
      <c r="B79" s="4" t="n">
        <v>15</v>
      </c>
      <c r="C79" s="4" t="inlineStr">
        <is>
          <t>termesztő tálca</t>
        </is>
      </c>
      <c r="D79" s="4" t="n"/>
      <c r="E79" s="5" t="n">
        <v>30</v>
      </c>
      <c r="F79" s="4" t="inlineStr">
        <is>
          <t>Szoros</t>
        </is>
      </c>
      <c r="G79" s="4" t="inlineStr">
        <is>
          <t>Igen</t>
        </is>
      </c>
      <c r="H79" s="4" t="inlineStr">
        <is>
          <t>Gyűjtőtálca termesztősátorba, árapály (ebb &amp; flow) rendszer</t>
        </is>
      </c>
      <c r="I79" s="4" t="inlineStr">
        <is>
          <t>Kategórialeírás (természetes említés)</t>
        </is>
      </c>
    </row>
    <row r="80">
      <c r="A80" s="7" t="inlineStr">
        <is>
          <t>Műanyag tálca, árapály asztal</t>
        </is>
      </c>
      <c r="B80" s="7" t="n">
        <v>16</v>
      </c>
      <c r="C80" s="7" t="inlineStr">
        <is>
          <t>fekete műanyag tálca</t>
        </is>
      </c>
      <c r="D80" s="7" t="n"/>
      <c r="E80" s="8" t="n">
        <v>30</v>
      </c>
      <c r="F80" s="7" t="inlineStr">
        <is>
          <t>Laza</t>
        </is>
      </c>
      <c r="G80" s="7" t="inlineStr">
        <is>
          <t>Igen</t>
        </is>
      </c>
      <c r="H80" s="7" t="inlineStr">
        <is>
          <t>Gyűjtőtálca termesztősátorba, árapály (ebb &amp; flow) rendszer</t>
        </is>
      </c>
      <c r="I80" s="7" t="inlineStr">
        <is>
          <t>Kategórialeírás (természetes említés)</t>
        </is>
      </c>
    </row>
    <row r="81">
      <c r="A81" s="7" t="inlineStr">
        <is>
          <t>Műanyag tálca, árapály asztal</t>
        </is>
      </c>
      <c r="B81" s="7" t="n">
        <v>17</v>
      </c>
      <c r="C81" s="7" t="inlineStr">
        <is>
          <t>kerek műanyag tálca</t>
        </is>
      </c>
      <c r="D81" s="7" t="n"/>
      <c r="E81" s="8" t="n">
        <v>30</v>
      </c>
      <c r="F81" s="7" t="inlineStr">
        <is>
          <t>Laza</t>
        </is>
      </c>
      <c r="G81" s="7" t="inlineStr">
        <is>
          <t>Igen</t>
        </is>
      </c>
      <c r="H81" s="7" t="inlineStr">
        <is>
          <t>Gyűjtőtálca termesztősátorba, árapály (ebb &amp; flow) rendszer</t>
        </is>
      </c>
      <c r="I81" s="7" t="inlineStr">
        <is>
          <t>Kategórialeírás (természetes említés)</t>
        </is>
      </c>
    </row>
    <row r="82">
      <c r="A82" s="4" t="inlineStr">
        <is>
          <t>Virágcserép</t>
        </is>
      </c>
      <c r="B82" s="4" t="n">
        <v>22</v>
      </c>
      <c r="C82" s="4" t="inlineStr">
        <is>
          <t>30 literes cserép</t>
        </is>
      </c>
      <c r="D82" s="4" t="n"/>
      <c r="E82" s="5" t="n">
        <v>20</v>
      </c>
      <c r="F82" s="4" t="inlineStr">
        <is>
          <t>Szoros</t>
        </is>
      </c>
      <c r="G82" s="4" t="inlineStr">
        <is>
          <t>Igen</t>
        </is>
      </c>
      <c r="H82" s="4" t="inlineStr">
        <is>
          <t>Termesztő cserép – műanyag, kerek, literes méretek</t>
        </is>
      </c>
      <c r="I82" s="4" t="inlineStr">
        <is>
          <t>Kategórialeírás (természetes említés)</t>
        </is>
      </c>
    </row>
    <row r="83">
      <c r="A83" s="4" t="inlineStr">
        <is>
          <t>Virágcserép</t>
        </is>
      </c>
      <c r="B83" s="4" t="n">
        <v>23</v>
      </c>
      <c r="C83" s="4" t="inlineStr">
        <is>
          <t>15 literes cserép</t>
        </is>
      </c>
      <c r="D83" s="4" t="n"/>
      <c r="E83" s="5" t="n">
        <v>20</v>
      </c>
      <c r="F83" s="4" t="inlineStr">
        <is>
          <t>Szoros</t>
        </is>
      </c>
      <c r="G83" s="4" t="inlineStr">
        <is>
          <t>Igen</t>
        </is>
      </c>
      <c r="H83" s="4" t="inlineStr">
        <is>
          <t>Termesztő cserép – műanyag, kerek, literes méretek</t>
        </is>
      </c>
      <c r="I83" s="4" t="inlineStr">
        <is>
          <t>Kategórialeírás (természetes említés)</t>
        </is>
      </c>
    </row>
    <row r="84">
      <c r="A84" s="4" t="inlineStr">
        <is>
          <t>Virágcserép</t>
        </is>
      </c>
      <c r="B84" s="4" t="n">
        <v>24</v>
      </c>
      <c r="C84" s="4" t="inlineStr">
        <is>
          <t>műanyag virágcserepek</t>
        </is>
      </c>
      <c r="D84" s="4" t="n"/>
      <c r="E84" s="5" t="n">
        <v>20</v>
      </c>
      <c r="F84" s="4" t="inlineStr">
        <is>
          <t>Szoros</t>
        </is>
      </c>
      <c r="G84" s="4" t="inlineStr">
        <is>
          <t>Igen</t>
        </is>
      </c>
      <c r="H84" s="4" t="inlineStr">
        <is>
          <t>Termesztő cserép – műanyag, kerek, literes méretek</t>
        </is>
      </c>
      <c r="I84" s="4" t="inlineStr">
        <is>
          <t>Kategórialeírás (természetes említés)</t>
        </is>
      </c>
    </row>
    <row r="85">
      <c r="A85" s="4" t="inlineStr">
        <is>
          <t>Virágcserép</t>
        </is>
      </c>
      <c r="B85" s="4" t="n">
        <v>25</v>
      </c>
      <c r="C85" s="4" t="inlineStr">
        <is>
          <t>virágcserép olcsón</t>
        </is>
      </c>
      <c r="D85" s="4" t="n"/>
      <c r="E85" s="5" t="n">
        <v>20</v>
      </c>
      <c r="F85" s="4" t="inlineStr">
        <is>
          <t>Szoros</t>
        </is>
      </c>
      <c r="G85" s="4" t="inlineStr">
        <is>
          <t>Igen</t>
        </is>
      </c>
      <c r="H85" s="4" t="inlineStr">
        <is>
          <t>Termesztő cserép – műanyag, kerek, literes méretek</t>
        </is>
      </c>
      <c r="I85" s="4" t="inlineStr">
        <is>
          <t>Kategórialeírás (természetes említés)</t>
        </is>
      </c>
    </row>
    <row r="86">
      <c r="A86" s="4" t="inlineStr">
        <is>
          <t>Nagy virágcserép</t>
        </is>
      </c>
      <c r="B86" s="4" t="n">
        <v>14</v>
      </c>
      <c r="C86" s="4" t="inlineStr">
        <is>
          <t>50 literes virágcserép</t>
        </is>
      </c>
      <c r="D86" s="4" t="n"/>
      <c r="E86" s="5" t="n">
        <v>20</v>
      </c>
      <c r="F86" s="4" t="inlineStr">
        <is>
          <t>Szoros</t>
        </is>
      </c>
      <c r="G86" s="4" t="inlineStr">
        <is>
          <t>Igen</t>
        </is>
      </c>
      <c r="H86" s="4" t="inlineStr">
        <is>
          <t>Nagy térfogatú cserép – 20–100 literes termesztés, kültér</t>
        </is>
      </c>
      <c r="I86" s="4" t="inlineStr">
        <is>
          <t>Kategórialeírás (természetes említés)</t>
        </is>
      </c>
    </row>
    <row r="87">
      <c r="A87" s="4" t="inlineStr">
        <is>
          <t>Szögletes cserép</t>
        </is>
      </c>
      <c r="B87" s="4" t="n">
        <v>5</v>
      </c>
      <c r="C87" s="4" t="inlineStr">
        <is>
          <t>magas műanyag virágcserép</t>
        </is>
      </c>
      <c r="D87" s="4" t="n"/>
      <c r="E87" s="5" t="n">
        <v>20</v>
      </c>
      <c r="F87" s="4" t="inlineStr">
        <is>
          <t>Szoros</t>
        </is>
      </c>
      <c r="G87" s="4" t="inlineStr">
        <is>
          <t>Igen</t>
        </is>
      </c>
      <c r="H87" s="4" t="inlineStr">
        <is>
          <t>Helytakarékos termesztés sátorban / polcon</t>
        </is>
      </c>
      <c r="I87" s="4" t="inlineStr">
        <is>
          <t>Kategórialeírás (természetes említés)</t>
        </is>
      </c>
    </row>
    <row r="88">
      <c r="A88" s="4" t="inlineStr">
        <is>
          <t>Szögletes cserép</t>
        </is>
      </c>
      <c r="B88" s="4" t="n">
        <v>6</v>
      </c>
      <c r="C88" s="4" t="inlineStr">
        <is>
          <t>négyszögletes virágcserép</t>
        </is>
      </c>
      <c r="D88" s="4" t="n"/>
      <c r="E88" s="5" t="n">
        <v>20</v>
      </c>
      <c r="F88" s="4" t="inlineStr">
        <is>
          <t>Szoros</t>
        </is>
      </c>
      <c r="G88" s="4" t="inlineStr">
        <is>
          <t>Igen</t>
        </is>
      </c>
      <c r="H88" s="4" t="inlineStr">
        <is>
          <t>Helytakarékos termesztés sátorban / polcon</t>
        </is>
      </c>
      <c r="I88" s="4" t="inlineStr">
        <is>
          <t>Kategórialeírás (természetes említés)</t>
        </is>
      </c>
    </row>
    <row r="89">
      <c r="A89" s="4" t="inlineStr">
        <is>
          <t>Szögletes cserép</t>
        </is>
      </c>
      <c r="B89" s="4" t="n">
        <v>7</v>
      </c>
      <c r="C89" s="4" t="inlineStr">
        <is>
          <t>négyzet alakú virágcserép</t>
        </is>
      </c>
      <c r="D89" s="4" t="n"/>
      <c r="E89" s="5" t="n">
        <v>20</v>
      </c>
      <c r="F89" s="4" t="inlineStr">
        <is>
          <t>Szoros</t>
        </is>
      </c>
      <c r="G89" s="4" t="inlineStr">
        <is>
          <t>Igen</t>
        </is>
      </c>
      <c r="H89" s="4" t="inlineStr">
        <is>
          <t>Helytakarékos termesztés sátorban / polcon</t>
        </is>
      </c>
      <c r="I89" s="4" t="inlineStr">
        <is>
          <t>Kategórialeírás (természetes említés)</t>
        </is>
      </c>
    </row>
    <row r="90">
      <c r="A90" s="4" t="inlineStr">
        <is>
          <t>Szövetcserép, ültetőzsák</t>
        </is>
      </c>
      <c r="B90" s="4" t="n">
        <v>5</v>
      </c>
      <c r="C90" s="4" t="inlineStr">
        <is>
          <t>szövet cserép</t>
        </is>
      </c>
      <c r="D90" s="4" t="n"/>
      <c r="E90" s="5" t="n">
        <v>20</v>
      </c>
      <c r="F90" s="4" t="inlineStr">
        <is>
          <t>Szoros</t>
        </is>
      </c>
      <c r="G90" s="4" t="inlineStr">
        <is>
          <t>Igen</t>
        </is>
      </c>
      <c r="H90" s="4" t="inlineStr">
        <is>
          <t>Szövet / textil / filc cserép, ültető- és termesztőzsák</t>
        </is>
      </c>
      <c r="I90" s="4" t="inlineStr">
        <is>
          <t>SEO title / H1 / bevezető (másodlagos)</t>
        </is>
      </c>
    </row>
    <row r="91">
      <c r="A91" s="4" t="inlineStr">
        <is>
          <t>Szövetcserép, ültetőzsák</t>
        </is>
      </c>
      <c r="B91" s="4" t="n">
        <v>6</v>
      </c>
      <c r="C91" s="4" t="inlineStr">
        <is>
          <t>textil cserép</t>
        </is>
      </c>
      <c r="D91" s="4" t="n"/>
      <c r="E91" s="5" t="n">
        <v>20</v>
      </c>
      <c r="F91" s="4" t="inlineStr">
        <is>
          <t>Szoros</t>
        </is>
      </c>
      <c r="G91" s="4" t="inlineStr">
        <is>
          <t>Igen</t>
        </is>
      </c>
      <c r="H91" s="4" t="inlineStr">
        <is>
          <t>Szövet / textil / filc cserép, ültető- és termesztőzsák</t>
        </is>
      </c>
      <c r="I91" s="4" t="inlineStr">
        <is>
          <t>SEO title / H1 / bevezető (másodlagos)</t>
        </is>
      </c>
    </row>
    <row r="92">
      <c r="A92" s="4" t="inlineStr">
        <is>
          <t>Szövetcserép, ültetőzsák</t>
        </is>
      </c>
      <c r="B92" s="4" t="n">
        <v>7</v>
      </c>
      <c r="C92" s="4" t="inlineStr">
        <is>
          <t>textil virágcserép</t>
        </is>
      </c>
      <c r="D92" s="4" t="n"/>
      <c r="E92" s="5" t="n">
        <v>20</v>
      </c>
      <c r="F92" s="4" t="inlineStr">
        <is>
          <t>Szoros</t>
        </is>
      </c>
      <c r="G92" s="4" t="inlineStr">
        <is>
          <t>Igen</t>
        </is>
      </c>
      <c r="H92" s="4" t="inlineStr">
        <is>
          <t>Szövet / textil / filc cserép, ültető- és termesztőzsák</t>
        </is>
      </c>
      <c r="I92" s="4" t="inlineStr">
        <is>
          <t>SEO title / H1 / bevezető (másodlagos)</t>
        </is>
      </c>
    </row>
    <row r="93">
      <c r="A93" s="4" t="inlineStr">
        <is>
          <t>Szövetcserép, ültetőzsák</t>
        </is>
      </c>
      <c r="B93" s="4" t="n">
        <v>8</v>
      </c>
      <c r="C93" s="4" t="inlineStr">
        <is>
          <t>smart pot</t>
        </is>
      </c>
      <c r="D93" s="4" t="n"/>
      <c r="E93" s="5" t="n">
        <v>20</v>
      </c>
      <c r="F93" s="4" t="inlineStr">
        <is>
          <t>Szoros</t>
        </is>
      </c>
      <c r="G93" s="4" t="inlineStr">
        <is>
          <t>Igen</t>
        </is>
      </c>
      <c r="H93" s="4" t="inlineStr">
        <is>
          <t>Szövet / textil / filc cserép, ültető- és termesztőzsák</t>
        </is>
      </c>
      <c r="I93" s="4" t="inlineStr">
        <is>
          <t>Kategórialeírás (természetes említés)</t>
        </is>
      </c>
    </row>
    <row r="94">
      <c r="A94" s="4" t="inlineStr">
        <is>
          <t>Szövetcserép, ültetőzsák</t>
        </is>
      </c>
      <c r="B94" s="4" t="n">
        <v>9</v>
      </c>
      <c r="C94" s="4" t="inlineStr">
        <is>
          <t>grow bag</t>
        </is>
      </c>
      <c r="D94" s="4" t="n"/>
      <c r="E94" s="5" t="n">
        <v>20</v>
      </c>
      <c r="F94" s="4" t="inlineStr">
        <is>
          <t>Szoros</t>
        </is>
      </c>
      <c r="G94" s="4" t="inlineStr">
        <is>
          <t>Igen</t>
        </is>
      </c>
      <c r="H94" s="4" t="inlineStr">
        <is>
          <t>Szövet / textil / filc cserép, ültető- és termesztőzsák</t>
        </is>
      </c>
      <c r="I94" s="4" t="inlineStr">
        <is>
          <t>Kategórialeírás (természetes említés)</t>
        </is>
      </c>
    </row>
    <row r="95">
      <c r="A95" s="7" t="inlineStr">
        <is>
          <t>Szövetcserép, ültetőzsák</t>
        </is>
      </c>
      <c r="B95" s="7" t="n">
        <v>10</v>
      </c>
      <c r="C95" s="7" t="inlineStr">
        <is>
          <t>krumpli termesztő zsák</t>
        </is>
      </c>
      <c r="D95" s="7" t="n"/>
      <c r="E95" s="8" t="n">
        <v>20</v>
      </c>
      <c r="F95" s="7" t="inlineStr">
        <is>
          <t>Laza</t>
        </is>
      </c>
      <c r="G95" s="7" t="inlineStr">
        <is>
          <t>Igen</t>
        </is>
      </c>
      <c r="H95" s="7" t="inlineStr">
        <is>
          <t>Szövet / textil / filc cserép, ültető- és termesztőzsák</t>
        </is>
      </c>
      <c r="I95" s="7" t="inlineStr">
        <is>
          <t>Kategórialeírás (természetes említés)</t>
        </is>
      </c>
    </row>
    <row r="96">
      <c r="A96" s="7" t="inlineStr">
        <is>
          <t>Önöntöző cserép</t>
        </is>
      </c>
      <c r="B96" s="7" t="n">
        <v>2</v>
      </c>
      <c r="C96" s="7" t="inlineStr">
        <is>
          <t>önöntöző virágcserép</t>
        </is>
      </c>
      <c r="D96" s="7" t="n"/>
      <c r="E96" s="8" t="n">
        <v>20</v>
      </c>
      <c r="F96" s="7" t="inlineStr">
        <is>
          <t>Laza</t>
        </is>
      </c>
      <c r="G96" s="7" t="inlineStr">
        <is>
          <t>Igen</t>
        </is>
      </c>
      <c r="H96" s="7" t="inlineStr">
        <is>
          <t>Víztartályos, önöntöző cserép – szobanövény, fűszer</t>
        </is>
      </c>
      <c r="I96" s="7" t="inlineStr">
        <is>
          <t>SEO title / H1 / bevezető (másodlagos)</t>
        </is>
      </c>
    </row>
    <row r="97">
      <c r="A97" s="7" t="inlineStr">
        <is>
          <t>Önöntöző cserép</t>
        </is>
      </c>
      <c r="B97" s="7" t="n">
        <v>3</v>
      </c>
      <c r="C97" s="7" t="inlineStr">
        <is>
          <t>cserép öntöző</t>
        </is>
      </c>
      <c r="D97" s="7" t="n"/>
      <c r="E97" s="8" t="n">
        <v>20</v>
      </c>
      <c r="F97" s="7" t="inlineStr">
        <is>
          <t>Laza</t>
        </is>
      </c>
      <c r="G97" s="7" t="inlineStr">
        <is>
          <t>Igen</t>
        </is>
      </c>
      <c r="H97" s="7" t="inlineStr">
        <is>
          <t>Víztartályos, önöntöző cserép – szobanövény, fűszer</t>
        </is>
      </c>
      <c r="I97" s="7" t="inlineStr">
        <is>
          <t>Kategórialeírás (természetes említés)</t>
        </is>
      </c>
    </row>
    <row r="98">
      <c r="A98" s="4" t="inlineStr">
        <is>
          <t>Cserépalátét</t>
        </is>
      </c>
      <c r="B98" s="4" t="n">
        <v>19</v>
      </c>
      <c r="C98" s="4" t="inlineStr">
        <is>
          <t>műanyag virágcserép alátét</t>
        </is>
      </c>
      <c r="D98" s="4" t="n"/>
      <c r="E98" s="5" t="n">
        <v>20</v>
      </c>
      <c r="F98" s="4" t="inlineStr">
        <is>
          <t>Szoros</t>
        </is>
      </c>
      <c r="G98" s="4" t="inlineStr">
        <is>
          <t>Igen</t>
        </is>
      </c>
      <c r="H98" s="4" t="inlineStr">
        <is>
          <t>Cserép alá – vízfelfogás, gurulós alátét</t>
        </is>
      </c>
      <c r="I98" s="4" t="inlineStr">
        <is>
          <t>Kategórialeírás (természetes említés)</t>
        </is>
      </c>
    </row>
    <row r="99">
      <c r="A99" s="4" t="inlineStr">
        <is>
          <t>Műanyag tálca, árapály asztal</t>
        </is>
      </c>
      <c r="B99" s="4" t="n">
        <v>18</v>
      </c>
      <c r="C99" s="4" t="inlineStr">
        <is>
          <t>növény tálca</t>
        </is>
      </c>
      <c r="D99" s="4" t="n"/>
      <c r="E99" s="5" t="n">
        <v>20</v>
      </c>
      <c r="F99" s="4" t="inlineStr">
        <is>
          <t>Szoros</t>
        </is>
      </c>
      <c r="G99" s="4" t="inlineStr">
        <is>
          <t>Igen</t>
        </is>
      </c>
      <c r="H99" s="4" t="inlineStr">
        <is>
          <t>Gyűjtőtálca termesztősátorba, árapály (ebb &amp; flow) rendszer</t>
        </is>
      </c>
      <c r="I99" s="4" t="inlineStr">
        <is>
          <t>Kategórialeírás (természetes említés)</t>
        </is>
      </c>
    </row>
    <row r="100">
      <c r="A100" s="4" t="inlineStr">
        <is>
          <t>Műanyag tálca, árapály asztal</t>
        </is>
      </c>
      <c r="B100" s="4" t="n">
        <v>19</v>
      </c>
      <c r="C100" s="4" t="inlineStr">
        <is>
          <t>vízgyűjtő tálca</t>
        </is>
      </c>
      <c r="D100" s="4" t="n"/>
      <c r="E100" s="5" t="n">
        <v>20</v>
      </c>
      <c r="F100" s="4" t="inlineStr">
        <is>
          <t>Szoros</t>
        </is>
      </c>
      <c r="G100" s="4" t="inlineStr">
        <is>
          <t>Igen</t>
        </is>
      </c>
      <c r="H100" s="4" t="inlineStr">
        <is>
          <t>Gyűjtőtálca termesztősátorba, árapály (ebb &amp; flow) rendszer</t>
        </is>
      </c>
      <c r="I100" s="4" t="inlineStr">
        <is>
          <t>Kategórialeírás (természetes említés)</t>
        </is>
      </c>
    </row>
    <row r="101">
      <c r="A101" s="7" t="inlineStr">
        <is>
          <t>Műanyag tálca, árapály asztal</t>
        </is>
      </c>
      <c r="B101" s="7" t="n">
        <v>20</v>
      </c>
      <c r="C101" s="7" t="inlineStr">
        <is>
          <t>csepegtető tálca műanyag</t>
        </is>
      </c>
      <c r="D101" s="7" t="n"/>
      <c r="E101" s="8" t="n">
        <v>20</v>
      </c>
      <c r="F101" s="7" t="inlineStr">
        <is>
          <t>Laza</t>
        </is>
      </c>
      <c r="G101" s="7" t="inlineStr">
        <is>
          <t>Igen</t>
        </is>
      </c>
      <c r="H101" s="7" t="inlineStr">
        <is>
          <t>Gyűjtőtálca termesztősátorba, árapály (ebb &amp; flow) rendszer</t>
        </is>
      </c>
      <c r="I101" s="7" t="inlineStr">
        <is>
          <t>Kategórialeírás (természetes említés)</t>
        </is>
      </c>
    </row>
    <row r="102">
      <c r="A102" s="4" t="inlineStr">
        <is>
          <t>Virágcserép</t>
        </is>
      </c>
      <c r="B102" s="4" t="n">
        <v>26</v>
      </c>
      <c r="C102" s="4" t="inlineStr">
        <is>
          <t>kerek virágcserép</t>
        </is>
      </c>
      <c r="D102" s="4" t="n"/>
      <c r="E102" s="5" t="n">
        <v>10</v>
      </c>
      <c r="F102" s="4" t="inlineStr">
        <is>
          <t>Szoros</t>
        </is>
      </c>
      <c r="G102" s="4" t="inlineStr">
        <is>
          <t>Igen</t>
        </is>
      </c>
      <c r="H102" s="4" t="inlineStr">
        <is>
          <t>Termesztő cserép – műanyag, kerek, literes méretek</t>
        </is>
      </c>
      <c r="I102" s="4" t="inlineStr">
        <is>
          <t>Kategórialeírás (természetes említés)</t>
        </is>
      </c>
    </row>
    <row r="103">
      <c r="A103" s="4" t="inlineStr">
        <is>
          <t>Virágcserép</t>
        </is>
      </c>
      <c r="B103" s="4" t="n">
        <v>27</v>
      </c>
      <c r="C103" s="4" t="inlineStr">
        <is>
          <t>virágcserép webáruház</t>
        </is>
      </c>
      <c r="D103" s="4" t="n"/>
      <c r="E103" s="5" t="n">
        <v>10</v>
      </c>
      <c r="F103" s="4" t="inlineStr">
        <is>
          <t>Szoros</t>
        </is>
      </c>
      <c r="G103" s="4" t="inlineStr">
        <is>
          <t>Igen</t>
        </is>
      </c>
      <c r="H103" s="4" t="inlineStr">
        <is>
          <t>Termesztő cserép – műanyag, kerek, literes méretek</t>
        </is>
      </c>
      <c r="I103" s="4" t="inlineStr">
        <is>
          <t>Kategórialeírás (természetes említés)</t>
        </is>
      </c>
    </row>
    <row r="104">
      <c r="A104" s="4" t="inlineStr">
        <is>
          <t>Virágcserép</t>
        </is>
      </c>
      <c r="B104" s="4" t="n">
        <v>28</v>
      </c>
      <c r="C104" s="4" t="inlineStr">
        <is>
          <t>konténer cserép</t>
        </is>
      </c>
      <c r="D104" s="4" t="n"/>
      <c r="E104" s="5" t="n">
        <v>10</v>
      </c>
      <c r="F104" s="4" t="inlineStr">
        <is>
          <t>Szoros</t>
        </is>
      </c>
      <c r="G104" s="4" t="inlineStr">
        <is>
          <t>Igen</t>
        </is>
      </c>
      <c r="H104" s="4" t="inlineStr">
        <is>
          <t>Termesztő cserép – műanyag, kerek, literes méretek</t>
        </is>
      </c>
      <c r="I104" s="4" t="inlineStr">
        <is>
          <t>Kategórialeírás (természetes említés)</t>
        </is>
      </c>
    </row>
    <row r="105">
      <c r="A105" s="4" t="inlineStr">
        <is>
          <t>Virágcserép</t>
        </is>
      </c>
      <c r="B105" s="4" t="n">
        <v>29</v>
      </c>
      <c r="C105" s="4" t="inlineStr">
        <is>
          <t>5 literes cserép</t>
        </is>
      </c>
      <c r="D105" s="4" t="n"/>
      <c r="E105" s="5" t="n">
        <v>10</v>
      </c>
      <c r="F105" s="4" t="inlineStr">
        <is>
          <t>Szoros</t>
        </is>
      </c>
      <c r="G105" s="4" t="inlineStr">
        <is>
          <t>Igen</t>
        </is>
      </c>
      <c r="H105" s="4" t="inlineStr">
        <is>
          <t>Termesztő cserép – műanyag, kerek, literes méretek</t>
        </is>
      </c>
      <c r="I105" s="4" t="inlineStr">
        <is>
          <t>Kategórialeírás (természetes említés)</t>
        </is>
      </c>
    </row>
    <row r="106">
      <c r="A106" s="4" t="inlineStr">
        <is>
          <t>Virágcserép</t>
        </is>
      </c>
      <c r="B106" s="4" t="n">
        <v>30</v>
      </c>
      <c r="C106" s="4" t="inlineStr">
        <is>
          <t>műanyag palántázó cserép</t>
        </is>
      </c>
      <c r="D106" s="4" t="n"/>
      <c r="E106" s="5" t="n">
        <v>10</v>
      </c>
      <c r="F106" s="4" t="inlineStr">
        <is>
          <t>Szoros</t>
        </is>
      </c>
      <c r="G106" s="4" t="inlineStr">
        <is>
          <t>Igen</t>
        </is>
      </c>
      <c r="H106" s="4" t="inlineStr">
        <is>
          <t>Termesztő cserép – műanyag, kerek, literes méretek</t>
        </is>
      </c>
      <c r="I106" s="4" t="inlineStr">
        <is>
          <t>Kategórialeírás (természetes említés)</t>
        </is>
      </c>
    </row>
    <row r="107">
      <c r="A107" s="4" t="inlineStr">
        <is>
          <t>Szögletes cserép</t>
        </is>
      </c>
      <c r="B107" s="4" t="n">
        <v>8</v>
      </c>
      <c r="C107" s="4" t="inlineStr">
        <is>
          <t>négyszögletes műanyag cserép</t>
        </is>
      </c>
      <c r="D107" s="4" t="n"/>
      <c r="E107" s="5" t="n">
        <v>10</v>
      </c>
      <c r="F107" s="4" t="inlineStr">
        <is>
          <t>Szoros</t>
        </is>
      </c>
      <c r="G107" s="4" t="inlineStr">
        <is>
          <t>Igen</t>
        </is>
      </c>
      <c r="H107" s="4" t="inlineStr">
        <is>
          <t>Helytakarékos termesztés sátorban / polcon</t>
        </is>
      </c>
      <c r="I107" s="4" t="inlineStr">
        <is>
          <t>Kategórialeírás (természetes említés)</t>
        </is>
      </c>
    </row>
    <row r="108">
      <c r="A108" s="4" t="inlineStr">
        <is>
          <t>Szögletes cserép</t>
        </is>
      </c>
      <c r="B108" s="4" t="n">
        <v>9</v>
      </c>
      <c r="C108" s="4" t="inlineStr">
        <is>
          <t>mély cserép</t>
        </is>
      </c>
      <c r="D108" s="4" t="n"/>
      <c r="E108" s="5" t="n">
        <v>10</v>
      </c>
      <c r="F108" s="4" t="inlineStr">
        <is>
          <t>Szoros</t>
        </is>
      </c>
      <c r="G108" s="4" t="inlineStr">
        <is>
          <t>Igen</t>
        </is>
      </c>
      <c r="H108" s="4" t="inlineStr">
        <is>
          <t>Helytakarékos termesztés sátorban / polcon</t>
        </is>
      </c>
      <c r="I108" s="4" t="inlineStr">
        <is>
          <t>Kategórialeírás (természetes említés)</t>
        </is>
      </c>
    </row>
    <row r="109">
      <c r="A109" s="4" t="inlineStr">
        <is>
          <t>Air-Pot cserép</t>
        </is>
      </c>
      <c r="B109" s="4" t="n">
        <v>3</v>
      </c>
      <c r="C109" s="4" t="inlineStr">
        <is>
          <t>air pot 50l</t>
        </is>
      </c>
      <c r="D109" s="4" t="n"/>
      <c r="E109" s="5" t="n">
        <v>10</v>
      </c>
      <c r="F109" s="4" t="inlineStr">
        <is>
          <t>Szoros</t>
        </is>
      </c>
      <c r="G109" s="4" t="inlineStr">
        <is>
          <t>Igen</t>
        </is>
      </c>
      <c r="H109" s="4" t="inlineStr">
        <is>
          <t>Gyökérlégzés, gyökérmetszés – termesztés konténerben</t>
        </is>
      </c>
      <c r="I109" s="4" t="inlineStr">
        <is>
          <t>Gyártóoldal / szűrő / termékoldal</t>
        </is>
      </c>
    </row>
    <row r="110">
      <c r="A110" s="4" t="inlineStr">
        <is>
          <t>Air-Pot cserép</t>
        </is>
      </c>
      <c r="B110" s="4" t="n">
        <v>4</v>
      </c>
      <c r="C110" s="4" t="inlineStr">
        <is>
          <t>air pot hydro</t>
        </is>
      </c>
      <c r="D110" s="4" t="n"/>
      <c r="E110" s="5" t="n">
        <v>10</v>
      </c>
      <c r="F110" s="4" t="inlineStr">
        <is>
          <t>Szoros</t>
        </is>
      </c>
      <c r="G110" s="4" t="inlineStr">
        <is>
          <t>Igen</t>
        </is>
      </c>
      <c r="H110" s="4" t="inlineStr">
        <is>
          <t>Gyökérlégzés, gyökérmetszés – termesztés konténerben</t>
        </is>
      </c>
      <c r="I110" s="4" t="inlineStr">
        <is>
          <t>Gyártóoldal / szűrő / termékoldal</t>
        </is>
      </c>
    </row>
    <row r="111">
      <c r="A111" s="4" t="inlineStr">
        <is>
          <t>Air-Pot cserép</t>
        </is>
      </c>
      <c r="B111" s="4" t="n">
        <v>5</v>
      </c>
      <c r="C111" s="4" t="inlineStr">
        <is>
          <t>air pot 9l</t>
        </is>
      </c>
      <c r="D111" s="4" t="n"/>
      <c r="E111" s="5" t="n">
        <v>10</v>
      </c>
      <c r="F111" s="4" t="inlineStr">
        <is>
          <t>Szoros</t>
        </is>
      </c>
      <c r="G111" s="4" t="inlineStr">
        <is>
          <t>Igen</t>
        </is>
      </c>
      <c r="H111" s="4" t="inlineStr">
        <is>
          <t>Gyökérlégzés, gyökérmetszés – termesztés konténerben</t>
        </is>
      </c>
      <c r="I111" s="4" t="inlineStr">
        <is>
          <t>Gyártóoldal / szűrő / termékoldal</t>
        </is>
      </c>
    </row>
    <row r="112">
      <c r="A112" s="4" t="inlineStr">
        <is>
          <t>Szövetcserép, ültetőzsák</t>
        </is>
      </c>
      <c r="B112" s="4" t="n">
        <v>11</v>
      </c>
      <c r="C112" s="4" t="inlineStr">
        <is>
          <t>szövetcserép</t>
        </is>
      </c>
      <c r="D112" s="4" t="n"/>
      <c r="E112" s="5" t="n">
        <v>10</v>
      </c>
      <c r="F112" s="4" t="inlineStr">
        <is>
          <t>Szoros</t>
        </is>
      </c>
      <c r="G112" s="4" t="inlineStr">
        <is>
          <t>Igen</t>
        </is>
      </c>
      <c r="H112" s="4" t="inlineStr">
        <is>
          <t>Szövet / textil / filc cserép, ültető- és termesztőzsák</t>
        </is>
      </c>
      <c r="I112" s="4" t="inlineStr">
        <is>
          <t>Kategórialeírás (természetes említés)</t>
        </is>
      </c>
    </row>
    <row r="113">
      <c r="A113" s="4" t="inlineStr">
        <is>
          <t>Szövetcserép, ültetőzsák</t>
        </is>
      </c>
      <c r="B113" s="4" t="n">
        <v>12</v>
      </c>
      <c r="C113" s="4" t="inlineStr">
        <is>
          <t>growbag</t>
        </is>
      </c>
      <c r="D113" s="4" t="n"/>
      <c r="E113" s="5" t="n">
        <v>10</v>
      </c>
      <c r="F113" s="4" t="inlineStr">
        <is>
          <t>Szoros</t>
        </is>
      </c>
      <c r="G113" s="4" t="inlineStr">
        <is>
          <t>Igen</t>
        </is>
      </c>
      <c r="H113" s="4" t="inlineStr">
        <is>
          <t>Szövet / textil / filc cserép, ültető- és termesztőzsák</t>
        </is>
      </c>
      <c r="I113" s="4" t="inlineStr">
        <is>
          <t>Kategórialeírás (természetes említés)</t>
        </is>
      </c>
    </row>
    <row r="114">
      <c r="A114" s="4" t="inlineStr">
        <is>
          <t>Szövetcserép, ültetőzsák</t>
        </is>
      </c>
      <c r="B114" s="4" t="n">
        <v>13</v>
      </c>
      <c r="C114" s="4" t="inlineStr">
        <is>
          <t>termesztőzsák</t>
        </is>
      </c>
      <c r="D114" s="4" t="n"/>
      <c r="E114" s="5" t="n">
        <v>10</v>
      </c>
      <c r="F114" s="4" t="inlineStr">
        <is>
          <t>Szoros</t>
        </is>
      </c>
      <c r="G114" s="4" t="inlineStr">
        <is>
          <t>Igen</t>
        </is>
      </c>
      <c r="H114" s="4" t="inlineStr">
        <is>
          <t>Szövet / textil / filc cserép, ültető- és termesztőzsák</t>
        </is>
      </c>
      <c r="I114" s="4" t="inlineStr">
        <is>
          <t>Kategórialeírás (természetes említés)</t>
        </is>
      </c>
    </row>
    <row r="115">
      <c r="A115" s="4" t="inlineStr">
        <is>
          <t>Szövetcserép, ültetőzsák</t>
        </is>
      </c>
      <c r="B115" s="4" t="n">
        <v>14</v>
      </c>
      <c r="C115" s="4" t="inlineStr">
        <is>
          <t>növénynevelő zsák</t>
        </is>
      </c>
      <c r="D115" s="4" t="n"/>
      <c r="E115" s="5" t="n">
        <v>10</v>
      </c>
      <c r="F115" s="4" t="inlineStr">
        <is>
          <t>Szoros</t>
        </is>
      </c>
      <c r="G115" s="4" t="inlineStr">
        <is>
          <t>Igen</t>
        </is>
      </c>
      <c r="H115" s="4" t="inlineStr">
        <is>
          <t>Szövet / textil / filc cserép, ültető- és termesztőzsák</t>
        </is>
      </c>
      <c r="I115" s="4" t="inlineStr">
        <is>
          <t>Kategórialeírás (természetes említés)</t>
        </is>
      </c>
    </row>
    <row r="116">
      <c r="A116" s="4" t="inlineStr">
        <is>
          <t>Szövetcserép, ültetőzsák</t>
        </is>
      </c>
      <c r="B116" s="4" t="n">
        <v>15</v>
      </c>
      <c r="C116" s="4" t="inlineStr">
        <is>
          <t>root pouch</t>
        </is>
      </c>
      <c r="D116" s="4" t="n"/>
      <c r="E116" s="5" t="n">
        <v>10</v>
      </c>
      <c r="F116" s="4" t="inlineStr">
        <is>
          <t>Szoros</t>
        </is>
      </c>
      <c r="G116" s="4" t="inlineStr">
        <is>
          <t>Igen</t>
        </is>
      </c>
      <c r="H116" s="4" t="inlineStr">
        <is>
          <t>Szövet / textil / filc cserép, ültető- és termesztőzsák</t>
        </is>
      </c>
      <c r="I116" s="4" t="inlineStr">
        <is>
          <t>Gyártóoldal / szűrő / termékoldal</t>
        </is>
      </c>
    </row>
    <row r="117">
      <c r="A117" s="4" t="inlineStr">
        <is>
          <t>Szövetcserép, ültetőzsák</t>
        </is>
      </c>
      <c r="B117" s="4" t="n">
        <v>16</v>
      </c>
      <c r="C117" s="4" t="inlineStr">
        <is>
          <t>smarpot</t>
        </is>
      </c>
      <c r="D117" s="4" t="n"/>
      <c r="E117" s="5" t="n">
        <v>10</v>
      </c>
      <c r="F117" s="4" t="inlineStr">
        <is>
          <t>Szoros</t>
        </is>
      </c>
      <c r="G117" s="4" t="inlineStr">
        <is>
          <t>Igen</t>
        </is>
      </c>
      <c r="H117" s="4" t="inlineStr">
        <is>
          <t>Szövet / textil / filc cserép, ültető- és termesztőzsák</t>
        </is>
      </c>
      <c r="I117" s="4" t="inlineStr">
        <is>
          <t>Kategórialeírás (természetes említés)</t>
        </is>
      </c>
    </row>
    <row r="118">
      <c r="A118" s="7" t="inlineStr">
        <is>
          <t>Önöntöző cserép</t>
        </is>
      </c>
      <c r="B118" s="7" t="n">
        <v>4</v>
      </c>
      <c r="C118" s="7" t="inlineStr">
        <is>
          <t>önlocsoló virágcserép</t>
        </is>
      </c>
      <c r="D118" s="7" t="n"/>
      <c r="E118" s="8" t="n">
        <v>10</v>
      </c>
      <c r="F118" s="7" t="inlineStr">
        <is>
          <t>Laza</t>
        </is>
      </c>
      <c r="G118" s="7" t="inlineStr">
        <is>
          <t>Igen</t>
        </is>
      </c>
      <c r="H118" s="7" t="inlineStr">
        <is>
          <t>Víztartályos, önöntöző cserép – szobanövény, fűszer</t>
        </is>
      </c>
      <c r="I118" s="7" t="inlineStr">
        <is>
          <t>Kategórialeírás (természetes említés)</t>
        </is>
      </c>
    </row>
    <row r="119">
      <c r="A119" s="7" t="inlineStr">
        <is>
          <t>Önöntöző cserép</t>
        </is>
      </c>
      <c r="B119" s="7" t="n">
        <v>5</v>
      </c>
      <c r="C119" s="7" t="inlineStr">
        <is>
          <t>önöntözős virágcserép</t>
        </is>
      </c>
      <c r="D119" s="7" t="n"/>
      <c r="E119" s="8" t="n">
        <v>10</v>
      </c>
      <c r="F119" s="7" t="inlineStr">
        <is>
          <t>Laza</t>
        </is>
      </c>
      <c r="G119" s="7" t="inlineStr">
        <is>
          <t>Igen</t>
        </is>
      </c>
      <c r="H119" s="7" t="inlineStr">
        <is>
          <t>Víztartályos, önöntöző cserép – szobanövény, fűszer</t>
        </is>
      </c>
      <c r="I119" s="7" t="inlineStr">
        <is>
          <t>Kategórialeírás (természetes említés)</t>
        </is>
      </c>
    </row>
    <row r="120">
      <c r="A120" s="7" t="inlineStr">
        <is>
          <t>Önöntöző cserép</t>
        </is>
      </c>
      <c r="B120" s="7" t="n">
        <v>6</v>
      </c>
      <c r="C120" s="7" t="inlineStr">
        <is>
          <t>intelligens virágcserép</t>
        </is>
      </c>
      <c r="D120" s="7" t="n"/>
      <c r="E120" s="8" t="n">
        <v>10</v>
      </c>
      <c r="F120" s="7" t="inlineStr">
        <is>
          <t>Laza</t>
        </is>
      </c>
      <c r="G120" s="7" t="inlineStr">
        <is>
          <t>Igen</t>
        </is>
      </c>
      <c r="H120" s="7" t="inlineStr">
        <is>
          <t>Víztartályos, önöntöző cserép – szobanövény, fűszer</t>
        </is>
      </c>
      <c r="I120" s="7" t="inlineStr">
        <is>
          <t>Kategórialeírás (természetes említés)</t>
        </is>
      </c>
    </row>
    <row r="121">
      <c r="A121" s="4" t="inlineStr">
        <is>
          <t>Cserépalátét</t>
        </is>
      </c>
      <c r="B121" s="4" t="n">
        <v>20</v>
      </c>
      <c r="C121" s="4" t="inlineStr">
        <is>
          <t>cserépalátét 70 cm</t>
        </is>
      </c>
      <c r="D121" s="4" t="n"/>
      <c r="E121" s="5" t="n">
        <v>10</v>
      </c>
      <c r="F121" s="4" t="inlineStr">
        <is>
          <t>Szoros</t>
        </is>
      </c>
      <c r="G121" s="4" t="inlineStr">
        <is>
          <t>Igen</t>
        </is>
      </c>
      <c r="H121" s="4" t="inlineStr">
        <is>
          <t>Cserép alá – vízfelfogás, gurulós alátét</t>
        </is>
      </c>
      <c r="I121" s="4" t="inlineStr">
        <is>
          <t>Kategórialeírás (természetes említés)</t>
        </is>
      </c>
    </row>
    <row r="122">
      <c r="A122" s="4" t="inlineStr">
        <is>
          <t>Cserépalátét</t>
        </is>
      </c>
      <c r="B122" s="4" t="n">
        <v>21</v>
      </c>
      <c r="C122" s="4" t="inlineStr">
        <is>
          <t>műanyag virágláda alátét</t>
        </is>
      </c>
      <c r="D122" s="4" t="n"/>
      <c r="E122" s="5" t="n">
        <v>10</v>
      </c>
      <c r="F122" s="4" t="inlineStr">
        <is>
          <t>Szoros</t>
        </is>
      </c>
      <c r="G122" s="4" t="inlineStr">
        <is>
          <t>Igen</t>
        </is>
      </c>
      <c r="H122" s="4" t="inlineStr">
        <is>
          <t>Cserép alá – vízfelfogás, gurulós alátét</t>
        </is>
      </c>
      <c r="I122" s="4" t="inlineStr">
        <is>
          <t>Kategórialeírás (természetes említés)</t>
        </is>
      </c>
    </row>
    <row r="123">
      <c r="A123" s="4" t="inlineStr">
        <is>
          <t>Cserépalátét</t>
        </is>
      </c>
      <c r="B123" s="4" t="n">
        <v>22</v>
      </c>
      <c r="C123" s="4" t="inlineStr">
        <is>
          <t>gurulós virágcserép alátét</t>
        </is>
      </c>
      <c r="D123" s="4" t="n"/>
      <c r="E123" s="5" t="n">
        <v>10</v>
      </c>
      <c r="F123" s="4" t="inlineStr">
        <is>
          <t>Szoros</t>
        </is>
      </c>
      <c r="G123" s="4" t="inlineStr">
        <is>
          <t>Igen</t>
        </is>
      </c>
      <c r="H123" s="4" t="inlineStr">
        <is>
          <t>Cserép alá – vízfelfogás, gurulós alátét</t>
        </is>
      </c>
      <c r="I123" s="4" t="inlineStr">
        <is>
          <t>Kategórialeírás (természetes említés)</t>
        </is>
      </c>
    </row>
    <row r="124">
      <c r="A124" s="4" t="inlineStr">
        <is>
          <t>Cserépalátét</t>
        </is>
      </c>
      <c r="B124" s="4" t="n">
        <v>23</v>
      </c>
      <c r="C124" s="4" t="inlineStr">
        <is>
          <t>virágcserép alátét méretek</t>
        </is>
      </c>
      <c r="D124" s="4" t="n"/>
      <c r="E124" s="5" t="n">
        <v>10</v>
      </c>
      <c r="F124" s="4" t="inlineStr">
        <is>
          <t>Szoros</t>
        </is>
      </c>
      <c r="G124" s="4" t="inlineStr">
        <is>
          <t>Igen</t>
        </is>
      </c>
      <c r="H124" s="4" t="inlineStr">
        <is>
          <t>Cserép alá – vízfelfogás, gurulós alátét</t>
        </is>
      </c>
      <c r="I124" s="4" t="inlineStr">
        <is>
          <t>Leírás alsó része, GYIK vagy blog</t>
        </is>
      </c>
    </row>
    <row r="125">
      <c r="A125" s="4" t="inlineStr">
        <is>
          <t>Műanyag tálca, árapály asztal</t>
        </is>
      </c>
      <c r="B125" s="4" t="n">
        <v>21</v>
      </c>
      <c r="C125" s="4" t="inlineStr">
        <is>
          <t>kerti tálca</t>
        </is>
      </c>
      <c r="D125" s="4" t="n"/>
      <c r="E125" s="5" t="n">
        <v>10</v>
      </c>
      <c r="F125" s="4" t="inlineStr">
        <is>
          <t>Szoros</t>
        </is>
      </c>
      <c r="G125" s="4" t="inlineStr">
        <is>
          <t>Igen</t>
        </is>
      </c>
      <c r="H125" s="4" t="inlineStr">
        <is>
          <t>Gyűjtőtálca termesztősátorba, árapály (ebb &amp; flow) rendszer</t>
        </is>
      </c>
      <c r="I125" s="4" t="inlineStr">
        <is>
          <t>Kategórialeírás (természetes említés)</t>
        </is>
      </c>
    </row>
  </sheetData>
  <autoFilter ref="A1:I1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Virágcserép  –  fő kulcsszó: „virágcserép”</t>
        </is>
      </c>
    </row>
    <row r="2">
      <c r="A2" s="2" t="inlineStr">
        <is>
          <t>Felhasználási terület: Termesztő cserép – műanyag, kerek, literes méretek</t>
        </is>
      </c>
    </row>
    <row r="3">
      <c r="A3" s="2" t="inlineStr">
        <is>
          <t>Megjegyzés: A literes keresések kicsik (20 literes 50, 10 literes 30, 50 literes 30, 30 literes 20, 15 literes 20) – a térfogat legyen szűrő, ne kategória. A „cserép” (2900) önmagában tetőcserép, a „műanyag vödör” (590) a Bővítés lapon van.</t>
        </is>
      </c>
    </row>
    <row r="4">
      <c r="A4" s="2" t="inlineStr">
        <is>
          <t>Felvett releváns kulcsszavak: 30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virágcserép</t>
        </is>
      </c>
      <c r="C7" s="5" t="n">
        <v>2400</v>
      </c>
      <c r="D7" s="4" t="inlineStr">
        <is>
          <t>Szoros</t>
        </is>
      </c>
      <c r="E7" s="4" t="inlineStr">
        <is>
          <t>Igen</t>
        </is>
      </c>
      <c r="F7" s="4" t="inlineStr">
        <is>
          <t>Termesztő cserép – műanyag, kerek, literes méretek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műanyag virágcserép</t>
        </is>
      </c>
      <c r="C8" s="5" t="n">
        <v>590</v>
      </c>
      <c r="D8" s="4" t="inlineStr">
        <is>
          <t>Szoros</t>
        </is>
      </c>
      <c r="E8" s="4" t="inlineStr">
        <is>
          <t>Igen</t>
        </is>
      </c>
      <c r="F8" s="4" t="inlineStr">
        <is>
          <t>Termesztő cserép – műanyag, kerek, literes méretek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műanyag virág cserép</t>
        </is>
      </c>
      <c r="C9" s="5" t="n">
        <v>590</v>
      </c>
      <c r="D9" s="4" t="inlineStr">
        <is>
          <t>Szoros</t>
        </is>
      </c>
      <c r="E9" s="4" t="inlineStr">
        <is>
          <t>Igen</t>
        </is>
      </c>
      <c r="F9" s="4" t="inlineStr">
        <is>
          <t>Termesztő cserép – műanyag, kerek, literes méretek</t>
        </is>
      </c>
      <c r="G9" s="4" t="inlineStr">
        <is>
          <t>Kategórialeírás (természetes említés)</t>
        </is>
      </c>
    </row>
    <row r="10">
      <c r="A10" s="4" t="n">
        <v>4</v>
      </c>
      <c r="B10" s="4" t="inlineStr">
        <is>
          <t>műanyag cserép</t>
        </is>
      </c>
      <c r="C10" s="5" t="n">
        <v>480</v>
      </c>
      <c r="D10" s="4" t="inlineStr">
        <is>
          <t>Szoros</t>
        </is>
      </c>
      <c r="E10" s="4" t="inlineStr">
        <is>
          <t>Igen</t>
        </is>
      </c>
      <c r="F10" s="4" t="inlineStr">
        <is>
          <t>Termesztő cserép – műanyag, kerek, literes méretek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műanyagcserép</t>
        </is>
      </c>
      <c r="C11" s="5" t="n">
        <v>480</v>
      </c>
      <c r="D11" s="4" t="inlineStr">
        <is>
          <t>Szoros</t>
        </is>
      </c>
      <c r="E11" s="4" t="inlineStr">
        <is>
          <t>Igen</t>
        </is>
      </c>
      <c r="F11" s="4" t="inlineStr">
        <is>
          <t>Termesztő cserép – műanyag, kerek, literes méretek</t>
        </is>
      </c>
      <c r="G11" s="4" t="inlineStr">
        <is>
          <t>Kategórialeírás (természetes említés)</t>
        </is>
      </c>
    </row>
    <row r="12">
      <c r="A12" s="12" t="n">
        <v>6</v>
      </c>
      <c r="B12" s="12" t="inlineStr">
        <is>
          <t>obi virágcserép</t>
        </is>
      </c>
      <c r="C12" s="21" t="n">
        <v>320</v>
      </c>
      <c r="D12" s="12" t="inlineStr">
        <is>
          <t>Nincs (áruházi / nem vásárlási szándék)</t>
        </is>
      </c>
      <c r="E12" s="12" t="inlineStr">
        <is>
          <t>Nem – kizárandó</t>
        </is>
      </c>
      <c r="F12" s="12" t="inlineStr">
        <is>
          <t>Termesztő cserép – műanyag, kerek, literes méretek</t>
        </is>
      </c>
      <c r="G12" s="12" t="inlineStr">
        <is>
          <t>Nem használni (áruházi/nem vásárlási szándék)</t>
        </is>
      </c>
    </row>
    <row r="13">
      <c r="A13" s="4" t="n">
        <v>7</v>
      </c>
      <c r="B13" s="4" t="inlineStr">
        <is>
          <t>virágcserép műanyag</t>
        </is>
      </c>
      <c r="C13" s="5" t="n">
        <v>260</v>
      </c>
      <c r="D13" s="4" t="inlineStr">
        <is>
          <t>Szoros</t>
        </is>
      </c>
      <c r="E13" s="4" t="inlineStr">
        <is>
          <t>Igen</t>
        </is>
      </c>
      <c r="F13" s="4" t="inlineStr">
        <is>
          <t>Termesztő cserép – műanyag, kerek, literes méretek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könnyű cserepek</t>
        </is>
      </c>
      <c r="C14" s="5" t="n">
        <v>140</v>
      </c>
      <c r="D14" s="4" t="inlineStr">
        <is>
          <t>Szoros</t>
        </is>
      </c>
      <c r="E14" s="4" t="inlineStr">
        <is>
          <t>Igen</t>
        </is>
      </c>
      <c r="F14" s="4" t="inlineStr">
        <is>
          <t>Termesztő cserép – műanyag, kerek, literes méretek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cserepek</t>
        </is>
      </c>
      <c r="C15" s="5" t="n">
        <v>140</v>
      </c>
      <c r="D15" s="4" t="inlineStr">
        <is>
          <t>Szoros</t>
        </is>
      </c>
      <c r="E15" s="4" t="inlineStr">
        <is>
          <t>Igen</t>
        </is>
      </c>
      <c r="F15" s="4" t="inlineStr">
        <is>
          <t>Termesztő cserép – műanyag, kerek, literes méretek</t>
        </is>
      </c>
      <c r="G15" s="4" t="inlineStr">
        <is>
          <t>Kategórialeírás (természetes említés)</t>
        </is>
      </c>
    </row>
    <row r="16">
      <c r="A16" s="12" t="n">
        <v>10</v>
      </c>
      <c r="B16" s="12" t="inlineStr">
        <is>
          <t>praktiker virágcserép</t>
        </is>
      </c>
      <c r="C16" s="21" t="n">
        <v>140</v>
      </c>
      <c r="D16" s="12" t="inlineStr">
        <is>
          <t>Nincs (áruházi / nem vásárlási szándék)</t>
        </is>
      </c>
      <c r="E16" s="12" t="inlineStr">
        <is>
          <t>Nem – kizárandó</t>
        </is>
      </c>
      <c r="F16" s="12" t="inlineStr">
        <is>
          <t>Termesztő cserép – műanyag, kerek, literes méretek</t>
        </is>
      </c>
      <c r="G16" s="12" t="inlineStr">
        <is>
          <t>Nem használni (áruházi/nem vásárlási szándék)</t>
        </is>
      </c>
    </row>
    <row r="17">
      <c r="A17" s="4" t="n">
        <v>11</v>
      </c>
      <c r="B17" s="4" t="inlineStr">
        <is>
          <t>olcsó műanyag virágcserép</t>
        </is>
      </c>
      <c r="C17" s="5" t="n">
        <v>110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Termesztő cserép – műanyag, kerek, literes méretek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virágcserepek</t>
        </is>
      </c>
      <c r="C18" s="5" t="n">
        <v>110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Termesztő cserép – műanyag, kerek, literes méretek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műanyag cserép nagykereskedés</t>
        </is>
      </c>
      <c r="C19" s="5" t="n">
        <v>110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Termesztő cserép – műanyag, kerek, literes méretek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virágcserép méretek</t>
        </is>
      </c>
      <c r="C20" s="5" t="n">
        <v>110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Termesztő cserép – műanyag, kerek, literes méretek</t>
        </is>
      </c>
      <c r="G20" s="4" t="inlineStr">
        <is>
          <t>Leírás alsó része, GYIK vagy blog</t>
        </is>
      </c>
    </row>
    <row r="21">
      <c r="A21" s="4" t="n">
        <v>15</v>
      </c>
      <c r="B21" s="4" t="inlineStr">
        <is>
          <t>műanyag virágcserép 40 cm</t>
        </is>
      </c>
      <c r="C21" s="5" t="n">
        <v>70</v>
      </c>
      <c r="D21" s="4" t="inlineStr">
        <is>
          <t>Szoros</t>
        </is>
      </c>
      <c r="E21" s="4" t="inlineStr">
        <is>
          <t>Igen</t>
        </is>
      </c>
      <c r="F21" s="4" t="inlineStr">
        <is>
          <t>Termesztő cserép – műanyag, kerek, literes méretek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olcsó virágcserép</t>
        </is>
      </c>
      <c r="C22" s="5" t="n">
        <v>50</v>
      </c>
      <c r="D22" s="4" t="inlineStr">
        <is>
          <t>Szoros</t>
        </is>
      </c>
      <c r="E22" s="4" t="inlineStr">
        <is>
          <t>Igen</t>
        </is>
      </c>
      <c r="F22" s="4" t="inlineStr">
        <is>
          <t>Termesztő cserép – műanyag, kerek, literes méretek</t>
        </is>
      </c>
      <c r="G22" s="4" t="inlineStr">
        <is>
          <t>Kategórialeírás (természetes említés)</t>
        </is>
      </c>
    </row>
    <row r="23">
      <c r="A23" s="4" t="n">
        <v>17</v>
      </c>
      <c r="B23" s="4" t="inlineStr">
        <is>
          <t>20 literes cserép</t>
        </is>
      </c>
      <c r="C23" s="5" t="n">
        <v>50</v>
      </c>
      <c r="D23" s="4" t="inlineStr">
        <is>
          <t>Szoros</t>
        </is>
      </c>
      <c r="E23" s="4" t="inlineStr">
        <is>
          <t>Igen</t>
        </is>
      </c>
      <c r="F23" s="4" t="inlineStr">
        <is>
          <t>Termesztő cserép – műanyag, kerek, literes méretek</t>
        </is>
      </c>
      <c r="G23" s="4" t="inlineStr">
        <is>
          <t>Kategórialeírás (természetes említés)</t>
        </is>
      </c>
    </row>
    <row r="24">
      <c r="A24" s="7" t="n">
        <v>18</v>
      </c>
      <c r="B24" s="7" t="inlineStr">
        <is>
          <t>kerti cserép</t>
        </is>
      </c>
      <c r="C24" s="8" t="n">
        <v>40</v>
      </c>
      <c r="D24" s="7" t="inlineStr">
        <is>
          <t>Laza</t>
        </is>
      </c>
      <c r="E24" s="7" t="inlineStr">
        <is>
          <t>Igen</t>
        </is>
      </c>
      <c r="F24" s="7" t="inlineStr">
        <is>
          <t>Termesztő cserép – műanyag, kerek, literes méretek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10 literes cserép</t>
        </is>
      </c>
      <c r="C25" s="5" t="n">
        <v>30</v>
      </c>
      <c r="D25" s="4" t="inlineStr">
        <is>
          <t>Szoros</t>
        </is>
      </c>
      <c r="E25" s="4" t="inlineStr">
        <is>
          <t>Igen</t>
        </is>
      </c>
      <c r="F25" s="4" t="inlineStr">
        <is>
          <t>Termesztő cserép – műanyag, kerek, literes méretek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50 literes cserép</t>
        </is>
      </c>
      <c r="C26" s="5" t="n">
        <v>30</v>
      </c>
      <c r="D26" s="4" t="inlineStr">
        <is>
          <t>Szoros</t>
        </is>
      </c>
      <c r="E26" s="4" t="inlineStr">
        <is>
          <t>Igen</t>
        </is>
      </c>
      <c r="F26" s="4" t="inlineStr">
        <is>
          <t>Termesztő cserép – műanyag, kerek, literes méretek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virágcserép 30 cm</t>
        </is>
      </c>
      <c r="C27" s="5" t="n">
        <v>30</v>
      </c>
      <c r="D27" s="4" t="inlineStr">
        <is>
          <t>Szoros</t>
        </is>
      </c>
      <c r="E27" s="4" t="inlineStr">
        <is>
          <t>Igen</t>
        </is>
      </c>
      <c r="F27" s="4" t="inlineStr">
        <is>
          <t>Termesztő cserép – műanyag, kerek, literes méretek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30 literes cserép</t>
        </is>
      </c>
      <c r="C28" s="5" t="n">
        <v>20</v>
      </c>
      <c r="D28" s="4" t="inlineStr">
        <is>
          <t>Szoros</t>
        </is>
      </c>
      <c r="E28" s="4" t="inlineStr">
        <is>
          <t>Igen</t>
        </is>
      </c>
      <c r="F28" s="4" t="inlineStr">
        <is>
          <t>Termesztő cserép – műanyag, kerek, literes méretek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15 literes cserép</t>
        </is>
      </c>
      <c r="C29" s="5" t="n">
        <v>20</v>
      </c>
      <c r="D29" s="4" t="inlineStr">
        <is>
          <t>Szoros</t>
        </is>
      </c>
      <c r="E29" s="4" t="inlineStr">
        <is>
          <t>Igen</t>
        </is>
      </c>
      <c r="F29" s="4" t="inlineStr">
        <is>
          <t>Termesztő cserép – műanyag, kerek, literes méretek</t>
        </is>
      </c>
      <c r="G29" s="4" t="inlineStr">
        <is>
          <t>Kategórialeírás (természetes említés)</t>
        </is>
      </c>
    </row>
    <row r="30">
      <c r="A30" s="4" t="n">
        <v>24</v>
      </c>
      <c r="B30" s="4" t="inlineStr">
        <is>
          <t>műanyag virágcserepek</t>
        </is>
      </c>
      <c r="C30" s="5" t="n">
        <v>20</v>
      </c>
      <c r="D30" s="4" t="inlineStr">
        <is>
          <t>Szoros</t>
        </is>
      </c>
      <c r="E30" s="4" t="inlineStr">
        <is>
          <t>Igen</t>
        </is>
      </c>
      <c r="F30" s="4" t="inlineStr">
        <is>
          <t>Termesztő cserép – műanyag, kerek, literes méretek</t>
        </is>
      </c>
      <c r="G30" s="4" t="inlineStr">
        <is>
          <t>Kategórialeírás (természetes említés)</t>
        </is>
      </c>
    </row>
    <row r="31">
      <c r="A31" s="4" t="n">
        <v>25</v>
      </c>
      <c r="B31" s="4" t="inlineStr">
        <is>
          <t>virágcserép olcsón</t>
        </is>
      </c>
      <c r="C31" s="5" t="n">
        <v>20</v>
      </c>
      <c r="D31" s="4" t="inlineStr">
        <is>
          <t>Szoros</t>
        </is>
      </c>
      <c r="E31" s="4" t="inlineStr">
        <is>
          <t>Igen</t>
        </is>
      </c>
      <c r="F31" s="4" t="inlineStr">
        <is>
          <t>Termesztő cserép – műanyag, kerek, literes méretek</t>
        </is>
      </c>
      <c r="G31" s="4" t="inlineStr">
        <is>
          <t>Kategórialeírás (természetes említés)</t>
        </is>
      </c>
    </row>
    <row r="32">
      <c r="A32" s="4" t="n">
        <v>26</v>
      </c>
      <c r="B32" s="4" t="inlineStr">
        <is>
          <t>kerek virágcserép</t>
        </is>
      </c>
      <c r="C32" s="5" t="n">
        <v>10</v>
      </c>
      <c r="D32" s="4" t="inlineStr">
        <is>
          <t>Szoros</t>
        </is>
      </c>
      <c r="E32" s="4" t="inlineStr">
        <is>
          <t>Igen</t>
        </is>
      </c>
      <c r="F32" s="4" t="inlineStr">
        <is>
          <t>Termesztő cserép – műanyag, kerek, literes méretek</t>
        </is>
      </c>
      <c r="G32" s="4" t="inlineStr">
        <is>
          <t>Kategórialeírás (természetes említés)</t>
        </is>
      </c>
    </row>
    <row r="33">
      <c r="A33" s="4" t="n">
        <v>27</v>
      </c>
      <c r="B33" s="4" t="inlineStr">
        <is>
          <t>virágcserép webáruház</t>
        </is>
      </c>
      <c r="C33" s="5" t="n">
        <v>10</v>
      </c>
      <c r="D33" s="4" t="inlineStr">
        <is>
          <t>Szoros</t>
        </is>
      </c>
      <c r="E33" s="4" t="inlineStr">
        <is>
          <t>Igen</t>
        </is>
      </c>
      <c r="F33" s="4" t="inlineStr">
        <is>
          <t>Termesztő cserép – műanyag, kerek, literes méretek</t>
        </is>
      </c>
      <c r="G33" s="4" t="inlineStr">
        <is>
          <t>Kategórialeírás (természetes említés)</t>
        </is>
      </c>
    </row>
    <row r="34">
      <c r="A34" s="4" t="n">
        <v>28</v>
      </c>
      <c r="B34" s="4" t="inlineStr">
        <is>
          <t>konténer cserép</t>
        </is>
      </c>
      <c r="C34" s="5" t="n">
        <v>10</v>
      </c>
      <c r="D34" s="4" t="inlineStr">
        <is>
          <t>Szoros</t>
        </is>
      </c>
      <c r="E34" s="4" t="inlineStr">
        <is>
          <t>Igen</t>
        </is>
      </c>
      <c r="F34" s="4" t="inlineStr">
        <is>
          <t>Termesztő cserép – műanyag, kerek, literes méretek</t>
        </is>
      </c>
      <c r="G34" s="4" t="inlineStr">
        <is>
          <t>Kategórialeírás (természetes említés)</t>
        </is>
      </c>
    </row>
    <row r="35">
      <c r="A35" s="4" t="n">
        <v>29</v>
      </c>
      <c r="B35" s="4" t="inlineStr">
        <is>
          <t>5 literes cserép</t>
        </is>
      </c>
      <c r="C35" s="5" t="n">
        <v>10</v>
      </c>
      <c r="D35" s="4" t="inlineStr">
        <is>
          <t>Szoros</t>
        </is>
      </c>
      <c r="E35" s="4" t="inlineStr">
        <is>
          <t>Igen</t>
        </is>
      </c>
      <c r="F35" s="4" t="inlineStr">
        <is>
          <t>Termesztő cserép – műanyag, kerek, literes méretek</t>
        </is>
      </c>
      <c r="G35" s="4" t="inlineStr">
        <is>
          <t>Kategórialeírás (természetes említés)</t>
        </is>
      </c>
    </row>
    <row r="36">
      <c r="A36" s="4" t="n">
        <v>30</v>
      </c>
      <c r="B36" s="4" t="inlineStr">
        <is>
          <t>műanyag palántázó cserép</t>
        </is>
      </c>
      <c r="C36" s="5" t="n">
        <v>10</v>
      </c>
      <c r="D36" s="4" t="inlineStr">
        <is>
          <t>Szoros</t>
        </is>
      </c>
      <c r="E36" s="4" t="inlineStr">
        <is>
          <t>Igen</t>
        </is>
      </c>
      <c r="F36" s="4" t="inlineStr">
        <is>
          <t>Termesztő cserép – műanyag, kerek, literes méretek</t>
        </is>
      </c>
      <c r="G36" s="4" t="inlineStr">
        <is>
          <t>Kategórialeírás (természetes említés)</t>
        </is>
      </c>
    </row>
    <row r="37">
      <c r="B37" s="10" t="inlineStr">
        <is>
          <t>Összesen (érdemes rá oldal = Igen):</t>
        </is>
      </c>
      <c r="C37" s="22">
        <f>SUMIFS(C7:C36,E7:E36,"Igen")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Nagy virágcserép  –  fő kulcsszó: „nagy virágcserép”</t>
        </is>
      </c>
    </row>
    <row r="2">
      <c r="A2" s="2" t="inlineStr">
        <is>
          <t>Felhasználási terület: Nagy térfogatú cserép – 20–100 literes termesztés, kültér</t>
        </is>
      </c>
    </row>
    <row r="3">
      <c r="A3" s="2" t="inlineStr">
        <is>
          <t>Megjegyzés: Erős klaszter (nagy virágcserép 480, nagyméretű műanyag virágcserép 320, virágcserép nagy 260). A „műanyag virágcserép 100 cm” (390) / „60 cm” (320) főleg dekor balkon- és teraszcserép.</t>
        </is>
      </c>
    </row>
    <row r="4">
      <c r="A4" s="2" t="inlineStr">
        <is>
          <t>Felvett releváns kulcsszavak: 14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nagy virágcserép</t>
        </is>
      </c>
      <c r="C7" s="5" t="n">
        <v>480</v>
      </c>
      <c r="D7" s="4" t="inlineStr">
        <is>
          <t>Szoros</t>
        </is>
      </c>
      <c r="E7" s="4" t="inlineStr">
        <is>
          <t>Igen</t>
        </is>
      </c>
      <c r="F7" s="4" t="inlineStr">
        <is>
          <t>Nagy térfogatú cserép – 20–100 literes termesztés, kültér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műanyag virágcserép 100 cm</t>
        </is>
      </c>
      <c r="C8" s="20" t="n">
        <v>390</v>
      </c>
      <c r="D8" s="11" t="inlineStr">
        <is>
          <t>Laza</t>
        </is>
      </c>
      <c r="E8" s="11" t="inlineStr">
        <is>
          <t>Nem</t>
        </is>
      </c>
      <c r="F8" s="11" t="inlineStr">
        <is>
          <t>Nagy térfogatú cserép – 20–100 literes termesztés, kültér</t>
        </is>
      </c>
      <c r="G8" s="11" t="inlineStr">
        <is>
          <t>Nem célozni külön oldallal (max. említés)</t>
        </is>
      </c>
    </row>
    <row r="9">
      <c r="A9" s="4" t="n">
        <v>3</v>
      </c>
      <c r="B9" s="4" t="inlineStr">
        <is>
          <t>nagyméretű műanyag virágcserép</t>
        </is>
      </c>
      <c r="C9" s="5" t="n">
        <v>320</v>
      </c>
      <c r="D9" s="4" t="inlineStr">
        <is>
          <t>Szoros</t>
        </is>
      </c>
      <c r="E9" s="4" t="inlineStr">
        <is>
          <t>Igen</t>
        </is>
      </c>
      <c r="F9" s="4" t="inlineStr">
        <is>
          <t>Nagy térfogatú cserép – 20–100 literes termesztés, kültér</t>
        </is>
      </c>
      <c r="G9" s="4" t="inlineStr">
        <is>
          <t>SEO title / H1 / bevezető (másodlagos)</t>
        </is>
      </c>
    </row>
    <row r="10">
      <c r="A10" s="11" t="n">
        <v>4</v>
      </c>
      <c r="B10" s="11" t="inlineStr">
        <is>
          <t>műanyag virágcserép 60 cm</t>
        </is>
      </c>
      <c r="C10" s="20" t="n">
        <v>320</v>
      </c>
      <c r="D10" s="11" t="inlineStr">
        <is>
          <t>Laza</t>
        </is>
      </c>
      <c r="E10" s="11" t="inlineStr">
        <is>
          <t>Nem</t>
        </is>
      </c>
      <c r="F10" s="11" t="inlineStr">
        <is>
          <t>Nagy térfogatú cserép – 20–100 literes termesztés, kültér</t>
        </is>
      </c>
      <c r="G10" s="11" t="inlineStr">
        <is>
          <t>Nem célozni külön oldallal (max. említés)</t>
        </is>
      </c>
    </row>
    <row r="11">
      <c r="A11" s="4" t="n">
        <v>5</v>
      </c>
      <c r="B11" s="4" t="inlineStr">
        <is>
          <t>virágcserép nagy</t>
        </is>
      </c>
      <c r="C11" s="5" t="n">
        <v>260</v>
      </c>
      <c r="D11" s="4" t="inlineStr">
        <is>
          <t>Szoros</t>
        </is>
      </c>
      <c r="E11" s="4" t="inlineStr">
        <is>
          <t>Igen</t>
        </is>
      </c>
      <c r="F11" s="4" t="inlineStr">
        <is>
          <t>Nagy térfogatú cserép – 20–100 literes termesztés, kültér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nagy cserép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Nagy térfogatú cserép – 20–100 literes termesztés, kültér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nagy méretű virágcserép</t>
        </is>
      </c>
      <c r="C13" s="5" t="n">
        <v>90</v>
      </c>
      <c r="D13" s="4" t="inlineStr">
        <is>
          <t>Szoros</t>
        </is>
      </c>
      <c r="E13" s="4" t="inlineStr">
        <is>
          <t>Igen</t>
        </is>
      </c>
      <c r="F13" s="4" t="inlineStr">
        <is>
          <t>Nagy térfogatú cserép – 20–100 literes termesztés, kültér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nagyméretű cserép</t>
        </is>
      </c>
      <c r="C14" s="5" t="n">
        <v>70</v>
      </c>
      <c r="D14" s="4" t="inlineStr">
        <is>
          <t>Szoros</t>
        </is>
      </c>
      <c r="E14" s="4" t="inlineStr">
        <is>
          <t>Igen</t>
        </is>
      </c>
      <c r="F14" s="4" t="inlineStr">
        <is>
          <t>Nagy térfogatú cserép – 20–100 literes termesztés, kültér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nagy virágcserép olcsón</t>
        </is>
      </c>
      <c r="C15" s="5" t="n">
        <v>70</v>
      </c>
      <c r="D15" s="4" t="inlineStr">
        <is>
          <t>Szoros</t>
        </is>
      </c>
      <c r="E15" s="4" t="inlineStr">
        <is>
          <t>Igen</t>
        </is>
      </c>
      <c r="F15" s="4" t="inlineStr">
        <is>
          <t>Nagy térfogatú cserép – 20–100 literes termesztés, kültér</t>
        </is>
      </c>
      <c r="G15" s="4" t="inlineStr">
        <is>
          <t>Kategórialeírás (természetes említés)</t>
        </is>
      </c>
    </row>
    <row r="16">
      <c r="A16" s="4" t="n">
        <v>10</v>
      </c>
      <c r="B16" s="4" t="inlineStr">
        <is>
          <t>nagy műanyag cserép</t>
        </is>
      </c>
      <c r="C16" s="5" t="n">
        <v>50</v>
      </c>
      <c r="D16" s="4" t="inlineStr">
        <is>
          <t>Szoros</t>
        </is>
      </c>
      <c r="E16" s="4" t="inlineStr">
        <is>
          <t>Igen</t>
        </is>
      </c>
      <c r="F16" s="4" t="inlineStr">
        <is>
          <t>Nagy térfogatú cserép – 20–100 literes termesztés, kültér</t>
        </is>
      </c>
      <c r="G16" s="4" t="inlineStr">
        <is>
          <t>Kategórialeírás (természetes említés)</t>
        </is>
      </c>
    </row>
    <row r="17">
      <c r="A17" s="4" t="n">
        <v>11</v>
      </c>
      <c r="B17" s="4" t="inlineStr">
        <is>
          <t>nagy műanyag virágcserép</t>
        </is>
      </c>
      <c r="C17" s="5" t="n">
        <v>40</v>
      </c>
      <c r="D17" s="4" t="inlineStr">
        <is>
          <t>Szoros</t>
        </is>
      </c>
      <c r="E17" s="4" t="inlineStr">
        <is>
          <t>Igen</t>
        </is>
      </c>
      <c r="F17" s="4" t="inlineStr">
        <is>
          <t>Nagy térfogatú cserép – 20–100 literes termesztés, kültér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nagyméretű műanyag cserép</t>
        </is>
      </c>
      <c r="C18" s="5" t="n">
        <v>40</v>
      </c>
      <c r="D18" s="4" t="inlineStr">
        <is>
          <t>Szoros</t>
        </is>
      </c>
      <c r="E18" s="4" t="inlineStr">
        <is>
          <t>Igen</t>
        </is>
      </c>
      <c r="F18" s="4" t="inlineStr">
        <is>
          <t>Nagy térfogatú cserép – 20–100 literes termesztés, kültér</t>
        </is>
      </c>
      <c r="G18" s="4" t="inlineStr">
        <is>
          <t>Kategórialeírás (természetes említés)</t>
        </is>
      </c>
    </row>
    <row r="19">
      <c r="A19" s="7" t="n">
        <v>13</v>
      </c>
      <c r="B19" s="7" t="inlineStr">
        <is>
          <t>xxl cserép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Nagy térfogatú cserép – 20–100 literes termesztés, kültér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50 literes virágcserép</t>
        </is>
      </c>
      <c r="C20" s="5" t="n">
        <v>20</v>
      </c>
      <c r="D20" s="4" t="inlineStr">
        <is>
          <t>Szoros</t>
        </is>
      </c>
      <c r="E20" s="4" t="inlineStr">
        <is>
          <t>Igen</t>
        </is>
      </c>
      <c r="F20" s="4" t="inlineStr">
        <is>
          <t>Nagy térfogatú cserép – 20–100 literes termesztés, kültér</t>
        </is>
      </c>
      <c r="G20" s="4" t="inlineStr">
        <is>
          <t>Kategórialeírás (természetes említés)</t>
        </is>
      </c>
    </row>
    <row r="21">
      <c r="B21" s="10" t="inlineStr">
        <is>
          <t>Összesen (érdemes rá oldal = Igen):</t>
        </is>
      </c>
      <c r="C21" s="22">
        <f>SUMIFS(C7:C20,E7:E20,"Igen")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Szögletes cserép  –  fő kulcsszó: „szögletes virágcserép”</t>
        </is>
      </c>
    </row>
    <row r="2">
      <c r="A2" s="2" t="inlineStr">
        <is>
          <t>Felhasználási terület: Helytakarékos termesztés sátorban / polcon</t>
        </is>
      </c>
    </row>
    <row r="3">
      <c r="A3" s="2" t="inlineStr">
        <is>
          <t>Megjegyzés: A „négyzetes cserép” kifejezésre nincs mérhető keresés – a „szögletes” a vásárlói szó.</t>
        </is>
      </c>
    </row>
    <row r="4">
      <c r="A4" s="2" t="inlineStr">
        <is>
          <t>Felvett releváns kulcsszavak: 9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szögletes virágcserép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Helytakarékos termesztés sátorban / polcon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magas cserép</t>
        </is>
      </c>
      <c r="C8" s="5" t="n">
        <v>70</v>
      </c>
      <c r="D8" s="4" t="inlineStr">
        <is>
          <t>Szoros</t>
        </is>
      </c>
      <c r="E8" s="4" t="inlineStr">
        <is>
          <t>Igen</t>
        </is>
      </c>
      <c r="F8" s="4" t="inlineStr">
        <is>
          <t>Helytakarékos termesztés sátorban / polcon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szögletes cserép</t>
        </is>
      </c>
      <c r="C9" s="5" t="n">
        <v>40</v>
      </c>
      <c r="D9" s="4" t="inlineStr">
        <is>
          <t>Szoros</t>
        </is>
      </c>
      <c r="E9" s="4" t="inlineStr">
        <is>
          <t>Igen</t>
        </is>
      </c>
      <c r="F9" s="4" t="inlineStr">
        <is>
          <t>Helytakarékos termesztés sátorban / polcon</t>
        </is>
      </c>
      <c r="G9" s="4" t="inlineStr">
        <is>
          <t>SEO title / H1 / bevezető (másodlagos)</t>
        </is>
      </c>
    </row>
    <row r="10">
      <c r="A10" s="4" t="n">
        <v>4</v>
      </c>
      <c r="B10" s="4" t="inlineStr">
        <is>
          <t>szögletes műanyag cserép</t>
        </is>
      </c>
      <c r="C10" s="5" t="n">
        <v>30</v>
      </c>
      <c r="D10" s="4" t="inlineStr">
        <is>
          <t>Szoros</t>
        </is>
      </c>
      <c r="E10" s="4" t="inlineStr">
        <is>
          <t>Igen</t>
        </is>
      </c>
      <c r="F10" s="4" t="inlineStr">
        <is>
          <t>Helytakarékos termesztés sátorban / polcon</t>
        </is>
      </c>
      <c r="G10" s="4" t="inlineStr">
        <is>
          <t>SEO title / H1 / bevezető (másodlagos)</t>
        </is>
      </c>
    </row>
    <row r="11">
      <c r="A11" s="4" t="n">
        <v>5</v>
      </c>
      <c r="B11" s="4" t="inlineStr">
        <is>
          <t>magas műanyag virágcserép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Helytakarékos termesztés sátorban / polcon</t>
        </is>
      </c>
      <c r="G11" s="4" t="inlineStr">
        <is>
          <t>Kategórialeírás (természetes említés)</t>
        </is>
      </c>
    </row>
    <row r="12">
      <c r="A12" s="4" t="n">
        <v>6</v>
      </c>
      <c r="B12" s="4" t="inlineStr">
        <is>
          <t>négyszögletes virágcserép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Helytakarékos termesztés sátorban / polcon</t>
        </is>
      </c>
      <c r="G12" s="4" t="inlineStr">
        <is>
          <t>Kategórialeírás (természetes említés)</t>
        </is>
      </c>
    </row>
    <row r="13">
      <c r="A13" s="4" t="n">
        <v>7</v>
      </c>
      <c r="B13" s="4" t="inlineStr">
        <is>
          <t>négyzet alakú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Helytakarékos termesztés sátorban / polcon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négyszögletes műanyag cserép</t>
        </is>
      </c>
      <c r="C14" s="5" t="n">
        <v>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Helytakarékos termesztés sátorban / polcon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mély cserép</t>
        </is>
      </c>
      <c r="C15" s="5" t="n">
        <v>10</v>
      </c>
      <c r="D15" s="4" t="inlineStr">
        <is>
          <t>Szoros</t>
        </is>
      </c>
      <c r="E15" s="4" t="inlineStr">
        <is>
          <t>Igen</t>
        </is>
      </c>
      <c r="F15" s="4" t="inlineStr">
        <is>
          <t>Helytakarékos termesztés sátorban / polcon</t>
        </is>
      </c>
      <c r="G15" s="4" t="inlineStr">
        <is>
          <t>Kategórialeírás (természetes említés)</t>
        </is>
      </c>
    </row>
    <row r="16">
      <c r="B16" s="10" t="inlineStr">
        <is>
          <t>Összesen (érdemes rá oldal = Igen):</t>
        </is>
      </c>
      <c r="C16" s="22">
        <f>SUMIFS(C7:C15,E7:E15,"Igen")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Air-Pot cserép  –  fő kulcsszó: „airpot”</t>
        </is>
      </c>
    </row>
    <row r="2">
      <c r="A2" s="2" t="inlineStr">
        <is>
          <t>Felhasználási terület: Gyökérlégzés, gyökérmetszés – termesztés konténerben</t>
        </is>
      </c>
    </row>
    <row r="3">
      <c r="A3" s="2" t="inlineStr">
        <is>
          <t>Megjegyzés: A „légmetsző / légmetszéses / gyökérlégző cserép” kifejezésekre nincs mérhető keresés – a vásárlók a márkanevet keresik.</t>
        </is>
      </c>
    </row>
    <row r="4">
      <c r="A4" s="2" t="inlineStr">
        <is>
          <t>Felvett releváns kulcsszavak: 5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airpot</t>
        </is>
      </c>
      <c r="C7" s="5" t="n">
        <v>140</v>
      </c>
      <c r="D7" s="4" t="inlineStr">
        <is>
          <t>Szoros</t>
        </is>
      </c>
      <c r="E7" s="4" t="inlineStr">
        <is>
          <t>Igen</t>
        </is>
      </c>
      <c r="F7" s="4" t="inlineStr">
        <is>
          <t>Gyökérlégzés, gyökérmetszés – termesztés konténerben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air pot</t>
        </is>
      </c>
      <c r="C8" s="5" t="n">
        <v>90</v>
      </c>
      <c r="D8" s="4" t="inlineStr">
        <is>
          <t>Szoros</t>
        </is>
      </c>
      <c r="E8" s="4" t="inlineStr">
        <is>
          <t>Igen</t>
        </is>
      </c>
      <c r="F8" s="4" t="inlineStr">
        <is>
          <t>Gyökérlégzés, gyökérmetszés – termesztés konténerben</t>
        </is>
      </c>
      <c r="G8" s="4" t="inlineStr">
        <is>
          <t>SEO title / H1 / bevezető (másodlagos)</t>
        </is>
      </c>
    </row>
    <row r="9">
      <c r="A9" s="4" t="n">
        <v>3</v>
      </c>
      <c r="B9" s="4" t="inlineStr">
        <is>
          <t>air pot 50l</t>
        </is>
      </c>
      <c r="C9" s="5" t="n">
        <v>10</v>
      </c>
      <c r="D9" s="4" t="inlineStr">
        <is>
          <t>Szoros</t>
        </is>
      </c>
      <c r="E9" s="4" t="inlineStr">
        <is>
          <t>Igen</t>
        </is>
      </c>
      <c r="F9" s="4" t="inlineStr">
        <is>
          <t>Gyökérlégzés, gyökérmetszés – termesztés konténerben</t>
        </is>
      </c>
      <c r="G9" s="4" t="inlineStr">
        <is>
          <t>Gyártóoldal / szűrő / termékoldal</t>
        </is>
      </c>
    </row>
    <row r="10">
      <c r="A10" s="4" t="n">
        <v>4</v>
      </c>
      <c r="B10" s="4" t="inlineStr">
        <is>
          <t>air pot hydro</t>
        </is>
      </c>
      <c r="C10" s="5" t="n">
        <v>10</v>
      </c>
      <c r="D10" s="4" t="inlineStr">
        <is>
          <t>Szoros</t>
        </is>
      </c>
      <c r="E10" s="4" t="inlineStr">
        <is>
          <t>Igen</t>
        </is>
      </c>
      <c r="F10" s="4" t="inlineStr">
        <is>
          <t>Gyökérlégzés, gyökérmetszés – termesztés konténerben</t>
        </is>
      </c>
      <c r="G10" s="4" t="inlineStr">
        <is>
          <t>Gyártóoldal / szűrő / termékoldal</t>
        </is>
      </c>
    </row>
    <row r="11">
      <c r="A11" s="4" t="n">
        <v>5</v>
      </c>
      <c r="B11" s="4" t="inlineStr">
        <is>
          <t>air pot 9l</t>
        </is>
      </c>
      <c r="C11" s="5" t="n">
        <v>10</v>
      </c>
      <c r="D11" s="4" t="inlineStr">
        <is>
          <t>Szoros</t>
        </is>
      </c>
      <c r="E11" s="4" t="inlineStr">
        <is>
          <t>Igen</t>
        </is>
      </c>
      <c r="F11" s="4" t="inlineStr">
        <is>
          <t>Gyökérlégzés, gyökérmetszés – termesztés konténerben</t>
        </is>
      </c>
      <c r="G11" s="4" t="inlineStr">
        <is>
          <t>Gyártóoldal / szűrő / termékoldal</t>
        </is>
      </c>
    </row>
    <row r="12">
      <c r="B12" s="10" t="inlineStr">
        <is>
          <t>Összesen (érdemes rá oldal = Igen):</t>
        </is>
      </c>
      <c r="C12" s="22">
        <f>SUMIFS(C7:C11,E7:E11,"Igen")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Szövetcserép, ültetőzsák  –  fő kulcsszó: „ültetőzsák”</t>
        </is>
      </c>
    </row>
    <row r="2">
      <c r="A2" s="2" t="inlineStr">
        <is>
          <t>Felhasználási terület: Szövet / textil / filc cserép, ültető- és termesztőzsák</t>
        </is>
      </c>
    </row>
    <row r="3">
      <c r="A3" s="2" t="inlineStr">
        <is>
          <t>Megjegyzés: A „szövetcserép” egybeírva csak 10; a „szövet cserép”, „textil cserép”, „textil virágcserép”, „smart pot”, „grow bag” egyenként 20. A legerősebb az „ültetőzsák” (90 + ékezet nélkül 50), de ennek egy része burgonyás zsák.</t>
        </is>
      </c>
    </row>
    <row r="4">
      <c r="A4" s="2" t="inlineStr">
        <is>
          <t>Felvett releváns kulcsszavak: 16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ültetőzsák</t>
        </is>
      </c>
      <c r="C7" s="5" t="n">
        <v>90</v>
      </c>
      <c r="D7" s="4" t="inlineStr">
        <is>
          <t>Szoros</t>
        </is>
      </c>
      <c r="E7" s="4" t="inlineStr">
        <is>
          <t>Igen</t>
        </is>
      </c>
      <c r="F7" s="4" t="inlineStr">
        <is>
          <t>Szövet / textil / filc cserép, ültető- és termesztőzsák</t>
        </is>
      </c>
      <c r="G7" s="4" t="inlineStr">
        <is>
          <t>Kategórianév + H1 + SEO title (fő kulcsszó)</t>
        </is>
      </c>
    </row>
    <row r="8">
      <c r="A8" s="4" t="n">
        <v>2</v>
      </c>
      <c r="B8" s="4" t="inlineStr">
        <is>
          <t>ultetozsak</t>
        </is>
      </c>
      <c r="C8" s="5" t="n">
        <v>50</v>
      </c>
      <c r="D8" s="4" t="inlineStr">
        <is>
          <t>Szoros</t>
        </is>
      </c>
      <c r="E8" s="4" t="inlineStr">
        <is>
          <t>Igen</t>
        </is>
      </c>
      <c r="F8" s="4" t="inlineStr">
        <is>
          <t>Szövet / textil / filc cserép, ültető- és termesztőzsák</t>
        </is>
      </c>
      <c r="G8" s="4" t="inlineStr">
        <is>
          <t>Kategórialeírás (természetes említés)</t>
        </is>
      </c>
    </row>
    <row r="9">
      <c r="A9" s="7" t="n">
        <v>3</v>
      </c>
      <c r="B9" s="7" t="inlineStr">
        <is>
          <t>burgonya ültető zsák</t>
        </is>
      </c>
      <c r="C9" s="8" t="n">
        <v>40</v>
      </c>
      <c r="D9" s="7" t="inlineStr">
        <is>
          <t>Laza</t>
        </is>
      </c>
      <c r="E9" s="7" t="inlineStr">
        <is>
          <t>Igen</t>
        </is>
      </c>
      <c r="F9" s="7" t="inlineStr">
        <is>
          <t>Szövet / textil / filc cserép, ültető- és termesztőzsák</t>
        </is>
      </c>
      <c r="G9" s="7" t="inlineStr">
        <is>
          <t>Kategórialeírás (természetes említés)</t>
        </is>
      </c>
    </row>
    <row r="10">
      <c r="A10" s="7" t="n">
        <v>4</v>
      </c>
      <c r="B10" s="7" t="inlineStr">
        <is>
          <t>krumpli ültető zsák</t>
        </is>
      </c>
      <c r="C10" s="8" t="n">
        <v>40</v>
      </c>
      <c r="D10" s="7" t="inlineStr">
        <is>
          <t>Laza</t>
        </is>
      </c>
      <c r="E10" s="7" t="inlineStr">
        <is>
          <t>Igen</t>
        </is>
      </c>
      <c r="F10" s="7" t="inlineStr">
        <is>
          <t>Szövet / textil / filc cserép, ültető- és termesztőzsák</t>
        </is>
      </c>
      <c r="G10" s="7" t="inlineStr">
        <is>
          <t>Kategórialeírás (természetes említés)</t>
        </is>
      </c>
    </row>
    <row r="11">
      <c r="A11" s="4" t="n">
        <v>5</v>
      </c>
      <c r="B11" s="4" t="inlineStr">
        <is>
          <t>szövet cserép</t>
        </is>
      </c>
      <c r="C11" s="5" t="n">
        <v>20</v>
      </c>
      <c r="D11" s="4" t="inlineStr">
        <is>
          <t>Szoros</t>
        </is>
      </c>
      <c r="E11" s="4" t="inlineStr">
        <is>
          <t>Igen</t>
        </is>
      </c>
      <c r="F11" s="4" t="inlineStr">
        <is>
          <t>Szövet / textil / filc cserép, ültető- és termesztőzsák</t>
        </is>
      </c>
      <c r="G11" s="4" t="inlineStr">
        <is>
          <t>SEO title / H1 / bevezető (másodlagos)</t>
        </is>
      </c>
    </row>
    <row r="12">
      <c r="A12" s="4" t="n">
        <v>6</v>
      </c>
      <c r="B12" s="4" t="inlineStr">
        <is>
          <t>textil cserép</t>
        </is>
      </c>
      <c r="C12" s="5" t="n">
        <v>20</v>
      </c>
      <c r="D12" s="4" t="inlineStr">
        <is>
          <t>Szoros</t>
        </is>
      </c>
      <c r="E12" s="4" t="inlineStr">
        <is>
          <t>Igen</t>
        </is>
      </c>
      <c r="F12" s="4" t="inlineStr">
        <is>
          <t>Szövet / textil / filc cserép, ültető- és termesztőzsák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textil virágcserép</t>
        </is>
      </c>
      <c r="C13" s="5" t="n">
        <v>20</v>
      </c>
      <c r="D13" s="4" t="inlineStr">
        <is>
          <t>Szoros</t>
        </is>
      </c>
      <c r="E13" s="4" t="inlineStr">
        <is>
          <t>Igen</t>
        </is>
      </c>
      <c r="F13" s="4" t="inlineStr">
        <is>
          <t>Szövet / textil / filc cserép, ültető- és termesztőzsák</t>
        </is>
      </c>
      <c r="G13" s="4" t="inlineStr">
        <is>
          <t>SEO title / H1 / bevezető (másodlagos)</t>
        </is>
      </c>
    </row>
    <row r="14">
      <c r="A14" s="4" t="n">
        <v>8</v>
      </c>
      <c r="B14" s="4" t="inlineStr">
        <is>
          <t>smart pot</t>
        </is>
      </c>
      <c r="C14" s="5" t="n">
        <v>20</v>
      </c>
      <c r="D14" s="4" t="inlineStr">
        <is>
          <t>Szoros</t>
        </is>
      </c>
      <c r="E14" s="4" t="inlineStr">
        <is>
          <t>Igen</t>
        </is>
      </c>
      <c r="F14" s="4" t="inlineStr">
        <is>
          <t>Szövet / textil / filc cserép, ültető- és termesztőzsák</t>
        </is>
      </c>
      <c r="G14" s="4" t="inlineStr">
        <is>
          <t>Kategórialeírás (természetes említés)</t>
        </is>
      </c>
    </row>
    <row r="15">
      <c r="A15" s="4" t="n">
        <v>9</v>
      </c>
      <c r="B15" s="4" t="inlineStr">
        <is>
          <t>grow bag</t>
        </is>
      </c>
      <c r="C15" s="5" t="n">
        <v>20</v>
      </c>
      <c r="D15" s="4" t="inlineStr">
        <is>
          <t>Szoros</t>
        </is>
      </c>
      <c r="E15" s="4" t="inlineStr">
        <is>
          <t>Igen</t>
        </is>
      </c>
      <c r="F15" s="4" t="inlineStr">
        <is>
          <t>Szövet / textil / filc cserép, ültető- és termesztőzsák</t>
        </is>
      </c>
      <c r="G15" s="4" t="inlineStr">
        <is>
          <t>Kategórialeírás (természetes említés)</t>
        </is>
      </c>
    </row>
    <row r="16">
      <c r="A16" s="7" t="n">
        <v>10</v>
      </c>
      <c r="B16" s="7" t="inlineStr">
        <is>
          <t>krumpli termesztő zsák</t>
        </is>
      </c>
      <c r="C16" s="8" t="n">
        <v>20</v>
      </c>
      <c r="D16" s="7" t="inlineStr">
        <is>
          <t>Laza</t>
        </is>
      </c>
      <c r="E16" s="7" t="inlineStr">
        <is>
          <t>Igen</t>
        </is>
      </c>
      <c r="F16" s="7" t="inlineStr">
        <is>
          <t>Szövet / textil / filc cserép, ültető- és termesztőzsák</t>
        </is>
      </c>
      <c r="G16" s="7" t="inlineStr">
        <is>
          <t>Kategórialeírás (természetes említés)</t>
        </is>
      </c>
    </row>
    <row r="17">
      <c r="A17" s="4" t="n">
        <v>11</v>
      </c>
      <c r="B17" s="4" t="inlineStr">
        <is>
          <t>szövetcserép</t>
        </is>
      </c>
      <c r="C17" s="5" t="n">
        <v>10</v>
      </c>
      <c r="D17" s="4" t="inlineStr">
        <is>
          <t>Szoros</t>
        </is>
      </c>
      <c r="E17" s="4" t="inlineStr">
        <is>
          <t>Igen</t>
        </is>
      </c>
      <c r="F17" s="4" t="inlineStr">
        <is>
          <t>Szövet / textil / filc cserép, ültető- és termesztőzsák</t>
        </is>
      </c>
      <c r="G17" s="4" t="inlineStr">
        <is>
          <t>Kategórialeírás (természetes említés)</t>
        </is>
      </c>
    </row>
    <row r="18">
      <c r="A18" s="4" t="n">
        <v>12</v>
      </c>
      <c r="B18" s="4" t="inlineStr">
        <is>
          <t>growbag</t>
        </is>
      </c>
      <c r="C18" s="5" t="n">
        <v>10</v>
      </c>
      <c r="D18" s="4" t="inlineStr">
        <is>
          <t>Szoros</t>
        </is>
      </c>
      <c r="E18" s="4" t="inlineStr">
        <is>
          <t>Igen</t>
        </is>
      </c>
      <c r="F18" s="4" t="inlineStr">
        <is>
          <t>Szövet / textil / filc cserép, ültető- és termesztőzsák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termesztőzsák</t>
        </is>
      </c>
      <c r="C19" s="5" t="n">
        <v>10</v>
      </c>
      <c r="D19" s="4" t="inlineStr">
        <is>
          <t>Szoros</t>
        </is>
      </c>
      <c r="E19" s="4" t="inlineStr">
        <is>
          <t>Igen</t>
        </is>
      </c>
      <c r="F19" s="4" t="inlineStr">
        <is>
          <t>Szövet / textil / filc cserép, ültető- és termesztőzsák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növénynevelő zsák</t>
        </is>
      </c>
      <c r="C20" s="5" t="n">
        <v>10</v>
      </c>
      <c r="D20" s="4" t="inlineStr">
        <is>
          <t>Szoros</t>
        </is>
      </c>
      <c r="E20" s="4" t="inlineStr">
        <is>
          <t>Igen</t>
        </is>
      </c>
      <c r="F20" s="4" t="inlineStr">
        <is>
          <t>Szövet / textil / filc cserép, ültető- és termesztőzsák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root pouch</t>
        </is>
      </c>
      <c r="C21" s="5" t="n">
        <v>10</v>
      </c>
      <c r="D21" s="4" t="inlineStr">
        <is>
          <t>Szoros</t>
        </is>
      </c>
      <c r="E21" s="4" t="inlineStr">
        <is>
          <t>Igen</t>
        </is>
      </c>
      <c r="F21" s="4" t="inlineStr">
        <is>
          <t>Szövet / textil / filc cserép, ültető- és termesztőzsák</t>
        </is>
      </c>
      <c r="G21" s="4" t="inlineStr">
        <is>
          <t>Gyártóoldal / szűrő / termékoldal</t>
        </is>
      </c>
    </row>
    <row r="22">
      <c r="A22" s="4" t="n">
        <v>16</v>
      </c>
      <c r="B22" s="4" t="inlineStr">
        <is>
          <t>smarpot</t>
        </is>
      </c>
      <c r="C22" s="5" t="n">
        <v>10</v>
      </c>
      <c r="D22" s="4" t="inlineStr">
        <is>
          <t>Szoros</t>
        </is>
      </c>
      <c r="E22" s="4" t="inlineStr">
        <is>
          <t>Igen</t>
        </is>
      </c>
      <c r="F22" s="4" t="inlineStr">
        <is>
          <t>Szövet / textil / filc cserép, ültető- és termesztőzsák</t>
        </is>
      </c>
      <c r="G22" s="4" t="inlineStr">
        <is>
          <t>Kategórialeírás (természetes említés)</t>
        </is>
      </c>
    </row>
    <row r="23">
      <c r="B23" s="10" t="inlineStr">
        <is>
          <t>Összesen (érdemes rá oldal = Igen):</t>
        </is>
      </c>
      <c r="C23" s="22">
        <f>SUMIFS(C7:C22,E7:E22,"Igen")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Önöntöző cserép  –  fő kulcsszó: „önöntöző cserép”</t>
        </is>
      </c>
    </row>
    <row r="2">
      <c r="A2" s="2" t="inlineStr">
        <is>
          <t>Felhasználási terület: Víztartályos, önöntöző cserép – szobanövény, fűszer</t>
        </is>
      </c>
    </row>
    <row r="3">
      <c r="A3" s="2" t="inlineStr">
        <is>
          <t>Megjegyzés: Kis, de tiszta szándékú klaszter.</t>
        </is>
      </c>
    </row>
    <row r="4">
      <c r="A4" s="2" t="inlineStr">
        <is>
          <t>Felvett releváns kulcsszavak: 6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önöntöző cserép</t>
        </is>
      </c>
      <c r="C7" s="8" t="n">
        <v>90</v>
      </c>
      <c r="D7" s="7" t="inlineStr">
        <is>
          <t>Laza</t>
        </is>
      </c>
      <c r="E7" s="7" t="inlineStr">
        <is>
          <t>Igen</t>
        </is>
      </c>
      <c r="F7" s="7" t="inlineStr">
        <is>
          <t>Víztartályos, önöntöző cserép – szobanövény, fűszer</t>
        </is>
      </c>
      <c r="G7" s="7" t="inlineStr">
        <is>
          <t>Kategórianév + H1 + SEO title (fő kulcsszó)</t>
        </is>
      </c>
    </row>
    <row r="8">
      <c r="A8" s="7" t="n">
        <v>2</v>
      </c>
      <c r="B8" s="7" t="inlineStr">
        <is>
          <t>önöntöző virágcserép</t>
        </is>
      </c>
      <c r="C8" s="8" t="n">
        <v>20</v>
      </c>
      <c r="D8" s="7" t="inlineStr">
        <is>
          <t>Laza</t>
        </is>
      </c>
      <c r="E8" s="7" t="inlineStr">
        <is>
          <t>Igen</t>
        </is>
      </c>
      <c r="F8" s="7" t="inlineStr">
        <is>
          <t>Víztartályos, önöntöző cserép – szobanövény, fűszer</t>
        </is>
      </c>
      <c r="G8" s="7" t="inlineStr">
        <is>
          <t>SEO title / H1 / bevezető (másodlagos)</t>
        </is>
      </c>
    </row>
    <row r="9">
      <c r="A9" s="7" t="n">
        <v>3</v>
      </c>
      <c r="B9" s="7" t="inlineStr">
        <is>
          <t>cserép öntöző</t>
        </is>
      </c>
      <c r="C9" s="8" t="n">
        <v>20</v>
      </c>
      <c r="D9" s="7" t="inlineStr">
        <is>
          <t>Laza</t>
        </is>
      </c>
      <c r="E9" s="7" t="inlineStr">
        <is>
          <t>Igen</t>
        </is>
      </c>
      <c r="F9" s="7" t="inlineStr">
        <is>
          <t>Víztartályos, önöntöző cserép – szobanövény, fűszer</t>
        </is>
      </c>
      <c r="G9" s="7" t="inlineStr">
        <is>
          <t>Kategórialeírás (természetes említés)</t>
        </is>
      </c>
    </row>
    <row r="10">
      <c r="A10" s="7" t="n">
        <v>4</v>
      </c>
      <c r="B10" s="7" t="inlineStr">
        <is>
          <t>önlocsoló virágcserép</t>
        </is>
      </c>
      <c r="C10" s="8" t="n">
        <v>10</v>
      </c>
      <c r="D10" s="7" t="inlineStr">
        <is>
          <t>Laza</t>
        </is>
      </c>
      <c r="E10" s="7" t="inlineStr">
        <is>
          <t>Igen</t>
        </is>
      </c>
      <c r="F10" s="7" t="inlineStr">
        <is>
          <t>Víztartályos, önöntöző cserép – szobanövény, fűszer</t>
        </is>
      </c>
      <c r="G10" s="7" t="inlineStr">
        <is>
          <t>Kategórialeírás (természetes említés)</t>
        </is>
      </c>
    </row>
    <row r="11">
      <c r="A11" s="7" t="n">
        <v>5</v>
      </c>
      <c r="B11" s="7" t="inlineStr">
        <is>
          <t>önöntözős virágcserép</t>
        </is>
      </c>
      <c r="C11" s="8" t="n">
        <v>10</v>
      </c>
      <c r="D11" s="7" t="inlineStr">
        <is>
          <t>Laza</t>
        </is>
      </c>
      <c r="E11" s="7" t="inlineStr">
        <is>
          <t>Igen</t>
        </is>
      </c>
      <c r="F11" s="7" t="inlineStr">
        <is>
          <t>Víztartályos, önöntöző cserép – szobanövény, fűszer</t>
        </is>
      </c>
      <c r="G11" s="7" t="inlineStr">
        <is>
          <t>Kategórialeírás (természetes említés)</t>
        </is>
      </c>
    </row>
    <row r="12">
      <c r="A12" s="7" t="n">
        <v>6</v>
      </c>
      <c r="B12" s="7" t="inlineStr">
        <is>
          <t>intelligens virágcserép</t>
        </is>
      </c>
      <c r="C12" s="8" t="n">
        <v>10</v>
      </c>
      <c r="D12" s="7" t="inlineStr">
        <is>
          <t>Laza</t>
        </is>
      </c>
      <c r="E12" s="7" t="inlineStr">
        <is>
          <t>Igen</t>
        </is>
      </c>
      <c r="F12" s="7" t="inlineStr">
        <is>
          <t>Víztartályos, önöntöző cserép – szobanövény, fűszer</t>
        </is>
      </c>
      <c r="G12" s="7" t="inlineStr">
        <is>
          <t>Kategórialeírás (természetes említés)</t>
        </is>
      </c>
    </row>
    <row r="13">
      <c r="B13" s="10" t="inlineStr">
        <is>
          <t>Összesen (érdemes rá oldal = Igen):</t>
        </is>
      </c>
      <c r="C13" s="22">
        <f>SUMIFS(C7:C12,E7:E12,"Igen")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Cserépalátét  –  fő kulcsszó: „cserépalátét”</t>
        </is>
      </c>
    </row>
    <row r="2">
      <c r="A2" s="2" t="inlineStr">
        <is>
          <t>Felhasználási terület: Cserép alá – vízfelfogás, gurulós alátét</t>
        </is>
      </c>
    </row>
    <row r="3">
      <c r="A3" s="2" t="inlineStr">
        <is>
          <t>Megjegyzés: A „cserépalátét” és a „cserép alátét” egyenként 260; a „virágcserép alátéttel” (140) a cseréppel együtt vásárlót jelenti – a Virágcserép kategóriában is említendő.</t>
        </is>
      </c>
    </row>
    <row r="4">
      <c r="A4" s="2" t="inlineStr">
        <is>
          <t>Felvett releváns kulcsszavak: 23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4" t="n">
        <v>1</v>
      </c>
      <c r="B7" s="4" t="inlineStr">
        <is>
          <t>cserépalátét</t>
        </is>
      </c>
      <c r="C7" s="5" t="n">
        <v>260</v>
      </c>
      <c r="D7" s="4" t="inlineStr">
        <is>
          <t>Szoros</t>
        </is>
      </c>
      <c r="E7" s="4" t="inlineStr">
        <is>
          <t>Igen</t>
        </is>
      </c>
      <c r="F7" s="4" t="inlineStr">
        <is>
          <t>Cserép alá – vízfelfogás, gurulós alátét</t>
        </is>
      </c>
      <c r="G7" s="4" t="inlineStr">
        <is>
          <t>Kategórianév + H1 + SEO title (fő kulcsszó)</t>
        </is>
      </c>
    </row>
    <row r="8">
      <c r="A8" s="11" t="n">
        <v>2</v>
      </c>
      <c r="B8" s="11" t="inlineStr">
        <is>
          <t>alátét</t>
        </is>
      </c>
      <c r="C8" s="20" t="n">
        <v>720</v>
      </c>
      <c r="D8" s="11" t="inlineStr">
        <is>
          <t>Laza</t>
        </is>
      </c>
      <c r="E8" s="11" t="inlineStr">
        <is>
          <t>Nem</t>
        </is>
      </c>
      <c r="F8" s="11" t="inlineStr">
        <is>
          <t>Cserép alá – vízfelfogás, gurulós alátét</t>
        </is>
      </c>
      <c r="G8" s="11" t="inlineStr">
        <is>
          <t>Nem célozni külön oldallal (max. említés)</t>
        </is>
      </c>
    </row>
    <row r="9">
      <c r="A9" s="12" t="n">
        <v>3</v>
      </c>
      <c r="B9" s="12" t="inlineStr">
        <is>
          <t>obi cserépalátét</t>
        </is>
      </c>
      <c r="C9" s="21" t="n">
        <v>320</v>
      </c>
      <c r="D9" s="12" t="inlineStr">
        <is>
          <t>Nincs (áruházi / nem vásárlási szándék)</t>
        </is>
      </c>
      <c r="E9" s="12" t="inlineStr">
        <is>
          <t>Nem – kizárandó</t>
        </is>
      </c>
      <c r="F9" s="12" t="inlineStr">
        <is>
          <t>Cserép alá – vízfelfogás, gurulós alátét</t>
        </is>
      </c>
      <c r="G9" s="12" t="inlineStr">
        <is>
          <t>Nem használni (áruházi/nem vásárlási szándék)</t>
        </is>
      </c>
    </row>
    <row r="10">
      <c r="A10" s="4" t="n">
        <v>4</v>
      </c>
      <c r="B10" s="4" t="inlineStr">
        <is>
          <t>cserép alátét</t>
        </is>
      </c>
      <c r="C10" s="5" t="n">
        <v>260</v>
      </c>
      <c r="D10" s="4" t="inlineStr">
        <is>
          <t>Szoros</t>
        </is>
      </c>
      <c r="E10" s="4" t="inlineStr">
        <is>
          <t>Igen</t>
        </is>
      </c>
      <c r="F10" s="4" t="inlineStr">
        <is>
          <t>Cserép alá – vízfelfogás, gurulós alátét</t>
        </is>
      </c>
      <c r="G10" s="4" t="inlineStr">
        <is>
          <t>SEO title / H1 / bevezető (másodlagos)</t>
        </is>
      </c>
    </row>
    <row r="11">
      <c r="A11" s="7" t="n">
        <v>5</v>
      </c>
      <c r="B11" s="7" t="inlineStr">
        <is>
          <t>gurulós virágtartó</t>
        </is>
      </c>
      <c r="C11" s="8" t="n">
        <v>260</v>
      </c>
      <c r="D11" s="7" t="inlineStr">
        <is>
          <t>Laza</t>
        </is>
      </c>
      <c r="E11" s="7" t="inlineStr">
        <is>
          <t>Igen</t>
        </is>
      </c>
      <c r="F11" s="7" t="inlineStr">
        <is>
          <t>Cserép alá – vízfelfogás, gurulós alátét</t>
        </is>
      </c>
      <c r="G11" s="7" t="inlineStr">
        <is>
          <t>Kategórialeírás (természetes említés)</t>
        </is>
      </c>
    </row>
    <row r="12">
      <c r="A12" s="4" t="n">
        <v>6</v>
      </c>
      <c r="B12" s="4" t="inlineStr">
        <is>
          <t>virágcserép alátét</t>
        </is>
      </c>
      <c r="C12" s="5" t="n">
        <v>140</v>
      </c>
      <c r="D12" s="4" t="inlineStr">
        <is>
          <t>Szoros</t>
        </is>
      </c>
      <c r="E12" s="4" t="inlineStr">
        <is>
          <t>Igen</t>
        </is>
      </c>
      <c r="F12" s="4" t="inlineStr">
        <is>
          <t>Cserép alá – vízfelfogás, gurulós alátét</t>
        </is>
      </c>
      <c r="G12" s="4" t="inlineStr">
        <is>
          <t>SEO title / H1 / bevezető (másodlagos)</t>
        </is>
      </c>
    </row>
    <row r="13">
      <c r="A13" s="4" t="n">
        <v>7</v>
      </c>
      <c r="B13" s="4" t="inlineStr">
        <is>
          <t>virágcserép alátéttel</t>
        </is>
      </c>
      <c r="C13" s="5" t="n">
        <v>140</v>
      </c>
      <c r="D13" s="4" t="inlineStr">
        <is>
          <t>Szoros</t>
        </is>
      </c>
      <c r="E13" s="4" t="inlineStr">
        <is>
          <t>Igen</t>
        </is>
      </c>
      <c r="F13" s="4" t="inlineStr">
        <is>
          <t>Cserép alá – vízfelfogás, gurulós alátét</t>
        </is>
      </c>
      <c r="G13" s="4" t="inlineStr">
        <is>
          <t>Kategórialeírás (természetes említés)</t>
        </is>
      </c>
    </row>
    <row r="14">
      <c r="A14" s="4" t="n">
        <v>8</v>
      </c>
      <c r="B14" s="4" t="inlineStr">
        <is>
          <t>műanyag cserépalátét</t>
        </is>
      </c>
      <c r="C14" s="5" t="n">
        <v>110</v>
      </c>
      <c r="D14" s="4" t="inlineStr">
        <is>
          <t>Szoros</t>
        </is>
      </c>
      <c r="E14" s="4" t="inlineStr">
        <is>
          <t>Igen</t>
        </is>
      </c>
      <c r="F14" s="4" t="inlineStr">
        <is>
          <t>Cserép alá – vízfelfogás, gurulós alátét</t>
        </is>
      </c>
      <c r="G14" s="4" t="inlineStr">
        <is>
          <t>SEO title / H1 / bevezető (másodlagos)</t>
        </is>
      </c>
    </row>
    <row r="15">
      <c r="A15" s="11" t="n">
        <v>9</v>
      </c>
      <c r="B15" s="11" t="inlineStr">
        <is>
          <t>kerámia cserépalátét</t>
        </is>
      </c>
      <c r="C15" s="20" t="n">
        <v>90</v>
      </c>
      <c r="D15" s="11" t="inlineStr">
        <is>
          <t>Laza</t>
        </is>
      </c>
      <c r="E15" s="11" t="inlineStr">
        <is>
          <t>Nem</t>
        </is>
      </c>
      <c r="F15" s="11" t="inlineStr">
        <is>
          <t>Cserép alá – vízfelfogás, gurulós alátét</t>
        </is>
      </c>
      <c r="G15" s="11" t="inlineStr">
        <is>
          <t>Nem célozni külön oldallal (max. említés)</t>
        </is>
      </c>
    </row>
    <row r="16">
      <c r="A16" s="7" t="n">
        <v>10</v>
      </c>
      <c r="B16" s="7" t="inlineStr">
        <is>
          <t>gurulós virágállvány</t>
        </is>
      </c>
      <c r="C16" s="8" t="n">
        <v>70</v>
      </c>
      <c r="D16" s="7" t="inlineStr">
        <is>
          <t>Laza</t>
        </is>
      </c>
      <c r="E16" s="7" t="inlineStr">
        <is>
          <t>Igen</t>
        </is>
      </c>
      <c r="F16" s="7" t="inlineStr">
        <is>
          <t>Cserép alá – vízfelfogás, gurulós alátét</t>
        </is>
      </c>
      <c r="G16" s="7" t="inlineStr">
        <is>
          <t>Kategórialeírás (természetes említés)</t>
        </is>
      </c>
    </row>
    <row r="17">
      <c r="A17" s="11" t="n">
        <v>11</v>
      </c>
      <c r="B17" s="11" t="inlineStr">
        <is>
          <t>agyag cserépalátét</t>
        </is>
      </c>
      <c r="C17" s="20" t="n">
        <v>70</v>
      </c>
      <c r="D17" s="11" t="inlineStr">
        <is>
          <t>Laza</t>
        </is>
      </c>
      <c r="E17" s="11" t="inlineStr">
        <is>
          <t>Nem</t>
        </is>
      </c>
      <c r="F17" s="11" t="inlineStr">
        <is>
          <t>Cserép alá – vízfelfogás, gurulós alátét</t>
        </is>
      </c>
      <c r="G17" s="11" t="inlineStr">
        <is>
          <t>Nem célozni külön oldallal (max. említés)</t>
        </is>
      </c>
    </row>
    <row r="18">
      <c r="A18" s="4" t="n">
        <v>12</v>
      </c>
      <c r="B18" s="4" t="inlineStr">
        <is>
          <t>virágcserép alátét 60 cm</t>
        </is>
      </c>
      <c r="C18" s="5" t="n">
        <v>50</v>
      </c>
      <c r="D18" s="4" t="inlineStr">
        <is>
          <t>Szoros</t>
        </is>
      </c>
      <c r="E18" s="4" t="inlineStr">
        <is>
          <t>Igen</t>
        </is>
      </c>
      <c r="F18" s="4" t="inlineStr">
        <is>
          <t>Cserép alá – vízfelfogás, gurulós alátét</t>
        </is>
      </c>
      <c r="G18" s="4" t="inlineStr">
        <is>
          <t>Kategórialeírás (természetes említés)</t>
        </is>
      </c>
    </row>
    <row r="19">
      <c r="A19" s="4" t="n">
        <v>13</v>
      </c>
      <c r="B19" s="4" t="inlineStr">
        <is>
          <t>cserépalátét 80 cm</t>
        </is>
      </c>
      <c r="C19" s="5" t="n">
        <v>50</v>
      </c>
      <c r="D19" s="4" t="inlineStr">
        <is>
          <t>Szoros</t>
        </is>
      </c>
      <c r="E19" s="4" t="inlineStr">
        <is>
          <t>Igen</t>
        </is>
      </c>
      <c r="F19" s="4" t="inlineStr">
        <is>
          <t>Cserép alá – vízfelfogás, gurulós alátét</t>
        </is>
      </c>
      <c r="G19" s="4" t="inlineStr">
        <is>
          <t>Kategórialeírás (természetes említés)</t>
        </is>
      </c>
    </row>
    <row r="20">
      <c r="A20" s="4" t="n">
        <v>14</v>
      </c>
      <c r="B20" s="4" t="inlineStr">
        <is>
          <t>cserépalátét 60 cm</t>
        </is>
      </c>
      <c r="C20" s="5" t="n">
        <v>40</v>
      </c>
      <c r="D20" s="4" t="inlineStr">
        <is>
          <t>Szoros</t>
        </is>
      </c>
      <c r="E20" s="4" t="inlineStr">
        <is>
          <t>Igen</t>
        </is>
      </c>
      <c r="F20" s="4" t="inlineStr">
        <is>
          <t>Cserép alá – vízfelfogás, gurulós alátét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cserépalátét 50 cm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Cserép alá – vízfelfogás, gurulós alátét</t>
        </is>
      </c>
      <c r="G21" s="4" t="inlineStr">
        <is>
          <t>Kategórialeírás (természetes említés)</t>
        </is>
      </c>
    </row>
    <row r="22">
      <c r="A22" s="4" t="n">
        <v>16</v>
      </c>
      <c r="B22" s="4" t="inlineStr">
        <is>
          <t>virágcserép alátét 50 cm</t>
        </is>
      </c>
      <c r="C22" s="5" t="n">
        <v>30</v>
      </c>
      <c r="D22" s="4" t="inlineStr">
        <is>
          <t>Szoros</t>
        </is>
      </c>
      <c r="E22" s="4" t="inlineStr">
        <is>
          <t>Igen</t>
        </is>
      </c>
      <c r="F22" s="4" t="inlineStr">
        <is>
          <t>Cserép alá – vízfelfogás, gurulós alátét</t>
        </is>
      </c>
      <c r="G22" s="4" t="inlineStr">
        <is>
          <t>Kategórialeírás (természetes említés)</t>
        </is>
      </c>
    </row>
    <row r="23">
      <c r="A23" s="7" t="n">
        <v>17</v>
      </c>
      <c r="B23" s="7" t="inlineStr">
        <is>
          <t>gurulós alátét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Cserép alá – vízfelfogás, gurulós alátét</t>
        </is>
      </c>
      <c r="G23" s="7" t="inlineStr">
        <is>
          <t>Kategórialeírás (természetes említés)</t>
        </is>
      </c>
    </row>
    <row r="24">
      <c r="A24" s="7" t="n">
        <v>18</v>
      </c>
      <c r="B24" s="7" t="inlineStr">
        <is>
          <t>guruló virágtartó</t>
        </is>
      </c>
      <c r="C24" s="8" t="n">
        <v>30</v>
      </c>
      <c r="D24" s="7" t="inlineStr">
        <is>
          <t>Laza</t>
        </is>
      </c>
      <c r="E24" s="7" t="inlineStr">
        <is>
          <t>Igen</t>
        </is>
      </c>
      <c r="F24" s="7" t="inlineStr">
        <is>
          <t>Cserép alá – vízfelfogás, gurulós alátét</t>
        </is>
      </c>
      <c r="G24" s="7" t="inlineStr">
        <is>
          <t>Kategórialeírás (természetes említés)</t>
        </is>
      </c>
    </row>
    <row r="25">
      <c r="A25" s="4" t="n">
        <v>19</v>
      </c>
      <c r="B25" s="4" t="inlineStr">
        <is>
          <t>műanyag virágcserép alátét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Cserép alá – vízfelfogás, gurulós alátét</t>
        </is>
      </c>
      <c r="G25" s="4" t="inlineStr">
        <is>
          <t>Kategórialeírás (természetes említés)</t>
        </is>
      </c>
    </row>
    <row r="26">
      <c r="A26" s="4" t="n">
        <v>20</v>
      </c>
      <c r="B26" s="4" t="inlineStr">
        <is>
          <t>cserépalátét 70 cm</t>
        </is>
      </c>
      <c r="C26" s="5" t="n">
        <v>10</v>
      </c>
      <c r="D26" s="4" t="inlineStr">
        <is>
          <t>Szoros</t>
        </is>
      </c>
      <c r="E26" s="4" t="inlineStr">
        <is>
          <t>Igen</t>
        </is>
      </c>
      <c r="F26" s="4" t="inlineStr">
        <is>
          <t>Cserép alá – vízfelfogás, gurulós alátét</t>
        </is>
      </c>
      <c r="G26" s="4" t="inlineStr">
        <is>
          <t>Kategórialeírás (természetes említés)</t>
        </is>
      </c>
    </row>
    <row r="27">
      <c r="A27" s="4" t="n">
        <v>21</v>
      </c>
      <c r="B27" s="4" t="inlineStr">
        <is>
          <t>műanyag virágláda alátét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Cserép alá – vízfelfogás, gurulós alátét</t>
        </is>
      </c>
      <c r="G27" s="4" t="inlineStr">
        <is>
          <t>Kategórialeírás (természetes említés)</t>
        </is>
      </c>
    </row>
    <row r="28">
      <c r="A28" s="4" t="n">
        <v>22</v>
      </c>
      <c r="B28" s="4" t="inlineStr">
        <is>
          <t>gurulós virágcserép alátét</t>
        </is>
      </c>
      <c r="C28" s="5" t="n">
        <v>10</v>
      </c>
      <c r="D28" s="4" t="inlineStr">
        <is>
          <t>Szoros</t>
        </is>
      </c>
      <c r="E28" s="4" t="inlineStr">
        <is>
          <t>Igen</t>
        </is>
      </c>
      <c r="F28" s="4" t="inlineStr">
        <is>
          <t>Cserép alá – vízfelfogás, gurulós alátét</t>
        </is>
      </c>
      <c r="G28" s="4" t="inlineStr">
        <is>
          <t>Kategórialeírás (természetes említés)</t>
        </is>
      </c>
    </row>
    <row r="29">
      <c r="A29" s="4" t="n">
        <v>23</v>
      </c>
      <c r="B29" s="4" t="inlineStr">
        <is>
          <t>virágcserép alátét méretek</t>
        </is>
      </c>
      <c r="C29" s="5" t="n">
        <v>10</v>
      </c>
      <c r="D29" s="4" t="inlineStr">
        <is>
          <t>Szoros</t>
        </is>
      </c>
      <c r="E29" s="4" t="inlineStr">
        <is>
          <t>Igen</t>
        </is>
      </c>
      <c r="F29" s="4" t="inlineStr">
        <is>
          <t>Cserép alá – vízfelfogás, gurulós alátét</t>
        </is>
      </c>
      <c r="G29" s="4" t="inlineStr">
        <is>
          <t>Leírás alsó része, GYIK vagy blog</t>
        </is>
      </c>
    </row>
    <row r="30">
      <c r="B30" s="10" t="inlineStr">
        <is>
          <t>Összesen (érdemes rá oldal = Igen):</t>
        </is>
      </c>
      <c r="C30" s="22">
        <f>SUMIFS(C7:C29,E7:E29,"Igen")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2" customWidth="1" min="3" max="3"/>
    <col width="22" customWidth="1" min="4" max="4"/>
    <col width="16" customWidth="1" min="5" max="5"/>
    <col width="30" customWidth="1" min="6" max="6"/>
    <col width="40" customWidth="1" min="7" max="7"/>
  </cols>
  <sheetData>
    <row r="1">
      <c r="A1" s="1" t="inlineStr">
        <is>
          <t>Műanyag tálca, árapály asztal  –  fő kulcsszó: „nagyméretű műanyag tálca”</t>
        </is>
      </c>
    </row>
    <row r="2">
      <c r="A2" s="2" t="inlineStr">
        <is>
          <t>Felhasználási terület: Gyűjtőtálca termesztősátorba, árapály (ebb &amp; flow) rendszer</t>
        </is>
      </c>
    </row>
    <row r="3">
      <c r="A3" s="2" t="inlineStr">
        <is>
          <t>Megjegyzés: A „gyűjtőtálca”, „növénytálca”, „cserép tálca” kifejezésekre nincs mérhető keresés. A „tálcák” (1000) konyhai, a „csepptálca” (210) és a „kármentő tálca” (480) klíma / ipari. A „szaporító / palántanevelő tálca” a Palántanevelő ágé, a „mikrozöld tálca” a Mikrozöld termesztésé.</t>
        </is>
      </c>
    </row>
    <row r="4">
      <c r="A4" s="2" t="inlineStr">
        <is>
          <t>Felvett releváns kulcsszavak: 21 (a Kulcsszótervező &gt; 0 keresésű ötleteiből válogatva; a teljes nyers lista a CSV-ben)</t>
        </is>
      </c>
    </row>
    <row r="6">
      <c r="A6" s="3" t="inlineStr">
        <is>
          <t>#</t>
        </is>
      </c>
      <c r="B6" s="3" t="inlineStr">
        <is>
          <t>Kulcsszó</t>
        </is>
      </c>
      <c r="C6" s="3" t="inlineStr">
        <is>
          <t>Havi keresés</t>
        </is>
      </c>
      <c r="D6" s="3" t="inlineStr">
        <is>
          <t>Kötődés a webshophoz</t>
        </is>
      </c>
      <c r="E6" s="3" t="inlineStr">
        <is>
          <t>Érdemes rá kategória/oldal?</t>
        </is>
      </c>
      <c r="F6" s="3" t="inlineStr">
        <is>
          <t>Felhasználási terület</t>
        </is>
      </c>
      <c r="G6" s="3" t="inlineStr">
        <is>
          <t>Javasolt felhasználás</t>
        </is>
      </c>
    </row>
    <row r="7">
      <c r="A7" s="7" t="n">
        <v>1</v>
      </c>
      <c r="B7" s="7" t="inlineStr">
        <is>
          <t>nagyméretű műanyag tálca</t>
        </is>
      </c>
      <c r="C7" s="8" t="n">
        <v>140</v>
      </c>
      <c r="D7" s="7" t="inlineStr">
        <is>
          <t>Laza</t>
        </is>
      </c>
      <c r="E7" s="7" t="inlineStr">
        <is>
          <t>Igen</t>
        </is>
      </c>
      <c r="F7" s="7" t="inlineStr">
        <is>
          <t>Gyűjtőtálca termesztősátorba, árapály (ebb &amp; flow) rendszer</t>
        </is>
      </c>
      <c r="G7" s="7" t="inlineStr">
        <is>
          <t>Kategórianév + H1 + SEO title (fő kulcsszó)</t>
        </is>
      </c>
    </row>
    <row r="8">
      <c r="A8" s="11" t="n">
        <v>2</v>
      </c>
      <c r="B8" s="11" t="inlineStr">
        <is>
          <t>tálcák</t>
        </is>
      </c>
      <c r="C8" s="20" t="n">
        <v>1000</v>
      </c>
      <c r="D8" s="11" t="inlineStr">
        <is>
          <t>Laza</t>
        </is>
      </c>
      <c r="E8" s="11" t="inlineStr">
        <is>
          <t>Nem</t>
        </is>
      </c>
      <c r="F8" s="11" t="inlineStr">
        <is>
          <t>Gyűjtőtálca termesztősátorba, árapály (ebb &amp; flow) rendszer</t>
        </is>
      </c>
      <c r="G8" s="11" t="inlineStr">
        <is>
          <t>Nem célozni külön oldallal (max. említés)</t>
        </is>
      </c>
    </row>
    <row r="9">
      <c r="A9" s="7" t="n">
        <v>3</v>
      </c>
      <c r="B9" s="7" t="inlineStr">
        <is>
          <t>műanyag tálca</t>
        </is>
      </c>
      <c r="C9" s="8" t="n">
        <v>590</v>
      </c>
      <c r="D9" s="7" t="inlineStr">
        <is>
          <t>Laza</t>
        </is>
      </c>
      <c r="E9" s="7" t="inlineStr">
        <is>
          <t>Igen</t>
        </is>
      </c>
      <c r="F9" s="7" t="inlineStr">
        <is>
          <t>Gyűjtőtálca termesztősátorba, árapály (ebb &amp; flow) rendszer</t>
        </is>
      </c>
      <c r="G9" s="7" t="inlineStr">
        <is>
          <t>SEO title / H1 / bevezető (másodlagos)</t>
        </is>
      </c>
    </row>
    <row r="10">
      <c r="A10" s="11" t="n">
        <v>4</v>
      </c>
      <c r="B10" s="11" t="inlineStr">
        <is>
          <t>kármentő tálca</t>
        </is>
      </c>
      <c r="C10" s="20" t="n">
        <v>480</v>
      </c>
      <c r="D10" s="11" t="inlineStr">
        <is>
          <t>Laza</t>
        </is>
      </c>
      <c r="E10" s="11" t="inlineStr">
        <is>
          <t>Nem</t>
        </is>
      </c>
      <c r="F10" s="11" t="inlineStr">
        <is>
          <t>Gyűjtőtálca termesztősátorba, árapály (ebb &amp; flow) rendszer</t>
        </is>
      </c>
      <c r="G10" s="11" t="inlineStr">
        <is>
          <t>Nem célozni külön oldallal (max. említés)</t>
        </is>
      </c>
    </row>
    <row r="11">
      <c r="A11" s="11" t="n">
        <v>5</v>
      </c>
      <c r="B11" s="11" t="inlineStr">
        <is>
          <t>szaporító tálca</t>
        </is>
      </c>
      <c r="C11" s="20" t="n">
        <v>320</v>
      </c>
      <c r="D11" s="11" t="inlineStr">
        <is>
          <t>Laza</t>
        </is>
      </c>
      <c r="E11" s="11" t="inlineStr">
        <is>
          <t>Nem</t>
        </is>
      </c>
      <c r="F11" s="11" t="inlineStr">
        <is>
          <t>Gyűjtőtálca termesztősátorba, árapály (ebb &amp; flow) rendszer</t>
        </is>
      </c>
      <c r="G11" s="11" t="inlineStr">
        <is>
          <t>Nem célozni külön oldallal (max. említés)</t>
        </is>
      </c>
    </row>
    <row r="12">
      <c r="A12" s="11" t="n">
        <v>6</v>
      </c>
      <c r="B12" s="11" t="inlineStr">
        <is>
          <t>csepptálca</t>
        </is>
      </c>
      <c r="C12" s="20" t="n">
        <v>210</v>
      </c>
      <c r="D12" s="11" t="inlineStr">
        <is>
          <t>Laza</t>
        </is>
      </c>
      <c r="E12" s="11" t="inlineStr">
        <is>
          <t>Nem</t>
        </is>
      </c>
      <c r="F12" s="11" t="inlineStr">
        <is>
          <t>Gyűjtőtálca termesztősátorba, árapály (ebb &amp; flow) rendszer</t>
        </is>
      </c>
      <c r="G12" s="11" t="inlineStr">
        <is>
          <t>Nem célozni külön oldallal (max. említés)</t>
        </is>
      </c>
    </row>
    <row r="13">
      <c r="A13" s="4" t="n">
        <v>7</v>
      </c>
      <c r="B13" s="4" t="inlineStr">
        <is>
          <t>ebb and flow</t>
        </is>
      </c>
      <c r="C13" s="5" t="n">
        <v>70</v>
      </c>
      <c r="D13" s="4" t="inlineStr">
        <is>
          <t>Szoros</t>
        </is>
      </c>
      <c r="E13" s="4" t="inlineStr">
        <is>
          <t>Igen</t>
        </is>
      </c>
      <c r="F13" s="4" t="inlineStr">
        <is>
          <t>Gyűjtőtálca termesztősátorba, árapály (ebb &amp; flow) rendszer</t>
        </is>
      </c>
      <c r="G13" s="4" t="inlineStr">
        <is>
          <t>SEO title / H1 / bevezető (másodlagos)</t>
        </is>
      </c>
    </row>
    <row r="14">
      <c r="A14" s="7" t="n">
        <v>8</v>
      </c>
      <c r="B14" s="7" t="inlineStr">
        <is>
          <t>műanyag csepegtető tálca</t>
        </is>
      </c>
      <c r="C14" s="8" t="n">
        <v>70</v>
      </c>
      <c r="D14" s="7" t="inlineStr">
        <is>
          <t>Laza</t>
        </is>
      </c>
      <c r="E14" s="7" t="inlineStr">
        <is>
          <t>Igen</t>
        </is>
      </c>
      <c r="F14" s="7" t="inlineStr">
        <is>
          <t>Gyűjtőtálca termesztősátorba, árapály (ebb &amp; flow) rendszer</t>
        </is>
      </c>
      <c r="G14" s="7" t="inlineStr">
        <is>
          <t>Kategórialeírás (természetes említés)</t>
        </is>
      </c>
    </row>
    <row r="15">
      <c r="A15" s="4" t="n">
        <v>9</v>
      </c>
      <c r="B15" s="4" t="inlineStr">
        <is>
          <t>árapály asztal</t>
        </is>
      </c>
      <c r="C15" s="5" t="n">
        <v>50</v>
      </c>
      <c r="D15" s="4" t="inlineStr">
        <is>
          <t>Szoros</t>
        </is>
      </c>
      <c r="E15" s="4" t="inlineStr">
        <is>
          <t>Igen</t>
        </is>
      </c>
      <c r="F15" s="4" t="inlineStr">
        <is>
          <t>Gyűjtőtálca termesztősátorba, árapály (ebb &amp; flow) rendszer</t>
        </is>
      </c>
      <c r="G15" s="4" t="inlineStr">
        <is>
          <t>SEO title / H1 / bevezető (másodlagos)</t>
        </is>
      </c>
    </row>
    <row r="16">
      <c r="A16" s="7" t="n">
        <v>10</v>
      </c>
      <c r="B16" s="7" t="inlineStr">
        <is>
          <t>műanyag kármentő tálca</t>
        </is>
      </c>
      <c r="C16" s="8" t="n">
        <v>50</v>
      </c>
      <c r="D16" s="7" t="inlineStr">
        <is>
          <t>Laza</t>
        </is>
      </c>
      <c r="E16" s="7" t="inlineStr">
        <is>
          <t>Igen</t>
        </is>
      </c>
      <c r="F16" s="7" t="inlineStr">
        <is>
          <t>Gyűjtőtálca termesztősátorba, árapály (ebb &amp; flow) rendszer</t>
        </is>
      </c>
      <c r="G16" s="7" t="inlineStr">
        <is>
          <t>Kategórialeírás (természetes említés)</t>
        </is>
      </c>
    </row>
    <row r="17">
      <c r="A17" s="12" t="n">
        <v>11</v>
      </c>
      <c r="B17" s="12" t="inlineStr">
        <is>
          <t>műanyag tálca obi</t>
        </is>
      </c>
      <c r="C17" s="21" t="n">
        <v>50</v>
      </c>
      <c r="D17" s="12" t="inlineStr">
        <is>
          <t>Nincs (áruházi / nem vásárlási szándék)</t>
        </is>
      </c>
      <c r="E17" s="12" t="inlineStr">
        <is>
          <t>Nem – kizárandó</t>
        </is>
      </c>
      <c r="F17" s="12" t="inlineStr">
        <is>
          <t>Gyűjtőtálca termesztősátorba, árapály (ebb &amp; flow) rendszer</t>
        </is>
      </c>
      <c r="G17" s="12" t="inlineStr">
        <is>
          <t>Nem használni (áruházi/nem vásárlási szándék)</t>
        </is>
      </c>
    </row>
    <row r="18">
      <c r="A18" s="7" t="n">
        <v>12</v>
      </c>
      <c r="B18" s="7" t="inlineStr">
        <is>
          <t>nagy műanyag tálca</t>
        </is>
      </c>
      <c r="C18" s="8" t="n">
        <v>40</v>
      </c>
      <c r="D18" s="7" t="inlineStr">
        <is>
          <t>Laza</t>
        </is>
      </c>
      <c r="E18" s="7" t="inlineStr">
        <is>
          <t>Igen</t>
        </is>
      </c>
      <c r="F18" s="7" t="inlineStr">
        <is>
          <t>Gyűjtőtálca termesztősátorba, árapály (ebb &amp; flow) rendszer</t>
        </is>
      </c>
      <c r="G18" s="7" t="inlineStr">
        <is>
          <t>Kategórialeírás (természetes említés)</t>
        </is>
      </c>
    </row>
    <row r="19">
      <c r="A19" s="7" t="n">
        <v>13</v>
      </c>
      <c r="B19" s="7" t="inlineStr">
        <is>
          <t>kármentő tálca műanyag</t>
        </is>
      </c>
      <c r="C19" s="8" t="n">
        <v>40</v>
      </c>
      <c r="D19" s="7" t="inlineStr">
        <is>
          <t>Laza</t>
        </is>
      </c>
      <c r="E19" s="7" t="inlineStr">
        <is>
          <t>Igen</t>
        </is>
      </c>
      <c r="F19" s="7" t="inlineStr">
        <is>
          <t>Gyűjtőtálca termesztősátorba, árapály (ebb &amp; flow) rendszer</t>
        </is>
      </c>
      <c r="G19" s="7" t="inlineStr">
        <is>
          <t>Kategórialeírás (természetes említés)</t>
        </is>
      </c>
    </row>
    <row r="20">
      <c r="A20" s="4" t="n">
        <v>14</v>
      </c>
      <c r="B20" s="4" t="inlineStr">
        <is>
          <t>árapály asztal eladó</t>
        </is>
      </c>
      <c r="C20" s="5" t="n">
        <v>30</v>
      </c>
      <c r="D20" s="4" t="inlineStr">
        <is>
          <t>Szoros</t>
        </is>
      </c>
      <c r="E20" s="4" t="inlineStr">
        <is>
          <t>Igen</t>
        </is>
      </c>
      <c r="F20" s="4" t="inlineStr">
        <is>
          <t>Gyűjtőtálca termesztősátorba, árapály (ebb &amp; flow) rendszer</t>
        </is>
      </c>
      <c r="G20" s="4" t="inlineStr">
        <is>
          <t>Kategórialeírás (természetes említés)</t>
        </is>
      </c>
    </row>
    <row r="21">
      <c r="A21" s="4" t="n">
        <v>15</v>
      </c>
      <c r="B21" s="4" t="inlineStr">
        <is>
          <t>termesztő tálca</t>
        </is>
      </c>
      <c r="C21" s="5" t="n">
        <v>30</v>
      </c>
      <c r="D21" s="4" t="inlineStr">
        <is>
          <t>Szoros</t>
        </is>
      </c>
      <c r="E21" s="4" t="inlineStr">
        <is>
          <t>Igen</t>
        </is>
      </c>
      <c r="F21" s="4" t="inlineStr">
        <is>
          <t>Gyűjtőtálca termesztősátorba, árapály (ebb &amp; flow) rendszer</t>
        </is>
      </c>
      <c r="G21" s="4" t="inlineStr">
        <is>
          <t>Kategórialeírás (természetes említés)</t>
        </is>
      </c>
    </row>
    <row r="22">
      <c r="A22" s="7" t="n">
        <v>16</v>
      </c>
      <c r="B22" s="7" t="inlineStr">
        <is>
          <t>fekete műanyag tálca</t>
        </is>
      </c>
      <c r="C22" s="8" t="n">
        <v>30</v>
      </c>
      <c r="D22" s="7" t="inlineStr">
        <is>
          <t>Laza</t>
        </is>
      </c>
      <c r="E22" s="7" t="inlineStr">
        <is>
          <t>Igen</t>
        </is>
      </c>
      <c r="F22" s="7" t="inlineStr">
        <is>
          <t>Gyűjtőtálca termesztősátorba, árapály (ebb &amp; flow) rendszer</t>
        </is>
      </c>
      <c r="G22" s="7" t="inlineStr">
        <is>
          <t>Kategórialeírás (természetes említés)</t>
        </is>
      </c>
    </row>
    <row r="23">
      <c r="A23" s="7" t="n">
        <v>17</v>
      </c>
      <c r="B23" s="7" t="inlineStr">
        <is>
          <t>kerek műanyag tálca</t>
        </is>
      </c>
      <c r="C23" s="8" t="n">
        <v>30</v>
      </c>
      <c r="D23" s="7" t="inlineStr">
        <is>
          <t>Laza</t>
        </is>
      </c>
      <c r="E23" s="7" t="inlineStr">
        <is>
          <t>Igen</t>
        </is>
      </c>
      <c r="F23" s="7" t="inlineStr">
        <is>
          <t>Gyűjtőtálca termesztősátorba, árapály (ebb &amp; flow) rendszer</t>
        </is>
      </c>
      <c r="G23" s="7" t="inlineStr">
        <is>
          <t>Kategórialeírás (természetes említés)</t>
        </is>
      </c>
    </row>
    <row r="24">
      <c r="A24" s="4" t="n">
        <v>18</v>
      </c>
      <c r="B24" s="4" t="inlineStr">
        <is>
          <t>növény tálca</t>
        </is>
      </c>
      <c r="C24" s="5" t="n">
        <v>20</v>
      </c>
      <c r="D24" s="4" t="inlineStr">
        <is>
          <t>Szoros</t>
        </is>
      </c>
      <c r="E24" s="4" t="inlineStr">
        <is>
          <t>Igen</t>
        </is>
      </c>
      <c r="F24" s="4" t="inlineStr">
        <is>
          <t>Gyűjtőtálca termesztősátorba, árapály (ebb &amp; flow) rendszer</t>
        </is>
      </c>
      <c r="G24" s="4" t="inlineStr">
        <is>
          <t>Kategórialeírás (természetes említés)</t>
        </is>
      </c>
    </row>
    <row r="25">
      <c r="A25" s="4" t="n">
        <v>19</v>
      </c>
      <c r="B25" s="4" t="inlineStr">
        <is>
          <t>vízgyűjtő tálca</t>
        </is>
      </c>
      <c r="C25" s="5" t="n">
        <v>20</v>
      </c>
      <c r="D25" s="4" t="inlineStr">
        <is>
          <t>Szoros</t>
        </is>
      </c>
      <c r="E25" s="4" t="inlineStr">
        <is>
          <t>Igen</t>
        </is>
      </c>
      <c r="F25" s="4" t="inlineStr">
        <is>
          <t>Gyűjtőtálca termesztősátorba, árapály (ebb &amp; flow) rendszer</t>
        </is>
      </c>
      <c r="G25" s="4" t="inlineStr">
        <is>
          <t>Kategórialeírás (természetes említés)</t>
        </is>
      </c>
    </row>
    <row r="26">
      <c r="A26" s="7" t="n">
        <v>20</v>
      </c>
      <c r="B26" s="7" t="inlineStr">
        <is>
          <t>csepegtető tálca műanyag</t>
        </is>
      </c>
      <c r="C26" s="8" t="n">
        <v>20</v>
      </c>
      <c r="D26" s="7" t="inlineStr">
        <is>
          <t>Laza</t>
        </is>
      </c>
      <c r="E26" s="7" t="inlineStr">
        <is>
          <t>Igen</t>
        </is>
      </c>
      <c r="F26" s="7" t="inlineStr">
        <is>
          <t>Gyűjtőtálca termesztősátorba, árapály (ebb &amp; flow) rendszer</t>
        </is>
      </c>
      <c r="G26" s="7" t="inlineStr">
        <is>
          <t>Kategórialeírás (természetes említés)</t>
        </is>
      </c>
    </row>
    <row r="27">
      <c r="A27" s="4" t="n">
        <v>21</v>
      </c>
      <c r="B27" s="4" t="inlineStr">
        <is>
          <t>kerti tálca</t>
        </is>
      </c>
      <c r="C27" s="5" t="n">
        <v>10</v>
      </c>
      <c r="D27" s="4" t="inlineStr">
        <is>
          <t>Szoros</t>
        </is>
      </c>
      <c r="E27" s="4" t="inlineStr">
        <is>
          <t>Igen</t>
        </is>
      </c>
      <c r="F27" s="4" t="inlineStr">
        <is>
          <t>Gyűjtőtálca termesztősátorba, árapály (ebb &amp; flow) rendszer</t>
        </is>
      </c>
      <c r="G27" s="4" t="inlineStr">
        <is>
          <t>Kategórialeírás (természetes említés)</t>
        </is>
      </c>
    </row>
    <row r="28">
      <c r="B28" s="10" t="inlineStr">
        <is>
          <t>Összesen (érdemes rá oldal = Igen):</t>
        </is>
      </c>
      <c r="C28" s="22">
        <f>SUMIFS(C7:C27,E7:E27,"Igen")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</cols>
  <sheetData>
    <row r="1">
      <c r="A1" s="1" t="inlineStr">
        <is>
          <t>Gyártó- és márkanevekre érkező keresések (a gyártó szerinti szűrő / alkategória kérdéséhez)</t>
        </is>
      </c>
    </row>
    <row r="3">
      <c r="A3" s="3" t="inlineStr">
        <is>
          <t>Kulcsszó</t>
        </is>
      </c>
      <c r="B3" s="3" t="inlineStr">
        <is>
          <t>Havi keresés</t>
        </is>
      </c>
    </row>
    <row r="4">
      <c r="A4" s="2" t="inlineStr">
        <is>
          <t>airpot</t>
        </is>
      </c>
      <c r="B4" s="2" t="n">
        <v>140</v>
      </c>
    </row>
    <row r="5">
      <c r="A5" s="2" t="inlineStr">
        <is>
          <t>air pot</t>
        </is>
      </c>
      <c r="B5" s="2" t="n">
        <v>90</v>
      </c>
    </row>
    <row r="6">
      <c r="A6" s="2" t="inlineStr">
        <is>
          <t>smart pot</t>
        </is>
      </c>
      <c r="B6" s="2" t="n">
        <v>20</v>
      </c>
    </row>
    <row r="7">
      <c r="A7" s="2" t="inlineStr">
        <is>
          <t>air pot 50l</t>
        </is>
      </c>
      <c r="B7" s="2" t="n">
        <v>10</v>
      </c>
    </row>
    <row r="8">
      <c r="A8" s="2" t="inlineStr">
        <is>
          <t>air pot hydro</t>
        </is>
      </c>
      <c r="B8" s="2" t="n">
        <v>10</v>
      </c>
    </row>
    <row r="9">
      <c r="A9" s="2" t="inlineStr">
        <is>
          <t>smarpot</t>
        </is>
      </c>
      <c r="B9" s="2" t="n">
        <v>10</v>
      </c>
    </row>
    <row r="10">
      <c r="A10" s="2" t="inlineStr">
        <is>
          <t>root pouch</t>
        </is>
      </c>
      <c r="B10" s="2" t="n">
        <v>10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2026-10-14T07:13:01Z</dcterms:created>
  <dcterms:modified xmlns:dcterms="http://purl.org/dc/terms/" xmlns:xsi="http://www.w3.org/2001/XMLSchema-instance" xsi:type="dcterms:W3CDTF">2026-10-14T07:13:01Z</dcterms:modified>
</cp:coreProperties>
</file>