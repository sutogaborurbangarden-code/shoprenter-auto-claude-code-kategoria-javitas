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sszefoglaló" sheetId="1" state="visible" r:id="rId1"/>
    <sheet xmlns:r="http://schemas.openxmlformats.org/officeDocument/2006/relationships" name="Kategóriaszerkezet-ajánlás" sheetId="2" state="visible" r:id="rId2"/>
    <sheet xmlns:r="http://schemas.openxmlformats.org/officeDocument/2006/relationships" name="Termékkínálat" sheetId="3" state="visible" r:id="rId3"/>
    <sheet xmlns:r="http://schemas.openxmlformats.org/officeDocument/2006/relationships" name="Bővítés – rokon területek" sheetId="4" state="visible" r:id="rId4"/>
    <sheet xmlns:r="http://schemas.openxmlformats.org/officeDocument/2006/relationships" name="Sandbox menünevek" sheetId="5" state="visible" r:id="rId5"/>
    <sheet xmlns:r="http://schemas.openxmlformats.org/officeDocument/2006/relationships" name="Összes kulcsszó" sheetId="6" state="visible" r:id="rId6"/>
    <sheet xmlns:r="http://schemas.openxmlformats.org/officeDocument/2006/relationships" name="1 Virágcserép" sheetId="7" state="visible" r:id="rId7"/>
    <sheet xmlns:r="http://schemas.openxmlformats.org/officeDocument/2006/relationships" name="2 Nagy virágcserép" sheetId="8" state="visible" r:id="rId8"/>
    <sheet xmlns:r="http://schemas.openxmlformats.org/officeDocument/2006/relationships" name="3 Szögletes cserép" sheetId="9" state="visible" r:id="rId9"/>
    <sheet xmlns:r="http://schemas.openxmlformats.org/officeDocument/2006/relationships" name="4 Air-Pot" sheetId="10" state="visible" r:id="rId10"/>
    <sheet xmlns:r="http://schemas.openxmlformats.org/officeDocument/2006/relationships" name="5 Szövetcserép" sheetId="11" state="visible" r:id="rId11"/>
    <sheet xmlns:r="http://schemas.openxmlformats.org/officeDocument/2006/relationships" name="6 Cserépalátét" sheetId="12" state="visible" r:id="rId12"/>
    <sheet xmlns:r="http://schemas.openxmlformats.org/officeDocument/2006/relationships" name="7 Tálca" sheetId="13" state="visible" r:id="rId13"/>
    <sheet xmlns:r="http://schemas.openxmlformats.org/officeDocument/2006/relationships" name="Gyártói kulcsszavak" sheetId="14" state="visible" r:id="rId14"/>
  </sheets>
  <definedNames>
    <definedName name="_xlnm._FilterDatabase" localSheetId="2" hidden="1">'Termékkínálat'!$A$7:$G$2006</definedName>
    <definedName name="_xlnm._FilterDatabase" localSheetId="5" hidden="1">'Összes kulcsszó'!$A$1:$I$119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2E7D32"/>
      <sz val="13"/>
    </font>
    <font>
      <sz val="10"/>
    </font>
    <font>
      <b val="1"/>
      <color rgb="FFFFFFFF"/>
      <sz val="10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FF2E7D32"/>
      </patternFill>
    </fill>
    <fill>
      <patternFill patternType="solid">
        <fgColor rgb="FFE8F5E9"/>
      </patternFill>
    </fill>
    <fill>
      <patternFill patternType="solid">
        <fgColor rgb="FFFDECEA"/>
      </patternFill>
    </fill>
    <fill>
      <patternFill patternType="solid">
        <fgColor rgb="FFFFF8E1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2" fillId="3" borderId="0" pivotButton="0" quotePrefix="0" xfId="0"/>
    <xf numFmtId="3" fontId="2" fillId="3" borderId="0" pivotButton="0" quotePrefix="0" xfId="0"/>
    <xf numFmtId="0" fontId="2" fillId="3" borderId="0" applyAlignment="1" pivotButton="0" quotePrefix="0" xfId="0">
      <alignment vertical="top" wrapText="1"/>
    </xf>
    <xf numFmtId="0" fontId="2" fillId="5" borderId="0" pivotButton="0" quotePrefix="0" xfId="0"/>
    <xf numFmtId="3" fontId="2" fillId="5" borderId="0" pivotButton="0" quotePrefix="0" xfId="0"/>
    <xf numFmtId="0" fontId="2" fillId="5" borderId="0" applyAlignment="1" pivotButton="0" quotePrefix="0" xfId="0">
      <alignment vertical="top" wrapText="1"/>
    </xf>
    <xf numFmtId="0" fontId="4" fillId="0" borderId="0" pivotButton="0" quotePrefix="0" xfId="0"/>
    <xf numFmtId="0" fontId="2" fillId="6" borderId="0" pivotButton="0" quotePrefix="0" xfId="0"/>
    <xf numFmtId="0" fontId="2" fillId="4" borderId="0" pivotButton="0" quotePrefix="0" xfId="0"/>
    <xf numFmtId="0" fontId="4" fillId="3" borderId="0" applyAlignment="1" pivotButton="0" quotePrefix="0" xfId="0">
      <alignment vertical="top" wrapText="1"/>
    </xf>
    <xf numFmtId="3" fontId="4" fillId="3" borderId="0" applyAlignment="1" pivotButton="0" quotePrefix="0" xfId="0">
      <alignment vertical="top" wrapText="1"/>
    </xf>
    <xf numFmtId="3" fontId="2" fillId="3" borderId="0" applyAlignment="1" pivotButton="0" quotePrefix="0" xfId="0">
      <alignment vertical="top" wrapText="1"/>
    </xf>
    <xf numFmtId="3" fontId="2" fillId="5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3" fontId="2" fillId="0" borderId="0" pivotButton="0" quotePrefix="0" xfId="0"/>
    <xf numFmtId="3" fontId="2" fillId="6" borderId="0" pivotButton="0" quotePrefix="0" xfId="0"/>
    <xf numFmtId="3" fontId="2" fillId="4" borderId="0" pivotButton="0" quotePrefix="0" xfId="0"/>
    <xf numFmtId="3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6" customWidth="1" min="3" max="3"/>
    <col width="22" customWidth="1" min="4" max="4"/>
    <col width="16" customWidth="1" min="5" max="5"/>
    <col width="18" customWidth="1" min="6" max="6"/>
    <col width="46" customWidth="1" min="7" max="7"/>
    <col width="60" customWidth="1" min="8" max="8"/>
  </cols>
  <sheetData>
    <row r="1">
      <c r="A1" s="1" t="inlineStr">
        <is>
          <t>babylon-grow.eu – Cserép, tálca főkategória kulcsszókutatás (Google Ads Kulcsszótervező, HU, magyar, 12 hó átlag)</t>
        </is>
      </c>
    </row>
    <row r="2">
      <c r="A2" s="2" t="inlineStr">
        <is>
          <t>Forrás: Babylon Adwords fiók (867-850-6485) Kulcsszótervező (Windsor.ai-on át), lekérdezve: 2026-10-12 és 2026-10-14. Hely: Magyarország, nyelv: magyar, hálózat: Google Keresés. A számok kerekített lépcsős havi átlagok.</t>
        </is>
      </c>
    </row>
    <row r="4" ht="30" customHeight="1">
      <c r="A4" s="3" t="inlineStr">
        <is>
          <t>Kategória (menünév)</t>
        </is>
      </c>
      <c r="B4" s="3" t="inlineStr">
        <is>
          <t>Fő kulcsszó</t>
        </is>
      </c>
      <c r="C4" s="3" t="inlineStr">
        <is>
          <t>Fő kulcsszó havi</t>
        </is>
      </c>
      <c r="D4" s="3" t="inlineStr">
        <is>
          <t>Klaszter összesen (érdemes = Igen)</t>
        </is>
      </c>
      <c r="E4" s="3" t="inlineStr">
        <is>
          <t>Kötődés a webshophoz</t>
        </is>
      </c>
      <c r="F4" s="3" t="inlineStr">
        <is>
          <t>Érdemes rá kategória?</t>
        </is>
      </c>
      <c r="G4" s="3" t="inlineStr">
        <is>
          <t>Felhasználási terület</t>
        </is>
      </c>
      <c r="H4" s="3" t="inlineStr">
        <is>
          <t>Javasolt hely az új fában</t>
        </is>
      </c>
    </row>
    <row r="5">
      <c r="A5" s="4" t="inlineStr">
        <is>
          <t>Virágcserép</t>
        </is>
      </c>
      <c r="B5" s="4" t="inlineStr">
        <is>
          <t>virágcserép</t>
        </is>
      </c>
      <c r="C5" s="5">
        <f>SUMIFS('Összes kulcsszó'!$E:$E,'Összes kulcsszó'!$A:$A,A5,'Összes kulcsszó'!$C:$C,B5)</f>
        <v/>
      </c>
      <c r="D5" s="5">
        <f>SUMIFS('Összes kulcsszó'!$E:$E,'Összes kulcsszó'!$A:$A,A5,'Összes kulcsszó'!$G:$G,"Igen")</f>
        <v/>
      </c>
      <c r="E5" s="4" t="inlineStr">
        <is>
          <t>Szoros</t>
        </is>
      </c>
      <c r="F5" s="4" t="inlineStr">
        <is>
          <t>Igen</t>
        </is>
      </c>
      <c r="G5" s="4" t="inlineStr">
        <is>
          <t>Termesztő cserép – műanyag, kerek, literes méretek</t>
        </is>
      </c>
      <c r="H5" s="6" t="inlineStr">
        <is>
          <t>2. szint – „Virágcserép” (sandbox-név marad); H1 / SEO title: „Műanyag virágcserép”; szűrők: térfogat (liter), átmérő, forma</t>
        </is>
      </c>
    </row>
    <row r="6">
      <c r="A6" s="4" t="inlineStr">
        <is>
          <t>Nagy virágcserép</t>
        </is>
      </c>
      <c r="B6" s="4" t="inlineStr">
        <is>
          <t>nagy virágcserép</t>
        </is>
      </c>
      <c r="C6" s="5">
        <f>SUMIFS('Összes kulcsszó'!$E:$E,'Összes kulcsszó'!$A:$A,A6,'Összes kulcsszó'!$C:$C,B6)</f>
        <v/>
      </c>
      <c r="D6" s="5">
        <f>SUMIFS('Összes kulcsszó'!$E:$E,'Összes kulcsszó'!$A:$A,A6,'Összes kulcsszó'!$G:$G,"Igen")</f>
        <v/>
      </c>
      <c r="E6" s="4" t="inlineStr">
        <is>
          <t>Szoros</t>
        </is>
      </c>
      <c r="F6" s="4" t="inlineStr">
        <is>
          <t>Igen</t>
        </is>
      </c>
      <c r="G6" s="4" t="inlineStr">
        <is>
          <t>Nagy térfogatú cserép – 20–100 literes termesztés, kültér</t>
        </is>
      </c>
      <c r="H6" s="6" t="inlineStr">
        <is>
          <t>3. szint a Virágcserép alatt – csak ha legalább 3–4 nagy (kb. 20 l feletti) cserép van a kínálatban; különben a Virágcserép másodlagos kulcsszava</t>
        </is>
      </c>
    </row>
    <row r="7">
      <c r="A7" s="4" t="inlineStr">
        <is>
          <t>Szögletes cserép</t>
        </is>
      </c>
      <c r="B7" s="4" t="inlineStr">
        <is>
          <t>szögletes virágcserép</t>
        </is>
      </c>
      <c r="C7" s="5">
        <f>SUMIFS('Összes kulcsszó'!$E:$E,'Összes kulcsszó'!$A:$A,A7,'Összes kulcsszó'!$C:$C,B7)</f>
        <v/>
      </c>
      <c r="D7" s="5">
        <f>SUMIFS('Összes kulcsszó'!$E:$E,'Összes kulcsszó'!$A:$A,A7,'Összes kulcsszó'!$G:$G,"Igen")</f>
        <v/>
      </c>
      <c r="E7" s="4" t="inlineStr">
        <is>
          <t>Szoros</t>
        </is>
      </c>
      <c r="F7" s="4" t="inlineStr">
        <is>
          <t>Igen</t>
        </is>
      </c>
      <c r="G7" s="4" t="inlineStr">
        <is>
          <t>Helytakarékos termesztés sátorban / polcon</t>
        </is>
      </c>
      <c r="H7" s="6" t="inlineStr">
        <is>
          <t>Szűrő a Virágcserép kategóriában (forma: kerek / szögletes) – önálló kategóriának kevés</t>
        </is>
      </c>
    </row>
    <row r="8">
      <c r="A8" s="4" t="inlineStr">
        <is>
          <t>Air-Pot cserép</t>
        </is>
      </c>
      <c r="B8" s="4" t="inlineStr">
        <is>
          <t>airpot</t>
        </is>
      </c>
      <c r="C8" s="5">
        <f>SUMIFS('Összes kulcsszó'!$E:$E,'Összes kulcsszó'!$A:$A,A8,'Összes kulcsszó'!$C:$C,B8)</f>
        <v/>
      </c>
      <c r="D8" s="5">
        <f>SUMIFS('Összes kulcsszó'!$E:$E,'Összes kulcsszó'!$A:$A,A8,'Összes kulcsszó'!$G:$G,"Igen")</f>
        <v/>
      </c>
      <c r="E8" s="4" t="inlineStr">
        <is>
          <t>Szoros</t>
        </is>
      </c>
      <c r="F8" s="4" t="inlineStr">
        <is>
          <t>Igen</t>
        </is>
      </c>
      <c r="G8" s="4" t="inlineStr">
        <is>
          <t>Gyökérlégzés, gyökérmetszés – termesztés konténerben</t>
        </is>
      </c>
      <c r="H8" s="6" t="inlineStr">
        <is>
          <t>2. szint – a „Speciális cserép, szövetcserép” helyett vagy alatta; a menünévben a márkanév legyen</t>
        </is>
      </c>
    </row>
    <row r="9">
      <c r="A9" s="4" t="inlineStr">
        <is>
          <t>Szövetcserép, ültetőzsák</t>
        </is>
      </c>
      <c r="B9" s="4" t="inlineStr">
        <is>
          <t>ültetőzsák</t>
        </is>
      </c>
      <c r="C9" s="5">
        <f>SUMIFS('Összes kulcsszó'!$E:$E,'Összes kulcsszó'!$A:$A,A9,'Összes kulcsszó'!$C:$C,B9)</f>
        <v/>
      </c>
      <c r="D9" s="5">
        <f>SUMIFS('Összes kulcsszó'!$E:$E,'Összes kulcsszó'!$A:$A,A9,'Összes kulcsszó'!$G:$G,"Igen")</f>
        <v/>
      </c>
      <c r="E9" s="4" t="inlineStr">
        <is>
          <t>Szoros</t>
        </is>
      </c>
      <c r="F9" s="4" t="inlineStr">
        <is>
          <t>Igen</t>
        </is>
      </c>
      <c r="G9" s="4" t="inlineStr">
        <is>
          <t>Szövet / textil / filc cserép, ültető- és termesztőzsák</t>
        </is>
      </c>
      <c r="H9" s="6" t="inlineStr">
        <is>
          <t>2. szint – a „Speciális cserép, szövetcserép” utódja; menünév: „Szövetcserép, ültetőzsák”</t>
        </is>
      </c>
    </row>
    <row r="10">
      <c r="A10" s="4" t="inlineStr">
        <is>
          <t>Cserépalátét</t>
        </is>
      </c>
      <c r="B10" s="4" t="inlineStr">
        <is>
          <t>cserépalátét</t>
        </is>
      </c>
      <c r="C10" s="5">
        <f>SUMIFS('Összes kulcsszó'!$E:$E,'Összes kulcsszó'!$A:$A,A10,'Összes kulcsszó'!$C:$C,B10)</f>
        <v/>
      </c>
      <c r="D10" s="5">
        <f>SUMIFS('Összes kulcsszó'!$E:$E,'Összes kulcsszó'!$A:$A,A10,'Összes kulcsszó'!$G:$G,"Igen")</f>
        <v/>
      </c>
      <c r="E10" s="4" t="inlineStr">
        <is>
          <t>Szoros</t>
        </is>
      </c>
      <c r="F10" s="4" t="inlineStr">
        <is>
          <t>Igen</t>
        </is>
      </c>
      <c r="G10" s="4" t="inlineStr">
        <is>
          <t>Cserép alá – vízfelfogás, gurulós alátét</t>
        </is>
      </c>
      <c r="H10" s="6" t="inlineStr">
        <is>
          <t>2. szint – a „Tálca, alátét” kettébontásával; az „alátét” szó önmagában csavaralátét</t>
        </is>
      </c>
    </row>
    <row r="11">
      <c r="A11" s="7" t="inlineStr">
        <is>
          <t>Műanyag tálca, árapály asztal</t>
        </is>
      </c>
      <c r="B11" s="7" t="inlineStr">
        <is>
          <t>nagyméretű műanyag tálca</t>
        </is>
      </c>
      <c r="C11" s="8">
        <f>SUMIFS('Összes kulcsszó'!$E:$E,'Összes kulcsszó'!$A:$A,A11,'Összes kulcsszó'!$C:$C,B11)</f>
        <v/>
      </c>
      <c r="D11" s="8">
        <f>SUMIFS('Összes kulcsszó'!$E:$E,'Összes kulcsszó'!$A:$A,A11,'Összes kulcsszó'!$G:$G,"Igen")</f>
        <v/>
      </c>
      <c r="E11" s="7" t="inlineStr">
        <is>
          <t>Laza</t>
        </is>
      </c>
      <c r="F11" s="7" t="inlineStr">
        <is>
          <t>Igen</t>
        </is>
      </c>
      <c r="G11" s="7" t="inlineStr">
        <is>
          <t>Gyűjtőtálca termesztősátorba, árapály (ebb &amp; flow) rendszer</t>
        </is>
      </c>
      <c r="H11" s="9" t="inlineStr">
        <is>
          <t>2. szint – a „Tálca, alátét” kettébontásával</t>
        </is>
      </c>
    </row>
    <row r="13">
      <c r="A13" s="10" t="inlineStr">
        <is>
          <t>Jelmagyarázat</t>
        </is>
      </c>
    </row>
    <row r="14">
      <c r="A14" s="4" t="inlineStr">
        <is>
          <t>Szoros kötődés · érdemes: Igen</t>
        </is>
      </c>
    </row>
    <row r="15">
      <c r="A15" s="7" t="inlineStr">
        <is>
          <t>Laza kötődés · érdemes: Igen</t>
        </is>
      </c>
    </row>
    <row r="16">
      <c r="A16" s="11" t="inlineStr">
        <is>
          <t>Laza kötődés · érdemes: Nem</t>
        </is>
      </c>
    </row>
    <row r="17">
      <c r="A17" s="12" t="inlineStr">
        <is>
          <t>Nincs (áruházi / nem vásárlási szándék) kötődés · érdemes: Nem – kizárandó</t>
        </is>
      </c>
    </row>
    <row r="19">
      <c r="A19" s="2" t="inlineStr">
        <is>
          <t>Termékek: 1999 termék a Google Shopping-feedből (2024-10 – 2026-10); ebből a cserép–tálca témájú termékek besorolva – a Termékkínálat lapon és a kategórialapok alján.</t>
        </is>
      </c>
    </row>
    <row r="20">
      <c r="A20" s="2" t="inlineStr">
        <is>
          <t>Megjegyzés: a klaszter-összeg átfedéseket tartalmazhat (pl. elírt és ékezet nélküli változatok, amelyeket a Google külön sorban is mutat).</t>
        </is>
      </c>
    </row>
    <row r="21">
      <c r="A21" s="2" t="inlineStr">
        <is>
          <t>Fő megállapítás: a virágcserép (2400) és a nagy virágcserép (480) viszi az ágat; a sandbox két gyűjtőnevére („Speciális cserép”, „Tálca, alátét”) nincs vagy félrevezető a keresés – javasolt a kettébontásuk (Kategóriaszerkezet-ajánlás lap).</t>
        </is>
      </c>
    </row>
    <row r="22">
      <c r="A22" s="2" t="inlineStr">
        <is>
          <t>Az éles oldal jelenlegi kategóriáit nem vettük figyelembe; a javaslat a sandbox-tervezetre és a kulcsszóadatra épül.</t>
        </is>
      </c>
    </row>
    <row r="23">
      <c r="A23" s="2" t="inlineStr">
        <is>
          <t>A „szaporító tálca” / „palántanevelő tálca” céloldala a Palántanevelő ág, a „mikrozöld tálca” a Mikrozöld termesztésé – itt csak említés.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26" customWidth="1" min="3" max="3"/>
    <col width="26" customWidth="1" min="4" max="4"/>
    <col width="12" customWidth="1" min="5" max="5"/>
    <col width="16" customWidth="1" min="6" max="6"/>
    <col width="20" customWidth="1" min="7" max="7"/>
    <col width="18" customWidth="1" min="8" max="8"/>
    <col width="22" customWidth="1" min="9" max="9"/>
    <col width="60" customWidth="1" min="10" max="10"/>
  </cols>
  <sheetData>
    <row r="1">
      <c r="A1" s="1" t="inlineStr">
        <is>
          <t>Kategóriaszerkezet-ajánlás – Cserép, tálca (termékkínálat + kulcsszóadat alapján)</t>
        </is>
      </c>
    </row>
    <row r="2">
      <c r="A2" s="2" t="inlineStr">
        <is>
          <t>Az éles oldal jelenlegi kategóriáit nem vettük figyelembe. Kiindulás: a sandbox-tervezet, a Google Shopping-feed termékei (1999 db) és a Kulcsszótervező adatai. Termékszám = elsődleges + másodlagos hozzárendelés.</t>
        </is>
      </c>
    </row>
    <row r="4" ht="30" customHeight="1">
      <c r="A4" s="3" t="inlineStr">
        <is>
          <t>Szint</t>
        </is>
      </c>
      <c r="B4" s="3" t="inlineStr">
        <is>
          <t>Javasolt kategórianév (menünév)</t>
        </is>
      </c>
      <c r="C4" s="3" t="inlineStr">
        <is>
          <t>Szülőkategória</t>
        </is>
      </c>
      <c r="D4" s="3" t="inlineStr">
        <is>
          <t>Fő kulcsszó</t>
        </is>
      </c>
      <c r="E4" s="3" t="inlineStr">
        <is>
          <t>Fő kulcsszó havi</t>
        </is>
      </c>
      <c r="F4" s="3" t="inlineStr">
        <is>
          <t>Klaszter összesen (érdemes = Igen)</t>
        </is>
      </c>
      <c r="G4" s="3" t="inlineStr">
        <is>
          <t>Kulcsszó-kötődés</t>
        </is>
      </c>
      <c r="H4" s="3" t="inlineStr">
        <is>
          <t>Termékek száma</t>
        </is>
      </c>
      <c r="I4" s="3" t="inlineStr">
        <is>
          <t>Típus</t>
        </is>
      </c>
      <c r="J4" s="3" t="inlineStr">
        <is>
          <t>Indoklás</t>
        </is>
      </c>
    </row>
    <row r="5">
      <c r="A5" s="13" t="n">
        <v>1</v>
      </c>
      <c r="B5" s="13" t="inlineStr">
        <is>
          <t>Cserép, tálca</t>
        </is>
      </c>
      <c r="C5" s="13" t="inlineStr">
        <is>
          <t>–</t>
        </is>
      </c>
      <c r="D5" s="13" t="inlineStr">
        <is>
          <t>virágcserép</t>
        </is>
      </c>
      <c r="E5" s="14" t="n">
        <v>2400</v>
      </c>
      <c r="F5" s="14" t="n"/>
      <c r="G5" s="13" t="inlineStr">
        <is>
          <t>Erősen kapcsolódik</t>
        </is>
      </c>
      <c r="H5" s="13" t="n">
        <v>142</v>
      </c>
      <c r="I5" s="13" t="inlineStr">
        <is>
          <t>Főkategória</t>
        </is>
      </c>
      <c r="J5" s="13" t="inlineStr">
        <is>
          <t>A főkategória-névre nincs saját keresés („cserép” = tetőcserép); a H1 a virágcserép / cserépalátét / tálca szavakra épüljön.</t>
        </is>
      </c>
    </row>
    <row r="6">
      <c r="A6" s="6" t="n">
        <v>2</v>
      </c>
      <c r="B6" s="6" t="inlineStr">
        <is>
          <t>Virágcserép</t>
        </is>
      </c>
      <c r="C6" s="6" t="inlineStr">
        <is>
          <t>Cserép, tálca</t>
        </is>
      </c>
      <c r="D6" s="6" t="inlineStr">
        <is>
          <t>virágcserép</t>
        </is>
      </c>
      <c r="E6" s="15" t="n">
        <v>2400</v>
      </c>
      <c r="F6" s="15">
        <f>SUMIFS('Összes kulcsszó'!$E:$E,'Összes kulcsszó'!$A:$A,"Virágcserép",'Összes kulcsszó'!$G:$G,"Igen")</f>
        <v/>
      </c>
      <c r="G6" s="6" t="inlineStr">
        <is>
          <t>Erősen kapcsolódik</t>
        </is>
      </c>
      <c r="H6" s="6" t="n">
        <v>57</v>
      </c>
      <c r="I6" s="6" t="inlineStr">
        <is>
          <t>Önálló kategória</t>
        </is>
      </c>
      <c r="J6" s="6" t="inlineStr">
        <is>
          <t>A főkategória legerősebb klasztere (virágcserép 2400, műanyag virágcserép 590, műanyag cserép 480). Térfogat (liter) és forma szűrővel.</t>
        </is>
      </c>
    </row>
    <row r="7">
      <c r="A7" s="6" t="n">
        <v>3</v>
      </c>
      <c r="B7" s="6" t="inlineStr">
        <is>
          <t>Nagy virágcserép</t>
        </is>
      </c>
      <c r="C7" s="6" t="inlineStr">
        <is>
          <t>Virágcserép</t>
        </is>
      </c>
      <c r="D7" s="6" t="inlineStr">
        <is>
          <t>nagy virágcserép</t>
        </is>
      </c>
      <c r="E7" s="15" t="n">
        <v>480</v>
      </c>
      <c r="F7" s="15">
        <f>SUMIFS('Összes kulcsszó'!$E:$E,'Összes kulcsszó'!$A:$A,"Nagy virágcserép",'Összes kulcsszó'!$G:$G,"Igen")</f>
        <v/>
      </c>
      <c r="G7" s="6" t="inlineStr">
        <is>
          <t>Erősen kapcsolódik</t>
        </is>
      </c>
      <c r="H7" s="6" t="n">
        <v>25</v>
      </c>
      <c r="I7" s="6" t="inlineStr">
        <is>
          <t>Önálló kategória</t>
        </is>
      </c>
      <c r="J7" s="6" t="inlineStr">
        <is>
          <t>Erős saját klaszter (480 + 320 + 260), és sok 20 literes feletti cserép / konténer van a kínálatban – önálló 3. szint.</t>
        </is>
      </c>
    </row>
    <row r="8">
      <c r="A8" s="6" t="n">
        <v>3</v>
      </c>
      <c r="B8" s="6" t="inlineStr">
        <is>
          <t>Szögletes cserép</t>
        </is>
      </c>
      <c r="C8" s="6" t="inlineStr">
        <is>
          <t>Virágcserép</t>
        </is>
      </c>
      <c r="D8" s="6" t="inlineStr">
        <is>
          <t>szögletes virágcserép</t>
        </is>
      </c>
      <c r="E8" s="15" t="n">
        <v>90</v>
      </c>
      <c r="F8" s="15">
        <f>SUMIFS('Összes kulcsszó'!$E:$E,'Összes kulcsszó'!$A:$A,"Szögletes cserép",'Összes kulcsszó'!$G:$G,"Igen")</f>
        <v/>
      </c>
      <c r="G8" s="6" t="inlineStr">
        <is>
          <t>Erősen kapcsolódik</t>
        </is>
      </c>
      <c r="H8" s="6" t="n">
        <v>24</v>
      </c>
      <c r="I8" s="6" t="inlineStr">
        <is>
          <t>Szűrő</t>
        </is>
      </c>
      <c r="J8" s="6" t="inlineStr">
        <is>
          <t>Kis keresési volumen (90 + 70 + 40), de sok szögletes termék van – forma-szűrő; ha a sandbox engedi, 3. szint is lehet.</t>
        </is>
      </c>
    </row>
    <row r="9">
      <c r="A9" s="6" t="n">
        <v>2</v>
      </c>
      <c r="B9" s="6" t="inlineStr">
        <is>
          <t>Air-Pot cserép</t>
        </is>
      </c>
      <c r="C9" s="6" t="inlineStr">
        <is>
          <t>Cserép, tálca</t>
        </is>
      </c>
      <c r="D9" s="6" t="inlineStr">
        <is>
          <t>airpot</t>
        </is>
      </c>
      <c r="E9" s="15" t="n">
        <v>140</v>
      </c>
      <c r="F9" s="15">
        <f>SUMIFS('Összes kulcsszó'!$E:$E,'Összes kulcsszó'!$A:$A,"Air-Pot cserép",'Összes kulcsszó'!$G:$G,"Igen")</f>
        <v/>
      </c>
      <c r="G9" s="6" t="inlineStr">
        <is>
          <t>Erősen kapcsolódik</t>
        </is>
      </c>
      <c r="H9" s="6" t="n">
        <v>13</v>
      </c>
      <c r="I9" s="6" t="inlineStr">
        <is>
          <t>Önálló kategória</t>
        </is>
      </c>
      <c r="J9" s="6" t="inlineStr">
        <is>
          <t>A sandbox „Speciális cserép” helyett: a márkanévre van keresés (airpot 140, air pot 90), a „légmetsző cserép”-re nincs.</t>
        </is>
      </c>
    </row>
    <row r="10">
      <c r="A10" s="6" t="n">
        <v>2</v>
      </c>
      <c r="B10" s="6" t="inlineStr">
        <is>
          <t>Szövetcserép, ültetőzsák</t>
        </is>
      </c>
      <c r="C10" s="6" t="inlineStr">
        <is>
          <t>Cserép, tálca</t>
        </is>
      </c>
      <c r="D10" s="6" t="inlineStr">
        <is>
          <t>ültetőzsák</t>
        </is>
      </c>
      <c r="E10" s="15" t="n">
        <v>90</v>
      </c>
      <c r="F10" s="15">
        <f>SUMIFS('Összes kulcsszó'!$E:$E,'Összes kulcsszó'!$A:$A,"Szövetcserép, ültetőzsák",'Összes kulcsszó'!$G:$G,"Igen")</f>
        <v/>
      </c>
      <c r="G10" s="6" t="inlineStr">
        <is>
          <t>Erősen kapcsolódik</t>
        </is>
      </c>
      <c r="H10" s="6" t="n">
        <v>28</v>
      </c>
      <c r="I10" s="6" t="inlineStr">
        <is>
          <t>Önálló kategória</t>
        </is>
      </c>
      <c r="J10" s="6" t="inlineStr">
        <is>
          <t>Az „ültetőzsák” (90 + 50) viszi; a szövet / textil cserép, smart pot, grow bag egyenként 20.</t>
        </is>
      </c>
    </row>
    <row r="11">
      <c r="A11" s="6" t="n">
        <v>2</v>
      </c>
      <c r="B11" s="6" t="inlineStr">
        <is>
          <t>Cserépalátét</t>
        </is>
      </c>
      <c r="C11" s="6" t="inlineStr">
        <is>
          <t>Cserép, tálca</t>
        </is>
      </c>
      <c r="D11" s="6" t="inlineStr">
        <is>
          <t>cserépalátét</t>
        </is>
      </c>
      <c r="E11" s="15" t="n">
        <v>260</v>
      </c>
      <c r="F11" s="15">
        <f>SUMIFS('Összes kulcsszó'!$E:$E,'Összes kulcsszó'!$A:$A,"Cserépalátét",'Összes kulcsszó'!$G:$G,"Igen")</f>
        <v/>
      </c>
      <c r="G11" s="6" t="inlineStr">
        <is>
          <t>Erősen kapcsolódik</t>
        </is>
      </c>
      <c r="H11" s="6" t="n">
        <v>40</v>
      </c>
      <c r="I11" s="6" t="inlineStr">
        <is>
          <t>Önálló kategória</t>
        </is>
      </c>
      <c r="J11" s="6" t="inlineStr">
        <is>
          <t>A sandbox „Tálca, alátét” kettébontása: a cserépalátét-klaszter önmagában erős (260 + 260 + 140 + 140 + 110).</t>
        </is>
      </c>
    </row>
    <row r="12">
      <c r="A12" s="9" t="n">
        <v>2</v>
      </c>
      <c r="B12" s="9" t="inlineStr">
        <is>
          <t>Műanyag tálca, árapály asztal</t>
        </is>
      </c>
      <c r="C12" s="9" t="inlineStr">
        <is>
          <t>Cserép, tálca</t>
        </is>
      </c>
      <c r="D12" s="9" t="inlineStr">
        <is>
          <t>nagyméretű műanyag tálca</t>
        </is>
      </c>
      <c r="E12" s="16" t="n">
        <v>140</v>
      </c>
      <c r="F12" s="16">
        <f>SUMIFS('Összes kulcsszó'!$E:$E,'Összes kulcsszó'!$A:$A,"Műanyag tálca, árapály asztal",'Összes kulcsszó'!$G:$G,"Igen")</f>
        <v/>
      </c>
      <c r="G12" s="9" t="inlineStr">
        <is>
          <t>Lazán kapcsolódik</t>
        </is>
      </c>
      <c r="H12" s="9" t="n">
        <v>36</v>
      </c>
      <c r="I12" s="9" t="inlineStr">
        <is>
          <t>Önálló kategória</t>
        </is>
      </c>
      <c r="J12" s="9" t="inlineStr">
        <is>
          <t>Gyűjtőtálca sátorba és árapály rendszer (ebb and flow 70, árapály asztal 50). A „gyűjtőtálca” névre nincs keresés.</t>
        </is>
      </c>
    </row>
    <row r="14">
      <c r="A14" s="10" t="inlineStr">
        <is>
          <t>Ami NE legyen önálló kategória</t>
        </is>
      </c>
    </row>
    <row r="15">
      <c r="A15" s="3" t="inlineStr">
        <is>
          <t>Téma</t>
        </is>
      </c>
      <c r="B15" s="3" t="inlineStr">
        <is>
          <t>Kulcsszó</t>
        </is>
      </c>
      <c r="C15" s="3" t="inlineStr">
        <is>
          <t>Havi keresés</t>
        </is>
      </c>
      <c r="D15" s="3" t="inlineStr">
        <is>
          <t>Javaslat</t>
        </is>
      </c>
    </row>
    <row r="16">
      <c r="A16" s="17" t="inlineStr">
        <is>
          <t>Speciális cserép (sandbox-név)</t>
        </is>
      </c>
      <c r="B16" s="17" t="inlineStr">
        <is>
          <t>szövetcserép</t>
        </is>
      </c>
      <c r="C16" s="18" t="n">
        <v>10</v>
      </c>
      <c r="D16" s="17" t="inlineStr">
        <is>
          <t>A „speciális cserép” névre nincs mérhető keresés – helyette Air-Pot és Szövetcserép, ültetőzsák.</t>
        </is>
      </c>
    </row>
    <row r="17">
      <c r="A17" s="17" t="inlineStr">
        <is>
          <t>Literes méretek</t>
        </is>
      </c>
      <c r="B17" s="17" t="inlineStr">
        <is>
          <t>20 literes cserép</t>
        </is>
      </c>
      <c r="C17" s="18" t="n">
        <v>50</v>
      </c>
      <c r="D17" s="17" t="inlineStr">
        <is>
          <t>Szűrő (térfogat) a Virágcserép kategóriában, nem kategória.</t>
        </is>
      </c>
    </row>
    <row r="18">
      <c r="A18" s="17" t="inlineStr">
        <is>
          <t>Szaporító / palántanevelő tálca</t>
        </is>
      </c>
      <c r="B18" s="17" t="inlineStr">
        <is>
          <t>szaporító tálca</t>
        </is>
      </c>
      <c r="C18" s="18" t="n">
        <v>320</v>
      </c>
      <c r="D18" s="17" t="inlineStr">
        <is>
          <t>A Palántanevelő / mini üvegház ág céloldala – itt csak említés (kannibalizáció).</t>
        </is>
      </c>
    </row>
    <row r="19">
      <c r="A19" s="17" t="inlineStr">
        <is>
          <t>Mikrozöld tálca</t>
        </is>
      </c>
      <c r="B19" s="17" t="inlineStr">
        <is>
          <t>mikrozöld tálca</t>
        </is>
      </c>
      <c r="C19" s="18" t="n">
        <v>70</v>
      </c>
      <c r="D19" s="17" t="inlineStr">
        <is>
          <t>A Mikrozöld termesztés főkategóriáé.</t>
        </is>
      </c>
    </row>
    <row r="20">
      <c r="A20" s="17" t="inlineStr">
        <is>
          <t>Csepptálca, kármentő</t>
        </is>
      </c>
      <c r="B20" s="17" t="inlineStr">
        <is>
          <t>kármentő tálca</t>
        </is>
      </c>
      <c r="C20" s="18" t="n">
        <v>480</v>
      </c>
      <c r="D20" s="17" t="inlineStr">
        <is>
          <t>Klíma / ipari keresés – nem célozni.</t>
        </is>
      </c>
    </row>
    <row r="21">
      <c r="A21" s="17" t="inlineStr">
        <is>
          <t>Önöntöző cserép</t>
        </is>
      </c>
      <c r="B21" s="17" t="inlineStr">
        <is>
          <t>önöntöző cserép</t>
        </is>
      </c>
      <c r="C21" s="18" t="n">
        <v>90</v>
      </c>
      <c r="D21" s="17" t="inlineStr">
        <is>
          <t>Van keresés (90), de nincs ilyen termék – csak kínálatbővítés esetén.</t>
        </is>
      </c>
    </row>
    <row r="22">
      <c r="A22" s="17" t="inlineStr">
        <is>
          <t>Palántázó kiscserép (4–12 cm), tőzegcserép</t>
        </is>
      </c>
      <c r="B22" s="17" t="inlineStr">
        <is>
          <t>palántanevelő cserép</t>
        </is>
      </c>
      <c r="C22" s="18" t="n">
        <v>140</v>
      </c>
      <c r="D22" s="17" t="inlineStr">
        <is>
          <t>A Palántanevelő ág kategóriája – itt legfeljebb másodlagos hozzárendelés.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0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3" customWidth="1" min="1" max="1"/>
    <col width="62" customWidth="1" min="2" max="2"/>
    <col width="32" customWidth="1" min="3" max="3"/>
    <col width="34" customWidth="1" min="4" max="4"/>
    <col width="16" customWidth="1" min="5" max="5"/>
    <col width="26" customWidth="1" min="6" max="6"/>
    <col width="44" customWidth="1" min="7" max="7"/>
  </cols>
  <sheetData>
    <row r="1">
      <c r="A1" s="1" t="inlineStr">
        <is>
          <t>Termékkínálat – termék–kategória hozzárendelés</t>
        </is>
      </c>
    </row>
    <row r="2">
      <c r="A2" s="2" t="inlineStr">
        <is>
          <t>Forrás: a Babylon Google Ads fiók Shopping-termékadatai (termékkód = Shopping item ID, terméknév = feed-cím), 2024-10-01 – 2026-10-14, összesen 1999 termék. A Shoprenter API és az éles oldal a felhőből továbbra sem érhető el.</t>
        </is>
      </c>
    </row>
    <row r="3">
      <c r="A3" s="2" t="inlineStr">
        <is>
          <t>Figyelem: ez a Google-ben hirdetett termékkör, nem feltétlenül a teljes katalógus – a feedből kimaradt vagy soha nem hirdetett termékek itt nem szerepelnek. A gyártó és a gyűjtőtermék (GYUJTO…) adat a feedben nem érhető el.</t>
        </is>
      </c>
    </row>
    <row r="4">
      <c r="A4" s="2" t="inlineStr">
        <is>
          <t>A „Más főkategória” sorok cserép / tálca jellegű termékek, amelyeknek a helye egy másik főkategóriában van (Palántanevelő, Mikrozöld, Hidro, Közegek, Esővízgyűjtő).</t>
        </is>
      </c>
    </row>
    <row r="5">
      <c r="A5" s="2" t="inlineStr">
        <is>
          <t>A lapon a teljes termékkínálat szerepel (1999 termék): elöl a Cserép, tálca kategóriákba sorolt termékek (Erős, Laza), majd a más főkategóriába való cserép- / tálcajellegű termékek, végül „Nem tartozik ide” jelöléssel az összes többi. Az Illeszkedés oszlopra szűrve csak a besoroltak láthatók.</t>
        </is>
      </c>
    </row>
    <row r="7">
      <c r="A7" s="3" t="inlineStr">
        <is>
          <t>Termékkód</t>
        </is>
      </c>
      <c r="B7" s="3" t="inlineStr">
        <is>
          <t>Terméknév</t>
        </is>
      </c>
      <c r="C7" s="3" t="inlineStr">
        <is>
          <t>Elsődleges javasolt kategória</t>
        </is>
      </c>
      <c r="D7" s="3" t="inlineStr">
        <is>
          <t>További kategóriák</t>
        </is>
      </c>
      <c r="E7" s="3" t="inlineStr">
        <is>
          <t>Illeszkedés</t>
        </is>
      </c>
      <c r="F7" s="3" t="inlineStr">
        <is>
          <t>Utoljára a Google Shopping-feedben</t>
        </is>
      </c>
      <c r="G7" s="3" t="inlineStr">
        <is>
          <t>Megjegyzés</t>
        </is>
      </c>
    </row>
    <row r="8">
      <c r="A8" s="6" t="inlineStr">
        <is>
          <t>GRO1890</t>
        </is>
      </c>
      <c r="B8" s="6" t="inlineStr">
        <is>
          <t>Air-Pot klón 1 literes perforált, légáteresztő műanyag edény erős gyökérzethez</t>
        </is>
      </c>
      <c r="C8" s="6" t="inlineStr">
        <is>
          <t>Air-Pot cserép</t>
        </is>
      </c>
      <c r="D8" s="6" t="inlineStr"/>
      <c r="E8" s="6" t="inlineStr">
        <is>
          <t>Erős</t>
        </is>
      </c>
      <c r="F8" s="6" t="inlineStr">
        <is>
          <t>az elmúlt 30 napban</t>
        </is>
      </c>
      <c r="G8" s="6" t="inlineStr">
        <is>
          <t>Air-Pot (klón) perforált cserép</t>
        </is>
      </c>
    </row>
    <row r="9">
      <c r="A9" s="6" t="inlineStr">
        <is>
          <t>GRO1891</t>
        </is>
      </c>
      <c r="B9" s="6" t="inlineStr">
        <is>
          <t>Air-Pot klón 3 literes perforált, légáteresztő műanyag edény erős gyökérzethez</t>
        </is>
      </c>
      <c r="C9" s="6" t="inlineStr">
        <is>
          <t>Air-Pot cserép</t>
        </is>
      </c>
      <c r="D9" s="6" t="inlineStr"/>
      <c r="E9" s="6" t="inlineStr">
        <is>
          <t>Erős</t>
        </is>
      </c>
      <c r="F9" s="6" t="inlineStr">
        <is>
          <t>az elmúlt 30 napban</t>
        </is>
      </c>
      <c r="G9" s="6" t="inlineStr">
        <is>
          <t>Air-Pot (klón) perforált cserép</t>
        </is>
      </c>
    </row>
    <row r="10">
      <c r="A10" s="6" t="inlineStr">
        <is>
          <t>GRO1892</t>
        </is>
      </c>
      <c r="B10" s="6" t="inlineStr">
        <is>
          <t>Air-Pot klón 6 literes perforált, légáteresztő műanyag edény erős gyökérzethez</t>
        </is>
      </c>
      <c r="C10" s="6" t="inlineStr">
        <is>
          <t>Air-Pot cserép</t>
        </is>
      </c>
      <c r="D10" s="6" t="inlineStr"/>
      <c r="E10" s="6" t="inlineStr">
        <is>
          <t>Erős</t>
        </is>
      </c>
      <c r="F10" s="6" t="inlineStr">
        <is>
          <t>az elmúlt 30 napban</t>
        </is>
      </c>
      <c r="G10" s="6" t="inlineStr">
        <is>
          <t>Air-Pot (klón) perforált cserép</t>
        </is>
      </c>
    </row>
    <row r="11">
      <c r="A11" s="6" t="inlineStr">
        <is>
          <t>GRO1893</t>
        </is>
      </c>
      <c r="B11" s="6" t="inlineStr">
        <is>
          <t>Air-Pot klón 10 literes perforált, légáteresztő műanyag edény erős gyökérzethez</t>
        </is>
      </c>
      <c r="C11" s="6" t="inlineStr">
        <is>
          <t>Air-Pot cserép</t>
        </is>
      </c>
      <c r="D11" s="6" t="inlineStr"/>
      <c r="E11" s="6" t="inlineStr">
        <is>
          <t>Erős</t>
        </is>
      </c>
      <c r="F11" s="6" t="inlineStr">
        <is>
          <t>az elmúlt 30 napban</t>
        </is>
      </c>
      <c r="G11" s="6" t="inlineStr">
        <is>
          <t>Air-Pot (klón) perforált cserép</t>
        </is>
      </c>
    </row>
    <row r="12">
      <c r="A12" s="6" t="inlineStr">
        <is>
          <t>GRO1894</t>
        </is>
      </c>
      <c r="B12" s="6" t="inlineStr">
        <is>
          <t>Air-Pot klón 15 literes perforált, légáteresztő műanyag edény erős gyökérzethez</t>
        </is>
      </c>
      <c r="C12" s="6" t="inlineStr">
        <is>
          <t>Air-Pot cserép</t>
        </is>
      </c>
      <c r="D12" s="6" t="inlineStr"/>
      <c r="E12" s="6" t="inlineStr">
        <is>
          <t>Erős</t>
        </is>
      </c>
      <c r="F12" s="6" t="inlineStr">
        <is>
          <t>az elmúlt 30 napban</t>
        </is>
      </c>
      <c r="G12" s="6" t="inlineStr">
        <is>
          <t>Air-Pot (klón) perforált cserép</t>
        </is>
      </c>
    </row>
    <row r="13">
      <c r="A13" s="6" t="inlineStr">
        <is>
          <t>GRO1895</t>
        </is>
      </c>
      <c r="B13" s="6" t="inlineStr">
        <is>
          <t>Air-Pot klón 25 literes perforált, légáteresztő műanyag edény erős gyökérzethez</t>
        </is>
      </c>
      <c r="C13" s="6" t="inlineStr">
        <is>
          <t>Air-Pot cserép</t>
        </is>
      </c>
      <c r="D13" s="6" t="inlineStr"/>
      <c r="E13" s="6" t="inlineStr">
        <is>
          <t>Erős</t>
        </is>
      </c>
      <c r="F13" s="6" t="inlineStr">
        <is>
          <t>az elmúlt 30 napban</t>
        </is>
      </c>
      <c r="G13" s="6" t="inlineStr">
        <is>
          <t>Air-Pot (klón) perforált cserép</t>
        </is>
      </c>
    </row>
    <row r="14">
      <c r="A14" s="6" t="inlineStr">
        <is>
          <t>GRO2571</t>
        </is>
      </c>
      <c r="B14" s="6" t="inlineStr">
        <is>
          <t>Air-Pot klón 50 literes perforált, légáteresztő műanyag edény erős gyökérzethez</t>
        </is>
      </c>
      <c r="C14" s="6" t="inlineStr">
        <is>
          <t>Air-Pot cserép</t>
        </is>
      </c>
      <c r="D14" s="6" t="inlineStr">
        <is>
          <t>Nagy virágcserép</t>
        </is>
      </c>
      <c r="E14" s="6" t="inlineStr">
        <is>
          <t>Erős</t>
        </is>
      </c>
      <c r="F14" s="6" t="inlineStr">
        <is>
          <t>az elmúlt 30 napban</t>
        </is>
      </c>
      <c r="G14" s="6" t="inlineStr">
        <is>
          <t>Air-Pot klón 50 l</t>
        </is>
      </c>
    </row>
    <row r="15">
      <c r="A15" s="6" t="inlineStr">
        <is>
          <t>GRO3346</t>
        </is>
      </c>
      <c r="B15" s="6" t="inlineStr">
        <is>
          <t>Air-pot cserép 3 liter</t>
        </is>
      </c>
      <c r="C15" s="6" t="inlineStr">
        <is>
          <t>Air-Pot cserép</t>
        </is>
      </c>
      <c r="D15" s="6" t="inlineStr"/>
      <c r="E15" s="6" t="inlineStr">
        <is>
          <t>Erős</t>
        </is>
      </c>
      <c r="F15" s="6" t="inlineStr">
        <is>
          <t>az elmúlt 30 napban</t>
        </is>
      </c>
      <c r="G15" s="6" t="inlineStr">
        <is>
          <t>Air-Pot (klón) perforált cserép</t>
        </is>
      </c>
    </row>
    <row r="16">
      <c r="A16" s="6" t="inlineStr">
        <is>
          <t>GRO3525</t>
        </is>
      </c>
      <c r="B16" s="6" t="inlineStr">
        <is>
          <t>Air-pot cserép 5 liter</t>
        </is>
      </c>
      <c r="C16" s="6" t="inlineStr">
        <is>
          <t>Air-Pot cserép</t>
        </is>
      </c>
      <c r="D16" s="6" t="inlineStr"/>
      <c r="E16" s="6" t="inlineStr">
        <is>
          <t>Erős</t>
        </is>
      </c>
      <c r="F16" s="6" t="inlineStr">
        <is>
          <t>az elmúlt 30 napban</t>
        </is>
      </c>
      <c r="G16" s="6" t="inlineStr">
        <is>
          <t>Air-Pot (klón) perforált cserép</t>
        </is>
      </c>
    </row>
    <row r="17">
      <c r="A17" s="6" t="inlineStr">
        <is>
          <t>GRO3526</t>
        </is>
      </c>
      <c r="B17" s="6" t="inlineStr">
        <is>
          <t>Air-pot cserép 9 liter</t>
        </is>
      </c>
      <c r="C17" s="6" t="inlineStr">
        <is>
          <t>Air-Pot cserép</t>
        </is>
      </c>
      <c r="D17" s="6" t="inlineStr"/>
      <c r="E17" s="6" t="inlineStr">
        <is>
          <t>Erős</t>
        </is>
      </c>
      <c r="F17" s="6" t="inlineStr">
        <is>
          <t>az elmúlt 30 napban</t>
        </is>
      </c>
      <c r="G17" s="6" t="inlineStr">
        <is>
          <t>Air-Pot (klón) perforált cserép</t>
        </is>
      </c>
    </row>
    <row r="18">
      <c r="A18" s="6" t="inlineStr">
        <is>
          <t>GRO1049</t>
        </is>
      </c>
      <c r="B18" s="6" t="inlineStr">
        <is>
          <t>Szögletes műanyag virágcserép alátét 16 x 16 cm</t>
        </is>
      </c>
      <c r="C18" s="6" t="inlineStr">
        <is>
          <t>Cserépalátét</t>
        </is>
      </c>
      <c r="D18" s="6" t="inlineStr"/>
      <c r="E18" s="6" t="inlineStr">
        <is>
          <t>Erős</t>
        </is>
      </c>
      <c r="F18" s="6" t="inlineStr">
        <is>
          <t>az elmúlt 30 napban</t>
        </is>
      </c>
      <c r="G18" s="6" t="inlineStr">
        <is>
          <t>Szögletes cserépalátét</t>
        </is>
      </c>
    </row>
    <row r="19">
      <c r="A19" s="6" t="inlineStr">
        <is>
          <t>GRO1184</t>
        </is>
      </c>
      <c r="B19" s="6" t="inlineStr">
        <is>
          <t>Szögletes műanyag virágcserép alátét 13,5 x 13,5 cm</t>
        </is>
      </c>
      <c r="C19" s="6" t="inlineStr">
        <is>
          <t>Cserépalátét</t>
        </is>
      </c>
      <c r="D19" s="6" t="inlineStr"/>
      <c r="E19" s="6" t="inlineStr">
        <is>
          <t>Erős</t>
        </is>
      </c>
      <c r="F19" s="6" t="inlineStr">
        <is>
          <t>az elmúlt 30 napban</t>
        </is>
      </c>
      <c r="G19" s="6" t="inlineStr">
        <is>
          <t>Szögletes cserépalátét</t>
        </is>
      </c>
    </row>
    <row r="20">
      <c r="A20" s="6" t="inlineStr">
        <is>
          <t>GRO1185</t>
        </is>
      </c>
      <c r="B20" s="6" t="inlineStr">
        <is>
          <t>Szögletes műanyag virágcserép alátét 14 x 14 cm</t>
        </is>
      </c>
      <c r="C20" s="6" t="inlineStr">
        <is>
          <t>Cserépalátét</t>
        </is>
      </c>
      <c r="D20" s="6" t="inlineStr"/>
      <c r="E20" s="6" t="inlineStr">
        <is>
          <t>Erős</t>
        </is>
      </c>
      <c r="F20" s="6" t="inlineStr">
        <is>
          <t>az elmúlt 30 napban</t>
        </is>
      </c>
      <c r="G20" s="6" t="inlineStr">
        <is>
          <t>Szögletes cserépalátét</t>
        </is>
      </c>
    </row>
    <row r="21">
      <c r="A21" s="6" t="inlineStr">
        <is>
          <t>GRO1190</t>
        </is>
      </c>
      <c r="B21" s="6" t="inlineStr">
        <is>
          <t>Szögletes műanyag virágcserép alátét 24 x 24 cm</t>
        </is>
      </c>
      <c r="C21" s="6" t="inlineStr">
        <is>
          <t>Cserépalátét</t>
        </is>
      </c>
      <c r="D21" s="6" t="inlineStr"/>
      <c r="E21" s="6" t="inlineStr">
        <is>
          <t>Erős</t>
        </is>
      </c>
      <c r="F21" s="6" t="inlineStr">
        <is>
          <t>az elmúlt 30 napban</t>
        </is>
      </c>
      <c r="G21" s="6" t="inlineStr">
        <is>
          <t>Szögletes cserépalátét</t>
        </is>
      </c>
    </row>
    <row r="22">
      <c r="A22" s="6" t="inlineStr">
        <is>
          <t>GRO1262</t>
        </is>
      </c>
      <c r="B22" s="6" t="inlineStr">
        <is>
          <t>Szögletes műanyag virágcserép alátét 25 x 25 cm</t>
        </is>
      </c>
      <c r="C22" s="6" t="inlineStr">
        <is>
          <t>Cserépalátét</t>
        </is>
      </c>
      <c r="D22" s="6" t="inlineStr"/>
      <c r="E22" s="6" t="inlineStr">
        <is>
          <t>Erős</t>
        </is>
      </c>
      <c r="F22" s="6" t="inlineStr">
        <is>
          <t>az elmúlt 30 napban</t>
        </is>
      </c>
      <c r="G22" s="6" t="inlineStr">
        <is>
          <t>Szögletes cserépalátét</t>
        </is>
      </c>
    </row>
    <row r="23">
      <c r="A23" s="6" t="inlineStr">
        <is>
          <t>GRO1813</t>
        </is>
      </c>
      <c r="B23" s="6" t="inlineStr">
        <is>
          <t>Szögletes műanyag virágcserép alátét 10,5 x 10,5 cm</t>
        </is>
      </c>
      <c r="C23" s="6" t="inlineStr">
        <is>
          <t>Cserépalátét</t>
        </is>
      </c>
      <c r="D23" s="6" t="inlineStr"/>
      <c r="E23" s="6" t="inlineStr">
        <is>
          <t>Erős</t>
        </is>
      </c>
      <c r="F23" s="6" t="inlineStr">
        <is>
          <t>az elmúlt 30 napban</t>
        </is>
      </c>
      <c r="G23" s="6" t="inlineStr">
        <is>
          <t>Szögletes cserépalátét</t>
        </is>
      </c>
    </row>
    <row r="24">
      <c r="A24" s="6" t="inlineStr">
        <is>
          <t>GRO1814</t>
        </is>
      </c>
      <c r="B24" s="6" t="inlineStr">
        <is>
          <t>Szögletes műanyag virágcserép alátét 19.5x19.5</t>
        </is>
      </c>
      <c r="C24" s="6" t="inlineStr">
        <is>
          <t>Cserépalátét</t>
        </is>
      </c>
      <c r="D24" s="6" t="inlineStr"/>
      <c r="E24" s="6" t="inlineStr">
        <is>
          <t>Erős</t>
        </is>
      </c>
      <c r="F24" s="6" t="inlineStr">
        <is>
          <t>az elmúlt 30 napban</t>
        </is>
      </c>
      <c r="G24" s="6" t="inlineStr">
        <is>
          <t>Szögletes cserépalátét</t>
        </is>
      </c>
    </row>
    <row r="25">
      <c r="A25" s="6" t="inlineStr">
        <is>
          <t>GRO2105</t>
        </is>
      </c>
      <c r="B25" s="6" t="inlineStr">
        <is>
          <t>Szögletes műanyag virágcserép alátét 17.5x17.5</t>
        </is>
      </c>
      <c r="C25" s="6" t="inlineStr">
        <is>
          <t>Cserépalátét</t>
        </is>
      </c>
      <c r="D25" s="6" t="inlineStr"/>
      <c r="E25" s="6" t="inlineStr">
        <is>
          <t>Erős</t>
        </is>
      </c>
      <c r="F25" s="6" t="inlineStr">
        <is>
          <t>az elmúlt 6 hónapban</t>
        </is>
      </c>
      <c r="G25" s="6" t="inlineStr">
        <is>
          <t>Szögletes cserépalátét</t>
        </is>
      </c>
    </row>
    <row r="26">
      <c r="A26" s="6" t="inlineStr">
        <is>
          <t>GRO2106</t>
        </is>
      </c>
      <c r="B26" s="6" t="inlineStr">
        <is>
          <t>Szögletes műanyag virágcserép alátét 20,5 x 20,5 cm</t>
        </is>
      </c>
      <c r="C26" s="6" t="inlineStr">
        <is>
          <t>Cserépalátét</t>
        </is>
      </c>
      <c r="D26" s="6" t="inlineStr"/>
      <c r="E26" s="6" t="inlineStr">
        <is>
          <t>Erős</t>
        </is>
      </c>
      <c r="F26" s="6" t="inlineStr">
        <is>
          <t>az elmúlt 30 napban</t>
        </is>
      </c>
      <c r="G26" s="6" t="inlineStr">
        <is>
          <t>Szögletes cserépalátét</t>
        </is>
      </c>
    </row>
    <row r="27">
      <c r="A27" s="6" t="inlineStr">
        <is>
          <t>GRO3717</t>
        </is>
      </c>
      <c r="B27" s="6" t="inlineStr">
        <is>
          <t>Kerek műanyag virágcserép alátét</t>
        </is>
      </c>
      <c r="C27" s="6" t="inlineStr">
        <is>
          <t>Cserépalátét</t>
        </is>
      </c>
      <c r="D27" s="6" t="inlineStr"/>
      <c r="E27" s="6" t="inlineStr">
        <is>
          <t>Erős</t>
        </is>
      </c>
      <c r="F27" s="6" t="inlineStr">
        <is>
          <t>az elmúlt 30 napban</t>
        </is>
      </c>
      <c r="G27" s="6" t="inlineStr">
        <is>
          <t>Kerek cserépalátét</t>
        </is>
      </c>
    </row>
    <row r="28">
      <c r="A28" s="6" t="inlineStr">
        <is>
          <t>GRO4408</t>
        </is>
      </c>
      <c r="B28" s="6" t="inlineStr">
        <is>
          <t>Cserépalátét univerzális tálca 72x50 cm</t>
        </is>
      </c>
      <c r="C28" s="6" t="inlineStr">
        <is>
          <t>Cserépalátét</t>
        </is>
      </c>
      <c r="D28" s="6" t="inlineStr">
        <is>
          <t>Műanyag tálca, árapály asztal</t>
        </is>
      </c>
      <c r="E28" s="6" t="inlineStr">
        <is>
          <t>Erős</t>
        </is>
      </c>
      <c r="F28" s="6" t="inlineStr">
        <is>
          <t>az elmúlt 6 hónapban</t>
        </is>
      </c>
      <c r="G28" s="6" t="inlineStr">
        <is>
          <t>Univerzális alátéttálca</t>
        </is>
      </c>
    </row>
    <row r="29">
      <c r="A29" s="6" t="inlineStr">
        <is>
          <t>GRO4654</t>
        </is>
      </c>
      <c r="B29" s="6" t="inlineStr">
        <is>
          <t>Kerek cserépalátét fekete, 18 cm átmérővel</t>
        </is>
      </c>
      <c r="C29" s="6" t="inlineStr">
        <is>
          <t>Cserépalátét</t>
        </is>
      </c>
      <c r="D29" s="6" t="inlineStr"/>
      <c r="E29" s="6" t="inlineStr">
        <is>
          <t>Erős</t>
        </is>
      </c>
      <c r="F29" s="6" t="inlineStr">
        <is>
          <t>az elmúlt 30 napban</t>
        </is>
      </c>
      <c r="G29" s="6" t="inlineStr">
        <is>
          <t>Kerek cserépalátét</t>
        </is>
      </c>
    </row>
    <row r="30">
      <c r="A30" s="6" t="inlineStr">
        <is>
          <t>GRO4655</t>
        </is>
      </c>
      <c r="B30" s="6" t="inlineStr">
        <is>
          <t>Kerek cserépalátét, fekete, 20 cm átmérő</t>
        </is>
      </c>
      <c r="C30" s="6" t="inlineStr">
        <is>
          <t>Cserépalátét</t>
        </is>
      </c>
      <c r="D30" s="6" t="inlineStr"/>
      <c r="E30" s="6" t="inlineStr">
        <is>
          <t>Erős</t>
        </is>
      </c>
      <c r="F30" s="6" t="inlineStr">
        <is>
          <t>az elmúlt 30 napban</t>
        </is>
      </c>
      <c r="G30" s="6" t="inlineStr">
        <is>
          <t>Kerek cserépalátét</t>
        </is>
      </c>
    </row>
    <row r="31">
      <c r="A31" s="6" t="inlineStr">
        <is>
          <t>GRO4656</t>
        </is>
      </c>
      <c r="B31" s="6" t="inlineStr">
        <is>
          <t>Kerek cserépalátét, fekete, 30 cm átmérő</t>
        </is>
      </c>
      <c r="C31" s="6" t="inlineStr">
        <is>
          <t>Cserépalátét</t>
        </is>
      </c>
      <c r="D31" s="6" t="inlineStr"/>
      <c r="E31" s="6" t="inlineStr">
        <is>
          <t>Erős</t>
        </is>
      </c>
      <c r="F31" s="6" t="inlineStr">
        <is>
          <t>az elmúlt 30 napban</t>
        </is>
      </c>
      <c r="G31" s="6" t="inlineStr">
        <is>
          <t>Kerek cserépalátét</t>
        </is>
      </c>
    </row>
    <row r="32">
      <c r="A32" s="6" t="inlineStr">
        <is>
          <t>GRO4659</t>
        </is>
      </c>
      <c r="B32" s="6" t="inlineStr">
        <is>
          <t>Fekete kerek cserépalátét, 35 cm átmérő</t>
        </is>
      </c>
      <c r="C32" s="6" t="inlineStr">
        <is>
          <t>Cserépalátét</t>
        </is>
      </c>
      <c r="D32" s="6" t="inlineStr"/>
      <c r="E32" s="6" t="inlineStr">
        <is>
          <t>Erős</t>
        </is>
      </c>
      <c r="F32" s="6" t="inlineStr">
        <is>
          <t>az elmúlt 30 napban</t>
        </is>
      </c>
      <c r="G32" s="6" t="inlineStr">
        <is>
          <t>Kerek cserépalátét</t>
        </is>
      </c>
    </row>
    <row r="33">
      <c r="A33" s="6" t="inlineStr">
        <is>
          <t>GRO0054</t>
        </is>
      </c>
      <c r="B33" s="6" t="inlineStr">
        <is>
          <t>Dán tálca apály-dagály alátét 106 x 33 cm árasztásos rendszerhez</t>
        </is>
      </c>
      <c r="C33" s="6" t="inlineStr">
        <is>
          <t>Műanyag tálca, árapály asztal</t>
        </is>
      </c>
      <c r="D33" s="6" t="inlineStr"/>
      <c r="E33" s="6" t="inlineStr">
        <is>
          <t>Erős</t>
        </is>
      </c>
      <c r="F33" s="6" t="inlineStr">
        <is>
          <t>az elmúlt 30 napban</t>
        </is>
      </c>
      <c r="G33" s="6" t="inlineStr">
        <is>
          <t>Dán tálca – apály-dagály (árapály) rendszer</t>
        </is>
      </c>
    </row>
    <row r="34">
      <c r="A34" s="6" t="inlineStr">
        <is>
          <t>GRO0056</t>
        </is>
      </c>
      <c r="B34" s="6" t="inlineStr">
        <is>
          <t>Dán tálca apály-dagály alátét 106 x 102 cm árasztásos rendszerhez</t>
        </is>
      </c>
      <c r="C34" s="6" t="inlineStr">
        <is>
          <t>Műanyag tálca, árapály asztal</t>
        </is>
      </c>
      <c r="D34" s="6" t="inlineStr"/>
      <c r="E34" s="6" t="inlineStr">
        <is>
          <t>Erős</t>
        </is>
      </c>
      <c r="F34" s="6" t="inlineStr">
        <is>
          <t>az elmúlt 30 napban</t>
        </is>
      </c>
      <c r="G34" s="6" t="inlineStr">
        <is>
          <t>Dán tálca – apály-dagály (árapály) rendszer</t>
        </is>
      </c>
    </row>
    <row r="35">
      <c r="A35" s="6" t="inlineStr">
        <is>
          <t>GRO0057</t>
        </is>
      </c>
      <c r="B35" s="6" t="inlineStr">
        <is>
          <t>Dán tálca apály-dagály alátét 106 x 202 cm árasztásos rendszerhez</t>
        </is>
      </c>
      <c r="C35" s="6" t="inlineStr">
        <is>
          <t>Műanyag tálca, árapály asztal</t>
        </is>
      </c>
      <c r="D35" s="6" t="inlineStr"/>
      <c r="E35" s="6" t="inlineStr">
        <is>
          <t>Erős</t>
        </is>
      </c>
      <c r="F35" s="6" t="inlineStr">
        <is>
          <t>az elmúlt 30 napban</t>
        </is>
      </c>
      <c r="G35" s="6" t="inlineStr">
        <is>
          <t>Dán tálca – apály-dagály (árapály) rendszer</t>
        </is>
      </c>
    </row>
    <row r="36">
      <c r="A36" s="6" t="inlineStr">
        <is>
          <t>GRO1417</t>
        </is>
      </c>
      <c r="B36" s="6" t="inlineStr">
        <is>
          <t>Dán tálca apály-dagály alátét 106 x 63 cm árasztásos rendszerhez</t>
        </is>
      </c>
      <c r="C36" s="6" t="inlineStr">
        <is>
          <t>Műanyag tálca, árapály asztal</t>
        </is>
      </c>
      <c r="D36" s="6" t="inlineStr"/>
      <c r="E36" s="6" t="inlineStr">
        <is>
          <t>Erős</t>
        </is>
      </c>
      <c r="F36" s="6" t="inlineStr">
        <is>
          <t>az elmúlt 30 napban</t>
        </is>
      </c>
      <c r="G36" s="6" t="inlineStr">
        <is>
          <t>Dán tálca – apály-dagály (árapály) rendszer</t>
        </is>
      </c>
    </row>
    <row r="37">
      <c r="A37" s="6" t="inlineStr">
        <is>
          <t>GRO1462</t>
        </is>
      </c>
      <c r="B37" s="6" t="inlineStr">
        <is>
          <t>Garland tálca (12 cm magas) M</t>
        </is>
      </c>
      <c r="C37" s="6" t="inlineStr">
        <is>
          <t>Műanyag tálca, árapály asztal</t>
        </is>
      </c>
      <c r="D37" s="6" t="inlineStr">
        <is>
          <t>Cserépalátét</t>
        </is>
      </c>
      <c r="E37" s="6" t="inlineStr">
        <is>
          <t>Erős</t>
        </is>
      </c>
      <c r="F37" s="6" t="inlineStr">
        <is>
          <t>az elmúlt 6 hónapban</t>
        </is>
      </c>
      <c r="G37" s="6" t="inlineStr">
        <is>
          <t>Garland tálca (5–15 cm perem)</t>
        </is>
      </c>
    </row>
    <row r="38">
      <c r="A38" s="6" t="inlineStr">
        <is>
          <t>GRO1463</t>
        </is>
      </c>
      <c r="B38" s="6" t="inlineStr">
        <is>
          <t>Garland Titan tálca 100 x 55 x 15 cm, 65 literes, újrahasznosított polipropilén</t>
        </is>
      </c>
      <c r="C38" s="6" t="inlineStr">
        <is>
          <t>Műanyag tálca, árapály asztal</t>
        </is>
      </c>
      <c r="D38" s="6" t="inlineStr">
        <is>
          <t>Cserépalátét</t>
        </is>
      </c>
      <c r="E38" s="6" t="inlineStr">
        <is>
          <t>Erős</t>
        </is>
      </c>
      <c r="F38" s="6" t="inlineStr">
        <is>
          <t>az elmúlt 30 napban</t>
        </is>
      </c>
      <c r="G38" s="6" t="inlineStr">
        <is>
          <t>Garland tálca (5–15 cm perem)</t>
        </is>
      </c>
    </row>
    <row r="39">
      <c r="A39" s="6" t="inlineStr">
        <is>
          <t>GRO1906</t>
        </is>
      </c>
      <c r="B39" s="6" t="inlineStr">
        <is>
          <t>Garland Square négyzetes tálca 59 x 59 x 7 cm (M), fröccsöntött polipropilén</t>
        </is>
      </c>
      <c r="C39" s="6" t="inlineStr">
        <is>
          <t>Műanyag tálca, árapály asztal</t>
        </is>
      </c>
      <c r="D39" s="6" t="inlineStr">
        <is>
          <t>Cserépalátét</t>
        </is>
      </c>
      <c r="E39" s="6" t="inlineStr">
        <is>
          <t>Erős</t>
        </is>
      </c>
      <c r="F39" s="6" t="inlineStr">
        <is>
          <t>az elmúlt 30 napban</t>
        </is>
      </c>
      <c r="G39" s="6" t="inlineStr">
        <is>
          <t>Garland tálca (5–15 cm perem)</t>
        </is>
      </c>
    </row>
    <row r="40">
      <c r="A40" s="6" t="inlineStr">
        <is>
          <t>GRO1907</t>
        </is>
      </c>
      <c r="B40" s="6" t="inlineStr">
        <is>
          <t>Garland Giant tálca 110 x 55 x 5 cm, hosszúkás, fröccsöntött polipropilén</t>
        </is>
      </c>
      <c r="C40" s="6" t="inlineStr">
        <is>
          <t>Műanyag tálca, árapály asztal</t>
        </is>
      </c>
      <c r="D40" s="6" t="inlineStr">
        <is>
          <t>Cserépalátét</t>
        </is>
      </c>
      <c r="E40" s="6" t="inlineStr">
        <is>
          <t>Erős</t>
        </is>
      </c>
      <c r="F40" s="6" t="inlineStr">
        <is>
          <t>az elmúlt 30 napban</t>
        </is>
      </c>
      <c r="G40" s="6" t="inlineStr">
        <is>
          <t>Garland tálca (5–15 cm perem)</t>
        </is>
      </c>
    </row>
    <row r="41">
      <c r="A41" s="6" t="inlineStr">
        <is>
          <t>GRO1908</t>
        </is>
      </c>
      <c r="B41" s="6" t="inlineStr">
        <is>
          <t>Garland tálca (12 cm magas) L</t>
        </is>
      </c>
      <c r="C41" s="6" t="inlineStr">
        <is>
          <t>Műanyag tálca, árapály asztal</t>
        </is>
      </c>
      <c r="D41" s="6" t="inlineStr">
        <is>
          <t>Cserépalátét</t>
        </is>
      </c>
      <c r="E41" s="6" t="inlineStr">
        <is>
          <t>Erős</t>
        </is>
      </c>
      <c r="F41" s="6" t="inlineStr">
        <is>
          <t>az elmúlt 30 napban</t>
        </is>
      </c>
      <c r="G41" s="6" t="inlineStr">
        <is>
          <t>Garland tálca (5–15 cm perem)</t>
        </is>
      </c>
    </row>
    <row r="42">
      <c r="A42" s="6" t="inlineStr">
        <is>
          <t>GRO1909</t>
        </is>
      </c>
      <c r="B42" s="6" t="inlineStr">
        <is>
          <t>Garland tálca 5 cm magas peremmel, XS méret, fröccsöntött polipropilén</t>
        </is>
      </c>
      <c r="C42" s="6" t="inlineStr">
        <is>
          <t>Műanyag tálca, árapály asztal</t>
        </is>
      </c>
      <c r="D42" s="6" t="inlineStr">
        <is>
          <t>Cserépalátét</t>
        </is>
      </c>
      <c r="E42" s="6" t="inlineStr">
        <is>
          <t>Erős</t>
        </is>
      </c>
      <c r="F42" s="6" t="inlineStr">
        <is>
          <t>az elmúlt 30 napban</t>
        </is>
      </c>
      <c r="G42" s="6" t="inlineStr">
        <is>
          <t>Garland tálca (5–15 cm perem)</t>
        </is>
      </c>
    </row>
    <row r="43">
      <c r="A43" s="6" t="inlineStr">
        <is>
          <t>GRO1910</t>
        </is>
      </c>
      <c r="B43" s="6" t="inlineStr">
        <is>
          <t>Garland tálca 5 cm magas peremmel, S méret, fröccsöntött polipropilén</t>
        </is>
      </c>
      <c r="C43" s="6" t="inlineStr">
        <is>
          <t>Műanyag tálca, árapály asztal</t>
        </is>
      </c>
      <c r="D43" s="6" t="inlineStr">
        <is>
          <t>Cserépalátét</t>
        </is>
      </c>
      <c r="E43" s="6" t="inlineStr">
        <is>
          <t>Erős</t>
        </is>
      </c>
      <c r="F43" s="6" t="inlineStr">
        <is>
          <t>az elmúlt 30 napban</t>
        </is>
      </c>
      <c r="G43" s="6" t="inlineStr">
        <is>
          <t>Garland tálca (5–15 cm perem)</t>
        </is>
      </c>
    </row>
    <row r="44">
      <c r="A44" s="6" t="inlineStr">
        <is>
          <t>GRO1911</t>
        </is>
      </c>
      <c r="B44" s="6" t="inlineStr">
        <is>
          <t>Garland tálca 5 cm magas peremmel, XXL méret, fröccsöntött polipropilén</t>
        </is>
      </c>
      <c r="C44" s="6" t="inlineStr">
        <is>
          <t>Műanyag tálca, árapály asztal</t>
        </is>
      </c>
      <c r="D44" s="6" t="inlineStr">
        <is>
          <t>Cserépalátét</t>
        </is>
      </c>
      <c r="E44" s="6" t="inlineStr">
        <is>
          <t>Erős</t>
        </is>
      </c>
      <c r="F44" s="6" t="inlineStr">
        <is>
          <t>az elmúlt 30 napban</t>
        </is>
      </c>
      <c r="G44" s="6" t="inlineStr">
        <is>
          <t>Garland tálca (5–15 cm perem)</t>
        </is>
      </c>
    </row>
    <row r="45">
      <c r="A45" s="6" t="inlineStr">
        <is>
          <t>GRO1912</t>
        </is>
      </c>
      <c r="B45" s="6" t="inlineStr">
        <is>
          <t>Garland tálca (5 cm magas) Garland tálca M (prémium)</t>
        </is>
      </c>
      <c r="C45" s="6" t="inlineStr">
        <is>
          <t>Műanyag tálca, árapály asztal</t>
        </is>
      </c>
      <c r="D45" s="6" t="inlineStr">
        <is>
          <t>Cserépalátét</t>
        </is>
      </c>
      <c r="E45" s="6" t="inlineStr">
        <is>
          <t>Erős</t>
        </is>
      </c>
      <c r="F45" s="6" t="inlineStr">
        <is>
          <t>2024-10 – 2025-09 (lehet, hogy már nem aktív)</t>
        </is>
      </c>
      <c r="G45" s="6" t="inlineStr">
        <is>
          <t>Garland tálca (5–15 cm perem)</t>
        </is>
      </c>
    </row>
    <row r="46">
      <c r="A46" s="6" t="inlineStr">
        <is>
          <t>GRO2247</t>
        </is>
      </c>
      <c r="B46" s="6" t="inlineStr">
        <is>
          <t>Nutriculture Flexibilis Műanyag Tálca 120 x 120 x 10 cm</t>
        </is>
      </c>
      <c r="C46" s="6" t="inlineStr">
        <is>
          <t>Műanyag tálca, árapály asztal</t>
        </is>
      </c>
      <c r="D46" s="6" t="inlineStr"/>
      <c r="E46" s="6" t="inlineStr">
        <is>
          <t>Erős</t>
        </is>
      </c>
      <c r="F46" s="6" t="inlineStr">
        <is>
          <t>2024-10 – 2025-09 (lehet, hogy már nem aktív)</t>
        </is>
      </c>
      <c r="G46" s="6" t="inlineStr">
        <is>
          <t>Nutriculture flexibilis tálca</t>
        </is>
      </c>
    </row>
    <row r="47">
      <c r="A47" s="6" t="inlineStr">
        <is>
          <t>GRO2774</t>
        </is>
      </c>
      <c r="B47" s="6" t="inlineStr">
        <is>
          <t>Nutriculture Flexibilis Műanyag Tálca 100 x 100 x 10 cm</t>
        </is>
      </c>
      <c r="C47" s="6" t="inlineStr">
        <is>
          <t>Műanyag tálca, árapály asztal</t>
        </is>
      </c>
      <c r="D47" s="6" t="inlineStr"/>
      <c r="E47" s="6" t="inlineStr">
        <is>
          <t>Erős</t>
        </is>
      </c>
      <c r="F47" s="6" t="inlineStr">
        <is>
          <t>2024-10 – 2025-09 (lehet, hogy már nem aktív)</t>
        </is>
      </c>
      <c r="G47" s="6" t="inlineStr">
        <is>
          <t>Nutriculture flexibilis tálca</t>
        </is>
      </c>
    </row>
    <row r="48">
      <c r="A48" s="6" t="inlineStr">
        <is>
          <t>GRO3124</t>
        </is>
      </c>
      <c r="B48" s="6" t="inlineStr">
        <is>
          <t>Secret Jardin kiegészítő víztálca 100x100 cm termesztősátor aljába</t>
        </is>
      </c>
      <c r="C48" s="6" t="inlineStr">
        <is>
          <t>Műanyag tálca, árapály asztal</t>
        </is>
      </c>
      <c r="D48" s="6" t="inlineStr"/>
      <c r="E48" s="6" t="inlineStr">
        <is>
          <t>Erős</t>
        </is>
      </c>
      <c r="F48" s="6" t="inlineStr">
        <is>
          <t>az elmúlt 30 napban</t>
        </is>
      </c>
      <c r="G48" s="6" t="inlineStr">
        <is>
          <t>Secret Jardin vízgyűjtő tálca termesztősátorba</t>
        </is>
      </c>
    </row>
    <row r="49">
      <c r="A49" s="6" t="inlineStr">
        <is>
          <t>GRO3138</t>
        </is>
      </c>
      <c r="B49" s="6" t="inlineStr">
        <is>
          <t>Garland tálca 12 cm magas peremmel, S méret, fröccsöntött polipropilén</t>
        </is>
      </c>
      <c r="C49" s="6" t="inlineStr">
        <is>
          <t>Műanyag tálca, árapály asztal</t>
        </is>
      </c>
      <c r="D49" s="6" t="inlineStr">
        <is>
          <t>Cserépalátét</t>
        </is>
      </c>
      <c r="E49" s="6" t="inlineStr">
        <is>
          <t>Erős</t>
        </is>
      </c>
      <c r="F49" s="6" t="inlineStr">
        <is>
          <t>az elmúlt 30 napban</t>
        </is>
      </c>
      <c r="G49" s="6" t="inlineStr">
        <is>
          <t>Garland tálca (5–15 cm perem)</t>
        </is>
      </c>
    </row>
    <row r="50">
      <c r="A50" s="6" t="inlineStr">
        <is>
          <t>GRO3436</t>
        </is>
      </c>
      <c r="B50" s="6" t="inlineStr">
        <is>
          <t>Nutriculture Flexibilis Műanyag Tálca 150 x 150 x 10 cm</t>
        </is>
      </c>
      <c r="C50" s="6" t="inlineStr">
        <is>
          <t>Műanyag tálca, árapály asztal</t>
        </is>
      </c>
      <c r="D50" s="6" t="inlineStr"/>
      <c r="E50" s="6" t="inlineStr">
        <is>
          <t>Erős</t>
        </is>
      </c>
      <c r="F50" s="6" t="inlineStr">
        <is>
          <t>2024-10 – 2025-09 (lehet, hogy már nem aktív)</t>
        </is>
      </c>
      <c r="G50" s="6" t="inlineStr">
        <is>
          <t>Nutriculture flexibilis tálca</t>
        </is>
      </c>
    </row>
    <row r="51">
      <c r="A51" s="6" t="inlineStr">
        <is>
          <t>GRO3437</t>
        </is>
      </c>
      <c r="B51" s="6" t="inlineStr">
        <is>
          <t>Nutriculture flexibilis tálca 80x80x10 cm</t>
        </is>
      </c>
      <c r="C51" s="6" t="inlineStr">
        <is>
          <t>Műanyag tálca, árapály asztal</t>
        </is>
      </c>
      <c r="D51" s="6" t="inlineStr"/>
      <c r="E51" s="6" t="inlineStr">
        <is>
          <t>Erős</t>
        </is>
      </c>
      <c r="F51" s="6" t="inlineStr">
        <is>
          <t>az elmúlt 30 napban</t>
        </is>
      </c>
      <c r="G51" s="6" t="inlineStr">
        <is>
          <t>Nutriculture flexibilis tálca</t>
        </is>
      </c>
    </row>
    <row r="52">
      <c r="A52" s="6" t="inlineStr">
        <is>
          <t>GRO3773</t>
        </is>
      </c>
      <c r="B52" s="6" t="inlineStr">
        <is>
          <t>Garland tálca (7 cm magas) S</t>
        </is>
      </c>
      <c r="C52" s="6" t="inlineStr">
        <is>
          <t>Műanyag tálca, árapály asztal</t>
        </is>
      </c>
      <c r="D52" s="6" t="inlineStr">
        <is>
          <t>Cserépalátét</t>
        </is>
      </c>
      <c r="E52" s="6" t="inlineStr">
        <is>
          <t>Erős</t>
        </is>
      </c>
      <c r="F52" s="6" t="inlineStr">
        <is>
          <t>az elmúlt 30 napban</t>
        </is>
      </c>
      <c r="G52" s="6" t="inlineStr">
        <is>
          <t>Garland tálca (5–15 cm perem)</t>
        </is>
      </c>
    </row>
    <row r="53">
      <c r="A53" s="6" t="inlineStr">
        <is>
          <t>GRO3774</t>
        </is>
      </c>
      <c r="B53" s="6" t="inlineStr">
        <is>
          <t>Garland tálca (7 cm magas) S (lyukakkal)</t>
        </is>
      </c>
      <c r="C53" s="6" t="inlineStr">
        <is>
          <t>Műanyag tálca, árapály asztal</t>
        </is>
      </c>
      <c r="D53" s="6" t="inlineStr">
        <is>
          <t>Cserépalátét</t>
        </is>
      </c>
      <c r="E53" s="6" t="inlineStr">
        <is>
          <t>Erős</t>
        </is>
      </c>
      <c r="F53" s="6" t="inlineStr">
        <is>
          <t>az elmúlt 30 napban</t>
        </is>
      </c>
      <c r="G53" s="6" t="inlineStr">
        <is>
          <t>Garland tálca (5–15 cm perem)</t>
        </is>
      </c>
    </row>
    <row r="54">
      <c r="A54" s="6" t="inlineStr">
        <is>
          <t>GRO3775</t>
        </is>
      </c>
      <c r="B54" s="6" t="inlineStr">
        <is>
          <t>Garland tálca (5 cm magas) XL</t>
        </is>
      </c>
      <c r="C54" s="6" t="inlineStr">
        <is>
          <t>Műanyag tálca, árapály asztal</t>
        </is>
      </c>
      <c r="D54" s="6" t="inlineStr">
        <is>
          <t>Cserépalátét</t>
        </is>
      </c>
      <c r="E54" s="6" t="inlineStr">
        <is>
          <t>Erős</t>
        </is>
      </c>
      <c r="F54" s="6" t="inlineStr">
        <is>
          <t>az elmúlt 30 napban</t>
        </is>
      </c>
      <c r="G54" s="6" t="inlineStr">
        <is>
          <t>Garland tálca (5–15 cm perem)</t>
        </is>
      </c>
    </row>
    <row r="55">
      <c r="A55" s="6" t="inlineStr">
        <is>
          <t>GRO3776</t>
        </is>
      </c>
      <c r="B55" s="6" t="inlineStr">
        <is>
          <t>Garland tálca (5 cm magas) L</t>
        </is>
      </c>
      <c r="C55" s="6" t="inlineStr">
        <is>
          <t>Műanyag tálca, árapály asztal</t>
        </is>
      </c>
      <c r="D55" s="6" t="inlineStr">
        <is>
          <t>Cserépalátét</t>
        </is>
      </c>
      <c r="E55" s="6" t="inlineStr">
        <is>
          <t>Erős</t>
        </is>
      </c>
      <c r="F55" s="6" t="inlineStr">
        <is>
          <t>az elmúlt 30 napban</t>
        </is>
      </c>
      <c r="G55" s="6" t="inlineStr">
        <is>
          <t>Garland tálca (5–15 cm perem)</t>
        </is>
      </c>
    </row>
    <row r="56">
      <c r="A56" s="6" t="inlineStr">
        <is>
          <t>GRO3777</t>
        </is>
      </c>
      <c r="B56" s="6" t="inlineStr">
        <is>
          <t>Garland tálca (5 cm magas) XXXL</t>
        </is>
      </c>
      <c r="C56" s="6" t="inlineStr">
        <is>
          <t>Műanyag tálca, árapály asztal</t>
        </is>
      </c>
      <c r="D56" s="6" t="inlineStr">
        <is>
          <t>Cserépalátét</t>
        </is>
      </c>
      <c r="E56" s="6" t="inlineStr">
        <is>
          <t>Erős</t>
        </is>
      </c>
      <c r="F56" s="6" t="inlineStr">
        <is>
          <t>az elmúlt 30 napban</t>
        </is>
      </c>
      <c r="G56" s="6" t="inlineStr">
        <is>
          <t>Garland tálca (5–15 cm perem)</t>
        </is>
      </c>
    </row>
    <row r="57">
      <c r="A57" s="6" t="inlineStr">
        <is>
          <t>GRO4667</t>
        </is>
      </c>
      <c r="B57" s="6" t="inlineStr">
        <is>
          <t>Secret Jardin vízgyűjtő tálca 40x40x8 cm growboxhoz</t>
        </is>
      </c>
      <c r="C57" s="6" t="inlineStr">
        <is>
          <t>Műanyag tálca, árapály asztal</t>
        </is>
      </c>
      <c r="D57" s="6" t="inlineStr"/>
      <c r="E57" s="6" t="inlineStr">
        <is>
          <t>Erős</t>
        </is>
      </c>
      <c r="F57" s="6" t="inlineStr">
        <is>
          <t>az elmúlt 30 napban</t>
        </is>
      </c>
      <c r="G57" s="6" t="inlineStr">
        <is>
          <t>Secret Jardin vízgyűjtő tálca termesztősátorba</t>
        </is>
      </c>
    </row>
    <row r="58">
      <c r="A58" s="6" t="inlineStr">
        <is>
          <t>GRO4668</t>
        </is>
      </c>
      <c r="B58" s="6" t="inlineStr">
        <is>
          <t>Secret Jardin vízgyűjtő tálca 60x60x8 cm growboxhoz</t>
        </is>
      </c>
      <c r="C58" s="6" t="inlineStr">
        <is>
          <t>Műanyag tálca, árapály asztal</t>
        </is>
      </c>
      <c r="D58" s="6" t="inlineStr"/>
      <c r="E58" s="6" t="inlineStr">
        <is>
          <t>Erős</t>
        </is>
      </c>
      <c r="F58" s="6" t="inlineStr">
        <is>
          <t>az elmúlt 30 napban</t>
        </is>
      </c>
      <c r="G58" s="6" t="inlineStr">
        <is>
          <t>Secret Jardin vízgyűjtő tálca termesztősátorba</t>
        </is>
      </c>
    </row>
    <row r="59">
      <c r="A59" s="6" t="inlineStr">
        <is>
          <t>GRO4669</t>
        </is>
      </c>
      <c r="B59" s="6" t="inlineStr">
        <is>
          <t>Secret Jardin vízgyűjtő tálca 80x80x8 cm growboxhoz</t>
        </is>
      </c>
      <c r="C59" s="6" t="inlineStr">
        <is>
          <t>Műanyag tálca, árapály asztal</t>
        </is>
      </c>
      <c r="D59" s="6" t="inlineStr"/>
      <c r="E59" s="6" t="inlineStr">
        <is>
          <t>Erős</t>
        </is>
      </c>
      <c r="F59" s="6" t="inlineStr">
        <is>
          <t>az elmúlt 30 napban</t>
        </is>
      </c>
      <c r="G59" s="6" t="inlineStr">
        <is>
          <t>Secret Jardin vízgyűjtő tálca termesztősátorba</t>
        </is>
      </c>
    </row>
    <row r="60">
      <c r="A60" s="6" t="inlineStr">
        <is>
          <t>GRO4670</t>
        </is>
      </c>
      <c r="B60" s="6" t="inlineStr">
        <is>
          <t>Secret Jardin vízgyűjtő tálca 100x100x8 cm growboxhoz</t>
        </is>
      </c>
      <c r="C60" s="6" t="inlineStr">
        <is>
          <t>Műanyag tálca, árapály asztal</t>
        </is>
      </c>
      <c r="D60" s="6" t="inlineStr"/>
      <c r="E60" s="6" t="inlineStr">
        <is>
          <t>Erős</t>
        </is>
      </c>
      <c r="F60" s="6" t="inlineStr">
        <is>
          <t>az elmúlt 30 napban</t>
        </is>
      </c>
      <c r="G60" s="6" t="inlineStr">
        <is>
          <t>Secret Jardin vízgyűjtő tálca termesztősátorba</t>
        </is>
      </c>
    </row>
    <row r="61">
      <c r="A61" s="6" t="inlineStr">
        <is>
          <t>GRO4671</t>
        </is>
      </c>
      <c r="B61" s="6" t="inlineStr">
        <is>
          <t>Secret Jardin vízgyűjtő tálca 120x120x8 cm growboxhoz</t>
        </is>
      </c>
      <c r="C61" s="6" t="inlineStr">
        <is>
          <t>Műanyag tálca, árapály asztal</t>
        </is>
      </c>
      <c r="D61" s="6" t="inlineStr"/>
      <c r="E61" s="6" t="inlineStr">
        <is>
          <t>Erős</t>
        </is>
      </c>
      <c r="F61" s="6" t="inlineStr">
        <is>
          <t>az elmúlt 30 napban</t>
        </is>
      </c>
      <c r="G61" s="6" t="inlineStr">
        <is>
          <t>Secret Jardin vízgyűjtő tálca termesztősátorba</t>
        </is>
      </c>
    </row>
    <row r="62">
      <c r="A62" s="6" t="inlineStr">
        <is>
          <t>GRO4672</t>
        </is>
      </c>
      <c r="B62" s="6" t="inlineStr">
        <is>
          <t>Secret Jardin vízgyűjtő tálca 150x150x8 cm growboxhoz</t>
        </is>
      </c>
      <c r="C62" s="6" t="inlineStr">
        <is>
          <t>Műanyag tálca, árapály asztal</t>
        </is>
      </c>
      <c r="D62" s="6" t="inlineStr"/>
      <c r="E62" s="6" t="inlineStr">
        <is>
          <t>Erős</t>
        </is>
      </c>
      <c r="F62" s="6" t="inlineStr">
        <is>
          <t>az elmúlt 30 napban</t>
        </is>
      </c>
      <c r="G62" s="6" t="inlineStr">
        <is>
          <t>Secret Jardin vízgyűjtő tálca termesztősátorba</t>
        </is>
      </c>
    </row>
    <row r="63">
      <c r="A63" s="6" t="inlineStr">
        <is>
          <t>GRO4673</t>
        </is>
      </c>
      <c r="B63" s="6" t="inlineStr">
        <is>
          <t>Secret Jardin vízgyűjtő tálca 120x60x8 cm growboxhoz</t>
        </is>
      </c>
      <c r="C63" s="6" t="inlineStr">
        <is>
          <t>Műanyag tálca, árapály asztal</t>
        </is>
      </c>
      <c r="D63" s="6" t="inlineStr"/>
      <c r="E63" s="6" t="inlineStr">
        <is>
          <t>Erős</t>
        </is>
      </c>
      <c r="F63" s="6" t="inlineStr">
        <is>
          <t>az elmúlt 30 napban</t>
        </is>
      </c>
      <c r="G63" s="6" t="inlineStr">
        <is>
          <t>Secret Jardin vízgyűjtő tálca termesztősátorba</t>
        </is>
      </c>
    </row>
    <row r="64">
      <c r="A64" s="6" t="inlineStr">
        <is>
          <t>GRO4674</t>
        </is>
      </c>
      <c r="B64" s="6" t="inlineStr">
        <is>
          <t>Secret Jardin vízgyűjtő tálca 240x120x8 cm growboxhoz</t>
        </is>
      </c>
      <c r="C64" s="6" t="inlineStr">
        <is>
          <t>Műanyag tálca, árapály asztal</t>
        </is>
      </c>
      <c r="D64" s="6" t="inlineStr"/>
      <c r="E64" s="6" t="inlineStr">
        <is>
          <t>Erős</t>
        </is>
      </c>
      <c r="F64" s="6" t="inlineStr">
        <is>
          <t>az elmúlt 30 napban</t>
        </is>
      </c>
      <c r="G64" s="6" t="inlineStr">
        <is>
          <t>Secret Jardin vízgyűjtő tálca termesztősátorba</t>
        </is>
      </c>
    </row>
    <row r="65">
      <c r="A65" s="6" t="inlineStr">
        <is>
          <t>GRO2501</t>
        </is>
      </c>
      <c r="B65" s="6" t="inlineStr">
        <is>
          <t>Lyukacsos konténer műanyag cserép 43 liter</t>
        </is>
      </c>
      <c r="C65" s="6" t="inlineStr">
        <is>
          <t>Nagy virágcserép</t>
        </is>
      </c>
      <c r="D65" s="6" t="inlineStr">
        <is>
          <t>Virágcserép</t>
        </is>
      </c>
      <c r="E65" s="6" t="inlineStr">
        <is>
          <t>Erős</t>
        </is>
      </c>
      <c r="F65" s="6" t="inlineStr">
        <is>
          <t>az elmúlt 30 napban</t>
        </is>
      </c>
      <c r="G65" s="6" t="inlineStr">
        <is>
          <t>Konténer, 43–155 l</t>
        </is>
      </c>
    </row>
    <row r="66">
      <c r="A66" s="6" t="inlineStr">
        <is>
          <t>GRO2502</t>
        </is>
      </c>
      <c r="B66" s="6" t="inlineStr">
        <is>
          <t>Lyukacsos konténer műanyag cserép 50 liter</t>
        </is>
      </c>
      <c r="C66" s="6" t="inlineStr">
        <is>
          <t>Nagy virágcserép</t>
        </is>
      </c>
      <c r="D66" s="6" t="inlineStr">
        <is>
          <t>Virágcserép</t>
        </is>
      </c>
      <c r="E66" s="6" t="inlineStr">
        <is>
          <t>Erős</t>
        </is>
      </c>
      <c r="F66" s="6" t="inlineStr">
        <is>
          <t>az elmúlt 30 napban</t>
        </is>
      </c>
      <c r="G66" s="6" t="inlineStr">
        <is>
          <t>Konténer, 43–155 l</t>
        </is>
      </c>
    </row>
    <row r="67">
      <c r="A67" s="6" t="inlineStr">
        <is>
          <t>GRO2503</t>
        </is>
      </c>
      <c r="B67" s="6" t="inlineStr">
        <is>
          <t>Lyukacsos konténer műanyag cserép 60 liter</t>
        </is>
      </c>
      <c r="C67" s="6" t="inlineStr">
        <is>
          <t>Nagy virágcserép</t>
        </is>
      </c>
      <c r="D67" s="6" t="inlineStr">
        <is>
          <t>Virágcserép</t>
        </is>
      </c>
      <c r="E67" s="6" t="inlineStr">
        <is>
          <t>Erős</t>
        </is>
      </c>
      <c r="F67" s="6" t="inlineStr">
        <is>
          <t>az elmúlt 6 hónapban</t>
        </is>
      </c>
      <c r="G67" s="6" t="inlineStr">
        <is>
          <t>Konténer, 43–155 l</t>
        </is>
      </c>
    </row>
    <row r="68">
      <c r="A68" s="6" t="inlineStr">
        <is>
          <t>GRO2504</t>
        </is>
      </c>
      <c r="B68" s="6" t="inlineStr">
        <is>
          <t>Lyukacsos konténer műanyag cserép 70 liter</t>
        </is>
      </c>
      <c r="C68" s="6" t="inlineStr">
        <is>
          <t>Nagy virágcserép</t>
        </is>
      </c>
      <c r="D68" s="6" t="inlineStr">
        <is>
          <t>Virágcserép</t>
        </is>
      </c>
      <c r="E68" s="6" t="inlineStr">
        <is>
          <t>Erős</t>
        </is>
      </c>
      <c r="F68" s="6" t="inlineStr">
        <is>
          <t>az elmúlt 30 napban</t>
        </is>
      </c>
      <c r="G68" s="6" t="inlineStr">
        <is>
          <t>Konténer, 43–155 l</t>
        </is>
      </c>
    </row>
    <row r="69">
      <c r="A69" s="6" t="inlineStr">
        <is>
          <t>GRO2505</t>
        </is>
      </c>
      <c r="B69" s="6" t="inlineStr">
        <is>
          <t>Lyukacsos konténer műanyag cserép 80 liter, 60 x 43 cm, fogantyúval</t>
        </is>
      </c>
      <c r="C69" s="6" t="inlineStr">
        <is>
          <t>Nagy virágcserép</t>
        </is>
      </c>
      <c r="D69" s="6" t="inlineStr">
        <is>
          <t>Virágcserép</t>
        </is>
      </c>
      <c r="E69" s="6" t="inlineStr">
        <is>
          <t>Erős</t>
        </is>
      </c>
      <c r="F69" s="6" t="inlineStr">
        <is>
          <t>az elmúlt 30 napban</t>
        </is>
      </c>
      <c r="G69" s="6" t="inlineStr">
        <is>
          <t>Konténer, 43–155 l</t>
        </is>
      </c>
    </row>
    <row r="70">
      <c r="A70" s="6" t="inlineStr">
        <is>
          <t>GRO2506</t>
        </is>
      </c>
      <c r="B70" s="6" t="inlineStr">
        <is>
          <t>Lyukacsos konténer műanyag cserép 100 liter, 60 x 51 cm, fogantyúval</t>
        </is>
      </c>
      <c r="C70" s="6" t="inlineStr">
        <is>
          <t>Nagy virágcserép</t>
        </is>
      </c>
      <c r="D70" s="6" t="inlineStr">
        <is>
          <t>Virágcserép</t>
        </is>
      </c>
      <c r="E70" s="6" t="inlineStr">
        <is>
          <t>Erős</t>
        </is>
      </c>
      <c r="F70" s="6" t="inlineStr">
        <is>
          <t>az elmúlt 30 napban</t>
        </is>
      </c>
      <c r="G70" s="6" t="inlineStr">
        <is>
          <t>Konténer, 43–155 l</t>
        </is>
      </c>
    </row>
    <row r="71">
      <c r="A71" s="6" t="inlineStr">
        <is>
          <t>GRO4644</t>
        </is>
      </c>
      <c r="B71" s="6" t="inlineStr">
        <is>
          <t>Kerek műanyag konténer fogantyúval, 43 L (45x34 cm)</t>
        </is>
      </c>
      <c r="C71" s="6" t="inlineStr">
        <is>
          <t>Nagy virágcserép</t>
        </is>
      </c>
      <c r="D71" s="6" t="inlineStr">
        <is>
          <t>Virágcserép</t>
        </is>
      </c>
      <c r="E71" s="6" t="inlineStr">
        <is>
          <t>Erős</t>
        </is>
      </c>
      <c r="F71" s="6" t="inlineStr">
        <is>
          <t>az elmúlt 30 napban</t>
        </is>
      </c>
      <c r="G71" s="6" t="inlineStr">
        <is>
          <t>Konténer, 43–155 l</t>
        </is>
      </c>
    </row>
    <row r="72">
      <c r="A72" s="6" t="inlineStr">
        <is>
          <t>GRO4645</t>
        </is>
      </c>
      <c r="B72" s="6" t="inlineStr">
        <is>
          <t>Kerek műanyag konténer fogantyúval, 50 L (45x41 cm)</t>
        </is>
      </c>
      <c r="C72" s="6" t="inlineStr">
        <is>
          <t>Nagy virágcserép</t>
        </is>
      </c>
      <c r="D72" s="6" t="inlineStr">
        <is>
          <t>Virágcserép</t>
        </is>
      </c>
      <c r="E72" s="6" t="inlineStr">
        <is>
          <t>Erős</t>
        </is>
      </c>
      <c r="F72" s="6" t="inlineStr">
        <is>
          <t>az elmúlt 30 napban</t>
        </is>
      </c>
      <c r="G72" s="6" t="inlineStr">
        <is>
          <t>Konténer, 43–155 l</t>
        </is>
      </c>
    </row>
    <row r="73">
      <c r="A73" s="6" t="inlineStr">
        <is>
          <t>GRO4646</t>
        </is>
      </c>
      <c r="B73" s="6" t="inlineStr">
        <is>
          <t>Kerek műanyag konténer fogantyúval, 60 L (50x38 cm)</t>
        </is>
      </c>
      <c r="C73" s="6" t="inlineStr">
        <is>
          <t>Nagy virágcserép</t>
        </is>
      </c>
      <c r="D73" s="6" t="inlineStr">
        <is>
          <t>Virágcserép</t>
        </is>
      </c>
      <c r="E73" s="6" t="inlineStr">
        <is>
          <t>Erős</t>
        </is>
      </c>
      <c r="F73" s="6" t="inlineStr">
        <is>
          <t>az elmúlt 30 napban</t>
        </is>
      </c>
      <c r="G73" s="6" t="inlineStr">
        <is>
          <t>Konténer, 43–155 l</t>
        </is>
      </c>
    </row>
    <row r="74">
      <c r="A74" s="6" t="inlineStr">
        <is>
          <t>GRO4647</t>
        </is>
      </c>
      <c r="B74" s="6" t="inlineStr">
        <is>
          <t>Kerek műanyag konténer fogantyúval, 70 L (50x44 cm)</t>
        </is>
      </c>
      <c r="C74" s="6" t="inlineStr">
        <is>
          <t>Nagy virágcserép</t>
        </is>
      </c>
      <c r="D74" s="6" t="inlineStr">
        <is>
          <t>Virágcserép</t>
        </is>
      </c>
      <c r="E74" s="6" t="inlineStr">
        <is>
          <t>Erős</t>
        </is>
      </c>
      <c r="F74" s="6" t="inlineStr">
        <is>
          <t>az elmúlt 30 napban</t>
        </is>
      </c>
      <c r="G74" s="6" t="inlineStr">
        <is>
          <t>Konténer, 43–155 l</t>
        </is>
      </c>
    </row>
    <row r="75">
      <c r="A75" s="6" t="inlineStr">
        <is>
          <t>GRO4648</t>
        </is>
      </c>
      <c r="B75" s="6" t="inlineStr">
        <is>
          <t>Kerek műanyag konténer fogantyúval, 80 L (55x43 cm)</t>
        </is>
      </c>
      <c r="C75" s="6" t="inlineStr">
        <is>
          <t>Nagy virágcserép</t>
        </is>
      </c>
      <c r="D75" s="6" t="inlineStr">
        <is>
          <t>Virágcserép</t>
        </is>
      </c>
      <c r="E75" s="6" t="inlineStr">
        <is>
          <t>Erős</t>
        </is>
      </c>
      <c r="F75" s="6" t="inlineStr">
        <is>
          <t>az elmúlt 30 napban</t>
        </is>
      </c>
      <c r="G75" s="6" t="inlineStr">
        <is>
          <t>Konténer, 43–155 l</t>
        </is>
      </c>
    </row>
    <row r="76">
      <c r="A76" s="6" t="inlineStr">
        <is>
          <t>GRO4649</t>
        </is>
      </c>
      <c r="B76" s="6" t="inlineStr">
        <is>
          <t>Kerek műanyag konténer fogantyúval 100 L (55x51 cm)</t>
        </is>
      </c>
      <c r="C76" s="6" t="inlineStr">
        <is>
          <t>Nagy virágcserép</t>
        </is>
      </c>
      <c r="D76" s="6" t="inlineStr">
        <is>
          <t>Virágcserép</t>
        </is>
      </c>
      <c r="E76" s="6" t="inlineStr">
        <is>
          <t>Erős</t>
        </is>
      </c>
      <c r="F76" s="6" t="inlineStr">
        <is>
          <t>az elmúlt 30 napban</t>
        </is>
      </c>
      <c r="G76" s="6" t="inlineStr">
        <is>
          <t>Konténer, 43–155 l</t>
        </is>
      </c>
    </row>
    <row r="77">
      <c r="A77" s="6" t="inlineStr">
        <is>
          <t>GRO4652</t>
        </is>
      </c>
      <c r="B77" s="6" t="inlineStr">
        <is>
          <t>Kerek műanyag konténer fogantyúval, 130 L (65x51 cm)</t>
        </is>
      </c>
      <c r="C77" s="6" t="inlineStr">
        <is>
          <t>Nagy virágcserép</t>
        </is>
      </c>
      <c r="D77" s="6" t="inlineStr">
        <is>
          <t>Virágcserép</t>
        </is>
      </c>
      <c r="E77" s="6" t="inlineStr">
        <is>
          <t>Erős</t>
        </is>
      </c>
      <c r="F77" s="6" t="inlineStr">
        <is>
          <t>az elmúlt 30 napban</t>
        </is>
      </c>
      <c r="G77" s="6" t="inlineStr">
        <is>
          <t>Konténer, 43–155 l</t>
        </is>
      </c>
    </row>
    <row r="78">
      <c r="A78" s="6" t="inlineStr">
        <is>
          <t>GRO4653</t>
        </is>
      </c>
      <c r="B78" s="6" t="inlineStr">
        <is>
          <t>Kerek műanyag konténer fogantyúval, 155 L (70x51 cm)</t>
        </is>
      </c>
      <c r="C78" s="6" t="inlineStr">
        <is>
          <t>Nagy virágcserép</t>
        </is>
      </c>
      <c r="D78" s="6" t="inlineStr">
        <is>
          <t>Virágcserép</t>
        </is>
      </c>
      <c r="E78" s="6" t="inlineStr">
        <is>
          <t>Erős</t>
        </is>
      </c>
      <c r="F78" s="6" t="inlineStr">
        <is>
          <t>az elmúlt 30 napban</t>
        </is>
      </c>
      <c r="G78" s="6" t="inlineStr">
        <is>
          <t>Konténer, 43–155 l</t>
        </is>
      </c>
    </row>
    <row r="79">
      <c r="A79" s="6" t="inlineStr">
        <is>
          <t>GRO0822</t>
        </is>
      </c>
      <c r="B79" s="6" t="inlineStr">
        <is>
          <t>Szövet edény 3 liter, Smart Pot klón légáteresztő textilcserép</t>
        </is>
      </c>
      <c r="C79" s="6" t="inlineStr">
        <is>
          <t>Szövetcserép, ültetőzsák</t>
        </is>
      </c>
      <c r="D79" s="6" t="inlineStr"/>
      <c r="E79" s="6" t="inlineStr">
        <is>
          <t>Erős</t>
        </is>
      </c>
      <c r="F79" s="6" t="inlineStr">
        <is>
          <t>az elmúlt 30 napban</t>
        </is>
      </c>
      <c r="G79" s="6" t="inlineStr">
        <is>
          <t>Szövet- / textilcserép (Smart Pot típus)</t>
        </is>
      </c>
    </row>
    <row r="80">
      <c r="A80" s="6" t="inlineStr">
        <is>
          <t>GRO0823</t>
        </is>
      </c>
      <c r="B80" s="6" t="inlineStr">
        <is>
          <t>Szövet edény 15 liter, Smart Pot klón légáteresztő textilcserép</t>
        </is>
      </c>
      <c r="C80" s="6" t="inlineStr">
        <is>
          <t>Szövetcserép, ültetőzsák</t>
        </is>
      </c>
      <c r="D80" s="6" t="inlineStr"/>
      <c r="E80" s="6" t="inlineStr">
        <is>
          <t>Erős</t>
        </is>
      </c>
      <c r="F80" s="6" t="inlineStr">
        <is>
          <t>az elmúlt 30 napban</t>
        </is>
      </c>
      <c r="G80" s="6" t="inlineStr">
        <is>
          <t>Szövet- / textilcserép (Smart Pot típus)</t>
        </is>
      </c>
    </row>
    <row r="81">
      <c r="A81" s="6" t="inlineStr">
        <is>
          <t>GRO0824</t>
        </is>
      </c>
      <c r="B81" s="6" t="inlineStr">
        <is>
          <t>Szövet edény 25 liter, Smart Pot klón légáteresztő textilcserép</t>
        </is>
      </c>
      <c r="C81" s="6" t="inlineStr">
        <is>
          <t>Szövetcserép, ültetőzsák</t>
        </is>
      </c>
      <c r="D81" s="6" t="inlineStr"/>
      <c r="E81" s="6" t="inlineStr">
        <is>
          <t>Erős</t>
        </is>
      </c>
      <c r="F81" s="6" t="inlineStr">
        <is>
          <t>az elmúlt 30 napban</t>
        </is>
      </c>
      <c r="G81" s="6" t="inlineStr">
        <is>
          <t>Szövet- / textilcserép (Smart Pot típus)</t>
        </is>
      </c>
    </row>
    <row r="82">
      <c r="A82" s="6" t="inlineStr">
        <is>
          <t>GRO1110</t>
        </is>
      </c>
      <c r="B82" s="6" t="inlineStr">
        <is>
          <t>Szövet edény 7 liter, Smart Pot klón légáteresztő textilcserép</t>
        </is>
      </c>
      <c r="C82" s="6" t="inlineStr">
        <is>
          <t>Szövetcserép, ültetőzsák</t>
        </is>
      </c>
      <c r="D82" s="6" t="inlineStr"/>
      <c r="E82" s="6" t="inlineStr">
        <is>
          <t>Erős</t>
        </is>
      </c>
      <c r="F82" s="6" t="inlineStr">
        <is>
          <t>az elmúlt 30 napban</t>
        </is>
      </c>
      <c r="G82" s="6" t="inlineStr">
        <is>
          <t>Szövet- / textilcserép (Smart Pot típus)</t>
        </is>
      </c>
    </row>
    <row r="83">
      <c r="A83" s="6" t="inlineStr">
        <is>
          <t>GRO1111</t>
        </is>
      </c>
      <c r="B83" s="6" t="inlineStr">
        <is>
          <t>Szövet edény 10 liter, Smart Pot klón légáteresztő textilcserép</t>
        </is>
      </c>
      <c r="C83" s="6" t="inlineStr">
        <is>
          <t>Szövetcserép, ültetőzsák</t>
        </is>
      </c>
      <c r="D83" s="6" t="inlineStr"/>
      <c r="E83" s="6" t="inlineStr">
        <is>
          <t>Erős</t>
        </is>
      </c>
      <c r="F83" s="6" t="inlineStr">
        <is>
          <t>az elmúlt 30 napban</t>
        </is>
      </c>
      <c r="G83" s="6" t="inlineStr">
        <is>
          <t>Szövet- / textilcserép (Smart Pot típus)</t>
        </is>
      </c>
    </row>
    <row r="84">
      <c r="A84" s="6" t="inlineStr">
        <is>
          <t>GRO2492</t>
        </is>
      </c>
      <c r="B84" s="6" t="inlineStr">
        <is>
          <t>Szövet edény 1 liter, Smart Pot klón légáteresztő textilcserép</t>
        </is>
      </c>
      <c r="C84" s="6" t="inlineStr">
        <is>
          <t>Szövetcserép, ültetőzsák</t>
        </is>
      </c>
      <c r="D84" s="6" t="inlineStr"/>
      <c r="E84" s="6" t="inlineStr">
        <is>
          <t>Erős</t>
        </is>
      </c>
      <c r="F84" s="6" t="inlineStr">
        <is>
          <t>az elmúlt 30 napban</t>
        </is>
      </c>
      <c r="G84" s="6" t="inlineStr">
        <is>
          <t>Szövet- / textilcserép (Smart Pot típus)</t>
        </is>
      </c>
    </row>
    <row r="85">
      <c r="A85" s="6" t="inlineStr">
        <is>
          <t>GRO2572</t>
        </is>
      </c>
      <c r="B85" s="6" t="inlineStr">
        <is>
          <t>Szövet edény 50 liter, Smart Pot klón légáteresztő textilcserép</t>
        </is>
      </c>
      <c r="C85" s="6" t="inlineStr">
        <is>
          <t>Szövetcserép, ültetőzsák</t>
        </is>
      </c>
      <c r="D85" s="6" t="inlineStr"/>
      <c r="E85" s="6" t="inlineStr">
        <is>
          <t>Erős</t>
        </is>
      </c>
      <c r="F85" s="6" t="inlineStr">
        <is>
          <t>az elmúlt 30 napban</t>
        </is>
      </c>
      <c r="G85" s="6" t="inlineStr">
        <is>
          <t>Nagy szövetcserép, 39–550 l</t>
        </is>
      </c>
    </row>
    <row r="86">
      <c r="A86" s="6" t="inlineStr">
        <is>
          <t>GRO3225</t>
        </is>
      </c>
      <c r="B86" s="6" t="inlineStr">
        <is>
          <t>Urban Garden szövetcserép 4 liter, légáteresztő textil termesztőedény (14 x 14 x 20 cm)</t>
        </is>
      </c>
      <c r="C86" s="6" t="inlineStr">
        <is>
          <t>Szövetcserép, ültetőzsák</t>
        </is>
      </c>
      <c r="D86" s="6" t="inlineStr"/>
      <c r="E86" s="6" t="inlineStr">
        <is>
          <t>Erős</t>
        </is>
      </c>
      <c r="F86" s="6" t="inlineStr">
        <is>
          <t>az elmúlt 30 napban</t>
        </is>
      </c>
      <c r="G86" s="6" t="inlineStr">
        <is>
          <t>Szövet- / textilcserép (Smart Pot típus)</t>
        </is>
      </c>
    </row>
    <row r="87">
      <c r="A87" s="6" t="inlineStr">
        <is>
          <t>GRO3226</t>
        </is>
      </c>
      <c r="B87" s="6" t="inlineStr">
        <is>
          <t>Urban Garden szövetcserép 8 liter, légáteresztő textil termesztőedény (18 x 18 x 25,5 cm)</t>
        </is>
      </c>
      <c r="C87" s="6" t="inlineStr">
        <is>
          <t>Szövetcserép, ültetőzsák</t>
        </is>
      </c>
      <c r="D87" s="6" t="inlineStr"/>
      <c r="E87" s="6" t="inlineStr">
        <is>
          <t>Erős</t>
        </is>
      </c>
      <c r="F87" s="6" t="inlineStr">
        <is>
          <t>az elmúlt 30 napban</t>
        </is>
      </c>
      <c r="G87" s="6" t="inlineStr">
        <is>
          <t>Szövet- / textilcserép (Smart Pot típus)</t>
        </is>
      </c>
    </row>
    <row r="88">
      <c r="A88" s="6" t="inlineStr">
        <is>
          <t>GRO3227</t>
        </is>
      </c>
      <c r="B88" s="6" t="inlineStr">
        <is>
          <t>Urban Garden szövetcserép 11 liter</t>
        </is>
      </c>
      <c r="C88" s="6" t="inlineStr">
        <is>
          <t>Szövetcserép, ültetőzsák</t>
        </is>
      </c>
      <c r="D88" s="6" t="inlineStr"/>
      <c r="E88" s="6" t="inlineStr">
        <is>
          <t>Erős</t>
        </is>
      </c>
      <c r="F88" s="6" t="inlineStr">
        <is>
          <t>az elmúlt 6 hónapban</t>
        </is>
      </c>
      <c r="G88" s="6" t="inlineStr">
        <is>
          <t>Szövet- / textilcserép (Smart Pot típus)</t>
        </is>
      </c>
    </row>
    <row r="89">
      <c r="A89" s="6" t="inlineStr">
        <is>
          <t>GRO3228</t>
        </is>
      </c>
      <c r="B89" s="6" t="inlineStr">
        <is>
          <t>Urban Garden szövetcserép 15 liter, légáteresztő textil termesztőedény (23 x 23 x 29,5 cm)</t>
        </is>
      </c>
      <c r="C89" s="6" t="inlineStr">
        <is>
          <t>Szövetcserép, ültetőzsák</t>
        </is>
      </c>
      <c r="D89" s="6" t="inlineStr"/>
      <c r="E89" s="6" t="inlineStr">
        <is>
          <t>Erős</t>
        </is>
      </c>
      <c r="F89" s="6" t="inlineStr">
        <is>
          <t>az elmúlt 30 napban</t>
        </is>
      </c>
      <c r="G89" s="6" t="inlineStr">
        <is>
          <t>Szövet- / textilcserép (Smart Pot típus)</t>
        </is>
      </c>
    </row>
    <row r="90">
      <c r="A90" s="6" t="inlineStr">
        <is>
          <t>GRO3229</t>
        </is>
      </c>
      <c r="B90" s="6" t="inlineStr">
        <is>
          <t>Urban Garden szövetcserép 25 liter</t>
        </is>
      </c>
      <c r="C90" s="6" t="inlineStr">
        <is>
          <t>Szövetcserép, ültetőzsák</t>
        </is>
      </c>
      <c r="D90" s="6" t="inlineStr"/>
      <c r="E90" s="6" t="inlineStr">
        <is>
          <t>Erős</t>
        </is>
      </c>
      <c r="F90" s="6" t="inlineStr">
        <is>
          <t>az elmúlt 6 hónapban</t>
        </is>
      </c>
      <c r="G90" s="6" t="inlineStr">
        <is>
          <t>Szövet- / textilcserép (Smart Pot típus)</t>
        </is>
      </c>
    </row>
    <row r="91">
      <c r="A91" s="6" t="inlineStr">
        <is>
          <t>GRO3230</t>
        </is>
      </c>
      <c r="B91" s="6" t="inlineStr">
        <is>
          <t>Urban Garden szövetcserép 39 liter, légáteresztő textil termesztőedény (33 x 33 x 36 cm)</t>
        </is>
      </c>
      <c r="C91" s="6" t="inlineStr">
        <is>
          <t>Szövetcserép, ültetőzsák</t>
        </is>
      </c>
      <c r="D91" s="6" t="inlineStr"/>
      <c r="E91" s="6" t="inlineStr">
        <is>
          <t>Erős</t>
        </is>
      </c>
      <c r="F91" s="6" t="inlineStr">
        <is>
          <t>az elmúlt 30 napban</t>
        </is>
      </c>
      <c r="G91" s="6" t="inlineStr">
        <is>
          <t>Nagy szövetcserép, 39–550 l</t>
        </is>
      </c>
    </row>
    <row r="92">
      <c r="A92" s="6" t="inlineStr">
        <is>
          <t>GRO3664</t>
        </is>
      </c>
      <c r="B92" s="6" t="inlineStr">
        <is>
          <t>Urban Garden szövetcserép 2 liter</t>
        </is>
      </c>
      <c r="C92" s="6" t="inlineStr">
        <is>
          <t>Szövetcserép, ültetőzsák</t>
        </is>
      </c>
      <c r="D92" s="6" t="inlineStr"/>
      <c r="E92" s="6" t="inlineStr">
        <is>
          <t>Erős</t>
        </is>
      </c>
      <c r="F92" s="6" t="inlineStr">
        <is>
          <t>az elmúlt 30 napban</t>
        </is>
      </c>
      <c r="G92" s="6" t="inlineStr">
        <is>
          <t>Szövet- / textilcserép (Smart Pot típus)</t>
        </is>
      </c>
    </row>
    <row r="93">
      <c r="A93" s="6" t="inlineStr">
        <is>
          <t>GRO3665</t>
        </is>
      </c>
      <c r="B93" s="6" t="inlineStr">
        <is>
          <t>Urban Garden szövetcserép 19 liter</t>
        </is>
      </c>
      <c r="C93" s="6" t="inlineStr">
        <is>
          <t>Szövetcserép, ültetőzsák</t>
        </is>
      </c>
      <c r="D93" s="6" t="inlineStr"/>
      <c r="E93" s="6" t="inlineStr">
        <is>
          <t>Erős</t>
        </is>
      </c>
      <c r="F93" s="6" t="inlineStr">
        <is>
          <t>az elmúlt 30 napban</t>
        </is>
      </c>
      <c r="G93" s="6" t="inlineStr">
        <is>
          <t>Szövet- / textilcserép (Smart Pot típus)</t>
        </is>
      </c>
    </row>
    <row r="94">
      <c r="A94" s="6" t="inlineStr">
        <is>
          <t>GRO3666</t>
        </is>
      </c>
      <c r="B94" s="6" t="inlineStr">
        <is>
          <t>Urban Garden szövetcserép 55 liter</t>
        </is>
      </c>
      <c r="C94" s="6" t="inlineStr">
        <is>
          <t>Szövetcserép, ültetőzsák</t>
        </is>
      </c>
      <c r="D94" s="6" t="inlineStr"/>
      <c r="E94" s="6" t="inlineStr">
        <is>
          <t>Erős</t>
        </is>
      </c>
      <c r="F94" s="6" t="inlineStr">
        <is>
          <t>az elmúlt 30 napban</t>
        </is>
      </c>
      <c r="G94" s="6" t="inlineStr">
        <is>
          <t>Nagy szövetcserép, 39–550 l</t>
        </is>
      </c>
    </row>
    <row r="95">
      <c r="A95" s="6" t="inlineStr">
        <is>
          <t>GRO3667</t>
        </is>
      </c>
      <c r="B95" s="6" t="inlineStr">
        <is>
          <t>Urban Garden szövetcserép 75 liter</t>
        </is>
      </c>
      <c r="C95" s="6" t="inlineStr">
        <is>
          <t>Szövetcserép, ültetőzsák</t>
        </is>
      </c>
      <c r="D95" s="6" t="inlineStr"/>
      <c r="E95" s="6" t="inlineStr">
        <is>
          <t>Erős</t>
        </is>
      </c>
      <c r="F95" s="6" t="inlineStr">
        <is>
          <t>az elmúlt 30 napban</t>
        </is>
      </c>
      <c r="G95" s="6" t="inlineStr">
        <is>
          <t>Nagy szövetcserép, 39–550 l</t>
        </is>
      </c>
    </row>
    <row r="96">
      <c r="A96" s="6" t="inlineStr">
        <is>
          <t>GRO3668</t>
        </is>
      </c>
      <c r="B96" s="6" t="inlineStr">
        <is>
          <t>Urban Garden szövetcserép 95 liter</t>
        </is>
      </c>
      <c r="C96" s="6" t="inlineStr">
        <is>
          <t>Szövetcserép, ültetőzsák</t>
        </is>
      </c>
      <c r="D96" s="6" t="inlineStr"/>
      <c r="E96" s="6" t="inlineStr">
        <is>
          <t>Erős</t>
        </is>
      </c>
      <c r="F96" s="6" t="inlineStr">
        <is>
          <t>az elmúlt 30 napban</t>
        </is>
      </c>
      <c r="G96" s="6" t="inlineStr">
        <is>
          <t>Nagy szövetcserép, 39–550 l</t>
        </is>
      </c>
    </row>
    <row r="97">
      <c r="A97" s="6" t="inlineStr">
        <is>
          <t>GRO3669</t>
        </is>
      </c>
      <c r="B97" s="6" t="inlineStr">
        <is>
          <t>Urban Garden szövetcserép 150 liter</t>
        </is>
      </c>
      <c r="C97" s="6" t="inlineStr">
        <is>
          <t>Szövetcserép, ültetőzsák</t>
        </is>
      </c>
      <c r="D97" s="6" t="inlineStr"/>
      <c r="E97" s="6" t="inlineStr">
        <is>
          <t>Erős</t>
        </is>
      </c>
      <c r="F97" s="6" t="inlineStr">
        <is>
          <t>az elmúlt 30 napban</t>
        </is>
      </c>
      <c r="G97" s="6" t="inlineStr">
        <is>
          <t>Nagy szövetcserép, 39–550 l</t>
        </is>
      </c>
    </row>
    <row r="98">
      <c r="A98" s="6" t="inlineStr">
        <is>
          <t>GRO3670</t>
        </is>
      </c>
      <c r="B98" s="6" t="inlineStr">
        <is>
          <t>Urban Garden szövetcserép 225 liter</t>
        </is>
      </c>
      <c r="C98" s="6" t="inlineStr">
        <is>
          <t>Szövetcserép, ültetőzsák</t>
        </is>
      </c>
      <c r="D98" s="6" t="inlineStr"/>
      <c r="E98" s="6" t="inlineStr">
        <is>
          <t>Erős</t>
        </is>
      </c>
      <c r="F98" s="6" t="inlineStr">
        <is>
          <t>az elmúlt 6 hónapban</t>
        </is>
      </c>
      <c r="G98" s="6" t="inlineStr">
        <is>
          <t>Nagy szövetcserép, 39–550 l</t>
        </is>
      </c>
    </row>
    <row r="99">
      <c r="A99" s="6" t="inlineStr">
        <is>
          <t>GRO3671</t>
        </is>
      </c>
      <c r="B99" s="6" t="inlineStr">
        <is>
          <t>Urban Garden szövetcserép 300 liter</t>
        </is>
      </c>
      <c r="C99" s="6" t="inlineStr">
        <is>
          <t>Szövetcserép, ültetőzsák</t>
        </is>
      </c>
      <c r="D99" s="6" t="inlineStr"/>
      <c r="E99" s="6" t="inlineStr">
        <is>
          <t>Erős</t>
        </is>
      </c>
      <c r="F99" s="6" t="inlineStr">
        <is>
          <t>az elmúlt 30 napban</t>
        </is>
      </c>
      <c r="G99" s="6" t="inlineStr">
        <is>
          <t>Nagy szövetcserép, 39–550 l</t>
        </is>
      </c>
    </row>
    <row r="100">
      <c r="A100" s="6" t="inlineStr">
        <is>
          <t>GRO3672</t>
        </is>
      </c>
      <c r="B100" s="6" t="inlineStr">
        <is>
          <t>Urban Garden szövetcserép 550 liter</t>
        </is>
      </c>
      <c r="C100" s="6" t="inlineStr">
        <is>
          <t>Szövetcserép, ültetőzsák</t>
        </is>
      </c>
      <c r="D100" s="6" t="inlineStr"/>
      <c r="E100" s="6" t="inlineStr">
        <is>
          <t>Erős</t>
        </is>
      </c>
      <c r="F100" s="6" t="inlineStr">
        <is>
          <t>az elmúlt 30 napban</t>
        </is>
      </c>
      <c r="G100" s="6" t="inlineStr">
        <is>
          <t>Nagy szövetcserép, 39–550 l</t>
        </is>
      </c>
    </row>
    <row r="101">
      <c r="A101" s="6" t="inlineStr">
        <is>
          <t>GRO4131</t>
        </is>
      </c>
      <c r="B101" s="6" t="inlineStr">
        <is>
          <t>Garden Highpro szövetcserép (7 liter)</t>
        </is>
      </c>
      <c r="C101" s="6" t="inlineStr">
        <is>
          <t>Szövetcserép, ültetőzsák</t>
        </is>
      </c>
      <c r="D101" s="6" t="inlineStr"/>
      <c r="E101" s="6" t="inlineStr">
        <is>
          <t>Erős</t>
        </is>
      </c>
      <c r="F101" s="6" t="inlineStr">
        <is>
          <t>az elmúlt 30 napban</t>
        </is>
      </c>
      <c r="G101" s="6" t="inlineStr">
        <is>
          <t>Szövet- / textilcserép (Smart Pot típus)</t>
        </is>
      </c>
    </row>
    <row r="102">
      <c r="A102" s="6" t="inlineStr">
        <is>
          <t>GRO4132</t>
        </is>
      </c>
      <c r="B102" s="6" t="inlineStr">
        <is>
          <t>Garden Highpro szövetcserép fogantyúval (15 liter)</t>
        </is>
      </c>
      <c r="C102" s="6" t="inlineStr">
        <is>
          <t>Szövetcserép, ültetőzsák</t>
        </is>
      </c>
      <c r="D102" s="6" t="inlineStr"/>
      <c r="E102" s="6" t="inlineStr">
        <is>
          <t>Erős</t>
        </is>
      </c>
      <c r="F102" s="6" t="inlineStr">
        <is>
          <t>az elmúlt 6 hónapban</t>
        </is>
      </c>
      <c r="G102" s="6" t="inlineStr">
        <is>
          <t>Szövet- / textilcserép (Smart Pot típus)</t>
        </is>
      </c>
    </row>
    <row r="103">
      <c r="A103" s="6" t="inlineStr">
        <is>
          <t>GRO4297</t>
        </is>
      </c>
      <c r="B103" s="6" t="inlineStr">
        <is>
          <t>AC Infinity szövetcserép 5 db 19 L</t>
        </is>
      </c>
      <c r="C103" s="6" t="inlineStr">
        <is>
          <t>Szövetcserép, ültetőzsák</t>
        </is>
      </c>
      <c r="D103" s="6" t="inlineStr"/>
      <c r="E103" s="6" t="inlineStr">
        <is>
          <t>Erős</t>
        </is>
      </c>
      <c r="F103" s="6" t="inlineStr">
        <is>
          <t>az elmúlt 6 hónapban</t>
        </is>
      </c>
      <c r="G103" s="6" t="inlineStr">
        <is>
          <t>Szövet- / textilcserép (Smart Pot típus)</t>
        </is>
      </c>
    </row>
    <row r="104">
      <c r="A104" s="6" t="inlineStr">
        <is>
          <t>GRO4324</t>
        </is>
      </c>
      <c r="B104" s="6" t="inlineStr">
        <is>
          <t>AC Infinity szövetcserép 5 db 11 L</t>
        </is>
      </c>
      <c r="C104" s="6" t="inlineStr">
        <is>
          <t>Szövetcserép, ültetőzsák</t>
        </is>
      </c>
      <c r="D104" s="6" t="inlineStr"/>
      <c r="E104" s="6" t="inlineStr">
        <is>
          <t>Erős</t>
        </is>
      </c>
      <c r="F104" s="6" t="inlineStr">
        <is>
          <t>az elmúlt 30 napban</t>
        </is>
      </c>
      <c r="G104" s="6" t="inlineStr">
        <is>
          <t>Szövet- / textilcserép (Smart Pot típus)</t>
        </is>
      </c>
    </row>
    <row r="105">
      <c r="A105" s="6" t="inlineStr">
        <is>
          <t>GRO0067</t>
        </is>
      </c>
      <c r="B105" s="6" t="inlineStr">
        <is>
          <t>Szögletes műanyag cserép 6 liter, 17,5 x 17,5 x 25 cm, gyökércsavarodás gátló</t>
        </is>
      </c>
      <c r="C105" s="6" t="inlineStr">
        <is>
          <t>Virágcserép</t>
        </is>
      </c>
      <c r="D105" s="6" t="inlineStr">
        <is>
          <t>Szögletes cserép</t>
        </is>
      </c>
      <c r="E105" s="6" t="inlineStr">
        <is>
          <t>Erős</t>
        </is>
      </c>
      <c r="F105" s="6" t="inlineStr">
        <is>
          <t>az elmúlt 30 napban</t>
        </is>
      </c>
      <c r="G105" s="6" t="inlineStr">
        <is>
          <t>Szögletes, gyökércsavarodás-gátló</t>
        </is>
      </c>
    </row>
    <row r="106">
      <c r="A106" s="6" t="inlineStr">
        <is>
          <t>GRO0068</t>
        </is>
      </c>
      <c r="B106" s="6" t="inlineStr">
        <is>
          <t>Görög mintás négyzetes műanyag virágcserép 18 liter, 30,5 x 30,5 cm</t>
        </is>
      </c>
      <c r="C106" s="6" t="inlineStr">
        <is>
          <t>Virágcserép</t>
        </is>
      </c>
      <c r="D106" s="6" t="inlineStr">
        <is>
          <t>Szögletes cserép</t>
        </is>
      </c>
      <c r="E106" s="6" t="inlineStr">
        <is>
          <t>Erős</t>
        </is>
      </c>
      <c r="F106" s="6" t="inlineStr">
        <is>
          <t>az elmúlt 30 napban</t>
        </is>
      </c>
      <c r="G106" s="6" t="inlineStr">
        <is>
          <t>Görög mintás négyzetes</t>
        </is>
      </c>
    </row>
    <row r="107">
      <c r="A107" s="6" t="inlineStr">
        <is>
          <t>GRO0069</t>
        </is>
      </c>
      <c r="B107" s="6" t="inlineStr">
        <is>
          <t>Görög mintás négyzetes műanyag virágcserép 25 liter, 33,5 x 33,5 cm</t>
        </is>
      </c>
      <c r="C107" s="6" t="inlineStr">
        <is>
          <t>Virágcserép</t>
        </is>
      </c>
      <c r="D107" s="6" t="inlineStr">
        <is>
          <t>Szögletes cserép, Nagy virágcserép</t>
        </is>
      </c>
      <c r="E107" s="6" t="inlineStr">
        <is>
          <t>Erős</t>
        </is>
      </c>
      <c r="F107" s="6" t="inlineStr">
        <is>
          <t>az elmúlt 30 napban</t>
        </is>
      </c>
      <c r="G107" s="6" t="inlineStr">
        <is>
          <t>Görög mintás négyzetes, 25–30 l</t>
        </is>
      </c>
    </row>
    <row r="108">
      <c r="A108" s="6" t="inlineStr">
        <is>
          <t>GRO0070</t>
        </is>
      </c>
      <c r="B108" s="6" t="inlineStr">
        <is>
          <t>Görög mintás négyzetes műanyag virágcserép 30 liter, 36,5 x 36,5 cm</t>
        </is>
      </c>
      <c r="C108" s="6" t="inlineStr">
        <is>
          <t>Virágcserép</t>
        </is>
      </c>
      <c r="D108" s="6" t="inlineStr">
        <is>
          <t>Szögletes cserép, Nagy virágcserép</t>
        </is>
      </c>
      <c r="E108" s="6" t="inlineStr">
        <is>
          <t>Erős</t>
        </is>
      </c>
      <c r="F108" s="6" t="inlineStr">
        <is>
          <t>az elmúlt 30 napban</t>
        </is>
      </c>
      <c r="G108" s="6" t="inlineStr">
        <is>
          <t>Görög mintás négyzetes, 25–30 l</t>
        </is>
      </c>
    </row>
    <row r="109">
      <c r="A109" s="6" t="inlineStr">
        <is>
          <t>GRO0748</t>
        </is>
      </c>
      <c r="B109" s="6" t="inlineStr">
        <is>
          <t>Görög mintás négyzetes műanyag virágcserép 9 liter, 23 x 23 cm</t>
        </is>
      </c>
      <c r="C109" s="6" t="inlineStr">
        <is>
          <t>Virágcserép</t>
        </is>
      </c>
      <c r="D109" s="6" t="inlineStr">
        <is>
          <t>Szögletes cserép</t>
        </is>
      </c>
      <c r="E109" s="6" t="inlineStr">
        <is>
          <t>Erős</t>
        </is>
      </c>
      <c r="F109" s="6" t="inlineStr">
        <is>
          <t>az elmúlt 30 napban</t>
        </is>
      </c>
      <c r="G109" s="6" t="inlineStr">
        <is>
          <t>Görög mintás négyzetes</t>
        </is>
      </c>
    </row>
    <row r="110">
      <c r="A110" s="6" t="inlineStr">
        <is>
          <t>GRO1141</t>
        </is>
      </c>
      <c r="B110" s="6" t="inlineStr">
        <is>
          <t>Szögletes műanyag cserép 2,5 liter, 13 x 13 x 18 cm, gyökércsavarodás gátló</t>
        </is>
      </c>
      <c r="C110" s="6" t="inlineStr">
        <is>
          <t>Virágcserép</t>
        </is>
      </c>
      <c r="D110" s="6" t="inlineStr">
        <is>
          <t>Szögletes cserép</t>
        </is>
      </c>
      <c r="E110" s="6" t="inlineStr">
        <is>
          <t>Erős</t>
        </is>
      </c>
      <c r="F110" s="6" t="inlineStr">
        <is>
          <t>az elmúlt 30 napban</t>
        </is>
      </c>
      <c r="G110" s="6" t="inlineStr">
        <is>
          <t>Szögletes, gyökércsavarodás-gátló</t>
        </is>
      </c>
    </row>
    <row r="111">
      <c r="A111" s="6" t="inlineStr">
        <is>
          <t>GRO1143</t>
        </is>
      </c>
      <c r="B111" s="6" t="inlineStr">
        <is>
          <t>Görög mintás négyzetes műanyag virágcserép 14 liter, 28,5 x 28,5 cm</t>
        </is>
      </c>
      <c r="C111" s="6" t="inlineStr">
        <is>
          <t>Virágcserép</t>
        </is>
      </c>
      <c r="D111" s="6" t="inlineStr">
        <is>
          <t>Szögletes cserép</t>
        </is>
      </c>
      <c r="E111" s="6" t="inlineStr">
        <is>
          <t>Erős</t>
        </is>
      </c>
      <c r="F111" s="6" t="inlineStr">
        <is>
          <t>az elmúlt 30 napban</t>
        </is>
      </c>
      <c r="G111" s="6" t="inlineStr">
        <is>
          <t>Görög mintás négyzetes</t>
        </is>
      </c>
    </row>
    <row r="112">
      <c r="A112" s="6" t="inlineStr">
        <is>
          <t>GRO1160</t>
        </is>
      </c>
      <c r="B112" s="6" t="inlineStr">
        <is>
          <t>Szögletes műanyag cserép 1,4 liter, 10 x 10 x 17 cm, gyökércsavarodás gátló</t>
        </is>
      </c>
      <c r="C112" s="6" t="inlineStr">
        <is>
          <t>Virágcserép</t>
        </is>
      </c>
      <c r="D112" s="6" t="inlineStr">
        <is>
          <t>Szögletes cserép</t>
        </is>
      </c>
      <c r="E112" s="6" t="inlineStr">
        <is>
          <t>Erős</t>
        </is>
      </c>
      <c r="F112" s="6" t="inlineStr">
        <is>
          <t>az elmúlt 30 napban</t>
        </is>
      </c>
      <c r="G112" s="6" t="inlineStr">
        <is>
          <t>Szögletes, gyökércsavarodás-gátló</t>
        </is>
      </c>
    </row>
    <row r="113">
      <c r="A113" s="6" t="inlineStr">
        <is>
          <t>GRO1161</t>
        </is>
      </c>
      <c r="B113" s="6" t="inlineStr">
        <is>
          <t>Szögletes műanyag cserép 1,8 liter, 10,5 x 8,5 x 22 cm, gyökércsavarodás gátló</t>
        </is>
      </c>
      <c r="C113" s="6" t="inlineStr">
        <is>
          <t>Virágcserép</t>
        </is>
      </c>
      <c r="D113" s="6" t="inlineStr">
        <is>
          <t>Szögletes cserép</t>
        </is>
      </c>
      <c r="E113" s="6" t="inlineStr">
        <is>
          <t>Erős</t>
        </is>
      </c>
      <c r="F113" s="6" t="inlineStr">
        <is>
          <t>az elmúlt 30 napban</t>
        </is>
      </c>
      <c r="G113" s="6" t="inlineStr">
        <is>
          <t>Szögletes, gyökércsavarodás-gátló</t>
        </is>
      </c>
    </row>
    <row r="114">
      <c r="A114" s="6" t="inlineStr">
        <is>
          <t>GRO1189</t>
        </is>
      </c>
      <c r="B114" s="6" t="inlineStr">
        <is>
          <t>Görög mintás négyzetes műanyag virágcserép 11 liter, 25 x 25 cm</t>
        </is>
      </c>
      <c r="C114" s="6" t="inlineStr">
        <is>
          <t>Virágcserép</t>
        </is>
      </c>
      <c r="D114" s="6" t="inlineStr">
        <is>
          <t>Szögletes cserép</t>
        </is>
      </c>
      <c r="E114" s="6" t="inlineStr">
        <is>
          <t>Erős</t>
        </is>
      </c>
      <c r="F114" s="6" t="inlineStr">
        <is>
          <t>az elmúlt 30 napban</t>
        </is>
      </c>
      <c r="G114" s="6" t="inlineStr">
        <is>
          <t>Görög mintás négyzetes</t>
        </is>
      </c>
    </row>
    <row r="115">
      <c r="A115" s="6" t="inlineStr">
        <is>
          <t>GRO1259</t>
        </is>
      </c>
      <c r="B115" s="6" t="inlineStr">
        <is>
          <t>Szögletes műanyag cserép 1,5 liter, 12 x 12 x 13 cm, gyökércsavarodás gátló</t>
        </is>
      </c>
      <c r="C115" s="6" t="inlineStr">
        <is>
          <t>Virágcserép</t>
        </is>
      </c>
      <c r="D115" s="6" t="inlineStr">
        <is>
          <t>Szögletes cserép</t>
        </is>
      </c>
      <c r="E115" s="6" t="inlineStr">
        <is>
          <t>Erős</t>
        </is>
      </c>
      <c r="F115" s="6" t="inlineStr">
        <is>
          <t>az elmúlt 30 napban</t>
        </is>
      </c>
      <c r="G115" s="6" t="inlineStr">
        <is>
          <t>Szögletes, gyökércsavarodás-gátló</t>
        </is>
      </c>
    </row>
    <row r="116">
      <c r="A116" s="6" t="inlineStr">
        <is>
          <t>GRO1261</t>
        </is>
      </c>
      <c r="B116" s="6" t="inlineStr">
        <is>
          <t>Szögletes műanyag cserép 15 x 15 x 20 cm, gyökércsavarodás gátló</t>
        </is>
      </c>
      <c r="C116" s="6" t="inlineStr">
        <is>
          <t>Virágcserép</t>
        </is>
      </c>
      <c r="D116" s="6" t="inlineStr">
        <is>
          <t>Szögletes cserép</t>
        </is>
      </c>
      <c r="E116" s="6" t="inlineStr">
        <is>
          <t>Erős</t>
        </is>
      </c>
      <c r="F116" s="6" t="inlineStr">
        <is>
          <t>az elmúlt 30 napban</t>
        </is>
      </c>
      <c r="G116" s="6" t="inlineStr">
        <is>
          <t>Szögletes, gyökércsavarodás-gátló</t>
        </is>
      </c>
    </row>
    <row r="117">
      <c r="A117" s="6" t="inlineStr">
        <is>
          <t>GRO1806</t>
        </is>
      </c>
      <c r="B117" s="6" t="inlineStr">
        <is>
          <t>Lyukacsos kerek virágcserép 2 liter, 16 x 14 cm, spirálgyökér gátló</t>
        </is>
      </c>
      <c r="C117" s="6" t="inlineStr">
        <is>
          <t>Virágcserép</t>
        </is>
      </c>
      <c r="D117" s="6" t="inlineStr"/>
      <c r="E117" s="6" t="inlineStr">
        <is>
          <t>Erős</t>
        </is>
      </c>
      <c r="F117" s="6" t="inlineStr">
        <is>
          <t>az elmúlt 30 napban</t>
        </is>
      </c>
      <c r="G117" s="6" t="inlineStr">
        <is>
          <t>Lyukacsos kerek, spirálgyökér-gátló</t>
        </is>
      </c>
    </row>
    <row r="118">
      <c r="A118" s="6" t="inlineStr">
        <is>
          <t>GRO1807</t>
        </is>
      </c>
      <c r="B118" s="6" t="inlineStr">
        <is>
          <t>Lyukacsos kerek virágcserép 19x17 cm 3 liter</t>
        </is>
      </c>
      <c r="C118" s="6" t="inlineStr">
        <is>
          <t>Virágcserép</t>
        </is>
      </c>
      <c r="D118" s="6" t="inlineStr"/>
      <c r="E118" s="6" t="inlineStr">
        <is>
          <t>Erős</t>
        </is>
      </c>
      <c r="F118" s="6" t="inlineStr">
        <is>
          <t>2025-10 – 2026-04</t>
        </is>
      </c>
      <c r="G118" s="6" t="inlineStr">
        <is>
          <t>Lyukacsos kerek, spirálgyökér-gátló</t>
        </is>
      </c>
    </row>
    <row r="119">
      <c r="A119" s="6" t="inlineStr">
        <is>
          <t>GRO1808</t>
        </is>
      </c>
      <c r="B119" s="6" t="inlineStr">
        <is>
          <t>Lyukacsos kerek virágcserép 7,5 liter, 26 x 22 cm, spirálgyökér gátló</t>
        </is>
      </c>
      <c r="C119" s="6" t="inlineStr">
        <is>
          <t>Virágcserép</t>
        </is>
      </c>
      <c r="D119" s="6" t="inlineStr"/>
      <c r="E119" s="6" t="inlineStr">
        <is>
          <t>Erős</t>
        </is>
      </c>
      <c r="F119" s="6" t="inlineStr">
        <is>
          <t>az elmúlt 30 napban</t>
        </is>
      </c>
      <c r="G119" s="6" t="inlineStr">
        <is>
          <t>Lyukacsos kerek, spirálgyökér-gátló</t>
        </is>
      </c>
    </row>
    <row r="120">
      <c r="A120" s="6" t="inlineStr">
        <is>
          <t>GRO1809</t>
        </is>
      </c>
      <c r="B120" s="6" t="inlineStr">
        <is>
          <t>Lyukacsos kerek virágcserép 9,5 liter, 28,5 x 24 cm, spirálgyökér gátló</t>
        </is>
      </c>
      <c r="C120" s="6" t="inlineStr">
        <is>
          <t>Virágcserép</t>
        </is>
      </c>
      <c r="D120" s="6" t="inlineStr"/>
      <c r="E120" s="6" t="inlineStr">
        <is>
          <t>Erős</t>
        </is>
      </c>
      <c r="F120" s="6" t="inlineStr">
        <is>
          <t>az elmúlt 30 napban</t>
        </is>
      </c>
      <c r="G120" s="6" t="inlineStr">
        <is>
          <t>Lyukacsos kerek, spirálgyökér-gátló</t>
        </is>
      </c>
    </row>
    <row r="121">
      <c r="A121" s="6" t="inlineStr">
        <is>
          <t>GRO1810</t>
        </is>
      </c>
      <c r="B121" s="6" t="inlineStr">
        <is>
          <t>Lyukacsos kerek virágcserép 12 liter, 30,5 x 26,5 cm, spirálgyökér gátló</t>
        </is>
      </c>
      <c r="C121" s="6" t="inlineStr">
        <is>
          <t>Virágcserép</t>
        </is>
      </c>
      <c r="D121" s="6" t="inlineStr"/>
      <c r="E121" s="6" t="inlineStr">
        <is>
          <t>Erős</t>
        </is>
      </c>
      <c r="F121" s="6" t="inlineStr">
        <is>
          <t>az elmúlt 30 napban</t>
        </is>
      </c>
      <c r="G121" s="6" t="inlineStr">
        <is>
          <t>Lyukacsos kerek, spirálgyökér-gátló</t>
        </is>
      </c>
    </row>
    <row r="122">
      <c r="A122" s="6" t="inlineStr">
        <is>
          <t>GRO2099</t>
        </is>
      </c>
      <c r="B122" s="6" t="inlineStr">
        <is>
          <t>Kerek műanyag virágcserép 3 liter, 16 x 16 cm, fekete, újrahasznosított PE</t>
        </is>
      </c>
      <c r="C122" s="6" t="inlineStr">
        <is>
          <t>Virágcserép</t>
        </is>
      </c>
      <c r="D122" s="6" t="inlineStr"/>
      <c r="E122" s="6" t="inlineStr">
        <is>
          <t>Erős</t>
        </is>
      </c>
      <c r="F122" s="6" t="inlineStr">
        <is>
          <t>az elmúlt 30 napban</t>
        </is>
      </c>
      <c r="G122" s="6" t="inlineStr">
        <is>
          <t>Kerek fekete műanyag cserép</t>
        </is>
      </c>
    </row>
    <row r="123">
      <c r="A123" s="6" t="inlineStr">
        <is>
          <t>GRO2100</t>
        </is>
      </c>
      <c r="B123" s="6" t="inlineStr">
        <is>
          <t>Kerek műanyag virágcserép 5 liter, 20 x 20 cm, fekete, újrahasznosított PE</t>
        </is>
      </c>
      <c r="C123" s="6" t="inlineStr">
        <is>
          <t>Virágcserép</t>
        </is>
      </c>
      <c r="D123" s="6" t="inlineStr"/>
      <c r="E123" s="6" t="inlineStr">
        <is>
          <t>Erős</t>
        </is>
      </c>
      <c r="F123" s="6" t="inlineStr">
        <is>
          <t>az elmúlt 30 napban</t>
        </is>
      </c>
      <c r="G123" s="6" t="inlineStr">
        <is>
          <t>Kerek fekete műanyag cserép</t>
        </is>
      </c>
    </row>
    <row r="124">
      <c r="A124" s="6" t="inlineStr">
        <is>
          <t>GRO2101</t>
        </is>
      </c>
      <c r="B124" s="6" t="inlineStr">
        <is>
          <t>Kerek műanyag virágcserép 7 liter, 22 x 22 cm, fekete, újrahasznosított PE</t>
        </is>
      </c>
      <c r="C124" s="6" t="inlineStr">
        <is>
          <t>Virágcserép</t>
        </is>
      </c>
      <c r="D124" s="6" t="inlineStr"/>
      <c r="E124" s="6" t="inlineStr">
        <is>
          <t>Erős</t>
        </is>
      </c>
      <c r="F124" s="6" t="inlineStr">
        <is>
          <t>az elmúlt 30 napban</t>
        </is>
      </c>
      <c r="G124" s="6" t="inlineStr">
        <is>
          <t>Kerek fekete műanyag cserép</t>
        </is>
      </c>
    </row>
    <row r="125">
      <c r="A125" s="6" t="inlineStr">
        <is>
          <t>GRO2102</t>
        </is>
      </c>
      <c r="B125" s="6" t="inlineStr">
        <is>
          <t>Kerek műanyag virágcserép 9,5 liter, 24 x 24 cm, fekete, újrahasznosított PE</t>
        </is>
      </c>
      <c r="C125" s="6" t="inlineStr">
        <is>
          <t>Virágcserép</t>
        </is>
      </c>
      <c r="D125" s="6" t="inlineStr"/>
      <c r="E125" s="6" t="inlineStr">
        <is>
          <t>Erős</t>
        </is>
      </c>
      <c r="F125" s="6" t="inlineStr">
        <is>
          <t>az elmúlt 30 napban</t>
        </is>
      </c>
      <c r="G125" s="6" t="inlineStr">
        <is>
          <t>Kerek fekete műanyag cserép</t>
        </is>
      </c>
    </row>
    <row r="126">
      <c r="A126" s="6" t="inlineStr">
        <is>
          <t>GRO2103</t>
        </is>
      </c>
      <c r="B126" s="6" t="inlineStr">
        <is>
          <t>Kerek műanyag virágcserép 12 liter, 26 x 26 cm, fekete, újrahasznosított PE</t>
        </is>
      </c>
      <c r="C126" s="6" t="inlineStr">
        <is>
          <t>Virágcserép</t>
        </is>
      </c>
      <c r="D126" s="6" t="inlineStr"/>
      <c r="E126" s="6" t="inlineStr">
        <is>
          <t>Erős</t>
        </is>
      </c>
      <c r="F126" s="6" t="inlineStr">
        <is>
          <t>az elmúlt 30 napban</t>
        </is>
      </c>
      <c r="G126" s="6" t="inlineStr">
        <is>
          <t>Kerek fekete műanyag cserép</t>
        </is>
      </c>
    </row>
    <row r="127">
      <c r="A127" s="6" t="inlineStr">
        <is>
          <t>GRO2104</t>
        </is>
      </c>
      <c r="B127" s="6" t="inlineStr">
        <is>
          <t>Kerek műanyag virágcserép 15 liter, 28 x 28 cm, fekete, újrahasznosított PE</t>
        </is>
      </c>
      <c r="C127" s="6" t="inlineStr">
        <is>
          <t>Virágcserép</t>
        </is>
      </c>
      <c r="D127" s="6" t="inlineStr"/>
      <c r="E127" s="6" t="inlineStr">
        <is>
          <t>Erős</t>
        </is>
      </c>
      <c r="F127" s="6" t="inlineStr">
        <is>
          <t>az elmúlt 30 napban</t>
        </is>
      </c>
      <c r="G127" s="6" t="inlineStr">
        <is>
          <t>Kerek fekete műanyag cserép</t>
        </is>
      </c>
    </row>
    <row r="128">
      <c r="A128" s="6" t="inlineStr">
        <is>
          <t>GRO2107</t>
        </is>
      </c>
      <c r="B128" s="6" t="inlineStr">
        <is>
          <t>Lyukacsos szögletes műanyag cserép 9,6 liter, 20 x 23 x 28 cm, hidropóniához is</t>
        </is>
      </c>
      <c r="C128" s="6" t="inlineStr">
        <is>
          <t>Virágcserép</t>
        </is>
      </c>
      <c r="D128" s="6" t="inlineStr">
        <is>
          <t>Szögletes cserép</t>
        </is>
      </c>
      <c r="E128" s="6" t="inlineStr">
        <is>
          <t>Erős</t>
        </is>
      </c>
      <c r="F128" s="6" t="inlineStr">
        <is>
          <t>az elmúlt 30 napban</t>
        </is>
      </c>
      <c r="G128" s="6" t="inlineStr">
        <is>
          <t>Lyukacsos szögletes, hidropóniához is</t>
        </is>
      </c>
    </row>
    <row r="129">
      <c r="A129" s="6" t="inlineStr">
        <is>
          <t>GRO2108</t>
        </is>
      </c>
      <c r="B129" s="6" t="inlineStr">
        <is>
          <t>Lyukacsos kerek virágcserép 5 liter, 23 x 20 cm, spirálgyökér gátló</t>
        </is>
      </c>
      <c r="C129" s="6" t="inlineStr">
        <is>
          <t>Virágcserép</t>
        </is>
      </c>
      <c r="D129" s="6" t="inlineStr"/>
      <c r="E129" s="6" t="inlineStr">
        <is>
          <t>Erős</t>
        </is>
      </c>
      <c r="F129" s="6" t="inlineStr">
        <is>
          <t>az elmúlt 30 napban</t>
        </is>
      </c>
      <c r="G129" s="6" t="inlineStr">
        <is>
          <t>Lyukacsos kerek, spirálgyökér-gátló</t>
        </is>
      </c>
    </row>
    <row r="130">
      <c r="A130" s="6" t="inlineStr">
        <is>
          <t>GRO2109</t>
        </is>
      </c>
      <c r="B130" s="6" t="inlineStr">
        <is>
          <t>Lyukacsos kerek virágcserép 20 liter, 33 x 29 cm, spirálgyökér gátló</t>
        </is>
      </c>
      <c r="C130" s="6" t="inlineStr">
        <is>
          <t>Virágcserép</t>
        </is>
      </c>
      <c r="D130" s="6" t="inlineStr">
        <is>
          <t>Nagy virágcserép</t>
        </is>
      </c>
      <c r="E130" s="6" t="inlineStr">
        <is>
          <t>Erős</t>
        </is>
      </c>
      <c r="F130" s="6" t="inlineStr">
        <is>
          <t>az elmúlt 30 napban</t>
        </is>
      </c>
      <c r="G130" s="6" t="inlineStr">
        <is>
          <t>Lyukacsos kerek, 20–90 l</t>
        </is>
      </c>
    </row>
    <row r="131">
      <c r="A131" s="6" t="inlineStr">
        <is>
          <t>GRO2110</t>
        </is>
      </c>
      <c r="B131" s="6" t="inlineStr">
        <is>
          <t>Lyukacsos kerek virágcserép 25 liter, 37,5 x 32 cm, spirálgyökér gátló</t>
        </is>
      </c>
      <c r="C131" s="6" t="inlineStr">
        <is>
          <t>Virágcserép</t>
        </is>
      </c>
      <c r="D131" s="6" t="inlineStr">
        <is>
          <t>Nagy virágcserép</t>
        </is>
      </c>
      <c r="E131" s="6" t="inlineStr">
        <is>
          <t>Erős</t>
        </is>
      </c>
      <c r="F131" s="6" t="inlineStr">
        <is>
          <t>az elmúlt 30 napban</t>
        </is>
      </c>
      <c r="G131" s="6" t="inlineStr">
        <is>
          <t>Lyukacsos kerek, 20–90 l</t>
        </is>
      </c>
    </row>
    <row r="132">
      <c r="A132" s="6" t="inlineStr">
        <is>
          <t>GRO2111</t>
        </is>
      </c>
      <c r="B132" s="6" t="inlineStr">
        <is>
          <t>Lyukacsos kerek virágcserép 35 liter, 42 x 36 cm, spirálgyökér gátló</t>
        </is>
      </c>
      <c r="C132" s="6" t="inlineStr">
        <is>
          <t>Virágcserép</t>
        </is>
      </c>
      <c r="D132" s="6" t="inlineStr">
        <is>
          <t>Nagy virágcserép</t>
        </is>
      </c>
      <c r="E132" s="6" t="inlineStr">
        <is>
          <t>Erős</t>
        </is>
      </c>
      <c r="F132" s="6" t="inlineStr">
        <is>
          <t>az elmúlt 30 napban</t>
        </is>
      </c>
      <c r="G132" s="6" t="inlineStr">
        <is>
          <t>Lyukacsos kerek, 20–90 l</t>
        </is>
      </c>
    </row>
    <row r="133">
      <c r="A133" s="6" t="inlineStr">
        <is>
          <t>GRO2356</t>
        </is>
      </c>
      <c r="B133" s="6" t="inlineStr">
        <is>
          <t>Görög mintás négyzetes műanyag virágcserép 6 liter, 21 x 19,2 cm</t>
        </is>
      </c>
      <c r="C133" s="6" t="inlineStr">
        <is>
          <t>Virágcserép</t>
        </is>
      </c>
      <c r="D133" s="6" t="inlineStr">
        <is>
          <t>Szögletes cserép</t>
        </is>
      </c>
      <c r="E133" s="6" t="inlineStr">
        <is>
          <t>Erős</t>
        </is>
      </c>
      <c r="F133" s="6" t="inlineStr">
        <is>
          <t>az elmúlt 30 napban</t>
        </is>
      </c>
      <c r="G133" s="6" t="inlineStr">
        <is>
          <t>Görög mintás négyzetes</t>
        </is>
      </c>
    </row>
    <row r="134">
      <c r="A134" s="6" t="inlineStr">
        <is>
          <t>GRO2359</t>
        </is>
      </c>
      <c r="B134" s="6" t="inlineStr">
        <is>
          <t>Görög mintás négyzetes műanyag virágcserép 2 liter, 14 x 14 cm</t>
        </is>
      </c>
      <c r="C134" s="6" t="inlineStr">
        <is>
          <t>Virágcserép</t>
        </is>
      </c>
      <c r="D134" s="6" t="inlineStr">
        <is>
          <t>Szögletes cserép</t>
        </is>
      </c>
      <c r="E134" s="6" t="inlineStr">
        <is>
          <t>Erős</t>
        </is>
      </c>
      <c r="F134" s="6" t="inlineStr">
        <is>
          <t>az elmúlt 30 napban</t>
        </is>
      </c>
      <c r="G134" s="6" t="inlineStr">
        <is>
          <t>Görög mintás négyzetes</t>
        </is>
      </c>
    </row>
    <row r="135">
      <c r="A135" s="6" t="inlineStr">
        <is>
          <t>GRO2360</t>
        </is>
      </c>
      <c r="B135" s="6" t="inlineStr">
        <is>
          <t>Szögletes műanyag cserép 11 liter, 23 x 23 x 26 cm, gyökércsavarodás gátló</t>
        </is>
      </c>
      <c r="C135" s="6" t="inlineStr">
        <is>
          <t>Virágcserép</t>
        </is>
      </c>
      <c r="D135" s="6" t="inlineStr">
        <is>
          <t>Szögletes cserép</t>
        </is>
      </c>
      <c r="E135" s="6" t="inlineStr">
        <is>
          <t>Erős</t>
        </is>
      </c>
      <c r="F135" s="6" t="inlineStr">
        <is>
          <t>az elmúlt 30 napban</t>
        </is>
      </c>
      <c r="G135" s="6" t="inlineStr">
        <is>
          <t>Szögletes, gyökércsavarodás-gátló</t>
        </is>
      </c>
    </row>
    <row r="136">
      <c r="A136" s="6" t="inlineStr">
        <is>
          <t>GRO2494</t>
        </is>
      </c>
      <c r="B136" s="6" t="inlineStr">
        <is>
          <t>Lyukacsos kerek virágcserép 50 liter, 50 x 39 cm, spirálgyökér gátló</t>
        </is>
      </c>
      <c r="C136" s="6" t="inlineStr">
        <is>
          <t>Virágcserép</t>
        </is>
      </c>
      <c r="D136" s="6" t="inlineStr">
        <is>
          <t>Nagy virágcserép</t>
        </is>
      </c>
      <c r="E136" s="6" t="inlineStr">
        <is>
          <t>Erős</t>
        </is>
      </c>
      <c r="F136" s="6" t="inlineStr">
        <is>
          <t>az elmúlt 30 napban</t>
        </is>
      </c>
      <c r="G136" s="6" t="inlineStr">
        <is>
          <t>Lyukacsos kerek, 20–90 l</t>
        </is>
      </c>
    </row>
    <row r="137">
      <c r="A137" s="6" t="inlineStr">
        <is>
          <t>GRO2495</t>
        </is>
      </c>
      <c r="B137" s="6" t="inlineStr">
        <is>
          <t>Lyukacsos kerek virágcserép 70 liter, 55 x 45 cm, spirálgyökér gátló</t>
        </is>
      </c>
      <c r="C137" s="6" t="inlineStr">
        <is>
          <t>Virágcserép</t>
        </is>
      </c>
      <c r="D137" s="6" t="inlineStr">
        <is>
          <t>Nagy virágcserép</t>
        </is>
      </c>
      <c r="E137" s="6" t="inlineStr">
        <is>
          <t>Erős</t>
        </is>
      </c>
      <c r="F137" s="6" t="inlineStr">
        <is>
          <t>az elmúlt 30 napban</t>
        </is>
      </c>
      <c r="G137" s="6" t="inlineStr">
        <is>
          <t>Lyukacsos kerek, 20–90 l</t>
        </is>
      </c>
    </row>
    <row r="138">
      <c r="A138" s="6" t="inlineStr">
        <is>
          <t>GRO2496</t>
        </is>
      </c>
      <c r="B138" s="6" t="inlineStr">
        <is>
          <t>Lyukacsos kerek virágcserép 90 liter, 60 x 46 cm, spirálgyökér gátló</t>
        </is>
      </c>
      <c r="C138" s="6" t="inlineStr">
        <is>
          <t>Virágcserép</t>
        </is>
      </c>
      <c r="D138" s="6" t="inlineStr">
        <is>
          <t>Nagy virágcserép</t>
        </is>
      </c>
      <c r="E138" s="6" t="inlineStr">
        <is>
          <t>Erős</t>
        </is>
      </c>
      <c r="F138" s="6" t="inlineStr">
        <is>
          <t>az elmúlt 30 napban</t>
        </is>
      </c>
      <c r="G138" s="6" t="inlineStr">
        <is>
          <t>Lyukacsos kerek, 20–90 l</t>
        </is>
      </c>
    </row>
    <row r="139">
      <c r="A139" s="6" t="inlineStr">
        <is>
          <t>GRO2497</t>
        </is>
      </c>
      <c r="B139" s="6" t="inlineStr">
        <is>
          <t>Lyukacsos szögletes műanyag cserép 6,5 liter, 20 x 20 x 25,5 cm, hidropóniához is</t>
        </is>
      </c>
      <c r="C139" s="6" t="inlineStr">
        <is>
          <t>Virágcserép</t>
        </is>
      </c>
      <c r="D139" s="6" t="inlineStr">
        <is>
          <t>Szögletes cserép</t>
        </is>
      </c>
      <c r="E139" s="6" t="inlineStr">
        <is>
          <t>Erős</t>
        </is>
      </c>
      <c r="F139" s="6" t="inlineStr">
        <is>
          <t>az elmúlt 30 napban</t>
        </is>
      </c>
      <c r="G139" s="6" t="inlineStr">
        <is>
          <t>Lyukacsos szögletes, hidropóniához is</t>
        </is>
      </c>
    </row>
    <row r="140">
      <c r="A140" s="6" t="inlineStr">
        <is>
          <t>GRO2498</t>
        </is>
      </c>
      <c r="B140" s="6" t="inlineStr">
        <is>
          <t>Kerek műanyag virágcserép 18,5 liter, 30 x 30 cm, fekete, újrahasznosított PE</t>
        </is>
      </c>
      <c r="C140" s="6" t="inlineStr">
        <is>
          <t>Virágcserép</t>
        </is>
      </c>
      <c r="D140" s="6" t="inlineStr"/>
      <c r="E140" s="6" t="inlineStr">
        <is>
          <t>Erős</t>
        </is>
      </c>
      <c r="F140" s="6" t="inlineStr">
        <is>
          <t>az elmúlt 30 napban</t>
        </is>
      </c>
      <c r="G140" s="6" t="inlineStr">
        <is>
          <t>Kerek fekete műanyag cserép</t>
        </is>
      </c>
    </row>
    <row r="141">
      <c r="A141" s="6" t="inlineStr">
        <is>
          <t>GRO2499</t>
        </is>
      </c>
      <c r="B141" s="6" t="inlineStr">
        <is>
          <t>Műanyag virágcserép (kerek) 33x33 cm 25 liter</t>
        </is>
      </c>
      <c r="C141" s="6" t="inlineStr">
        <is>
          <t>Virágcserép</t>
        </is>
      </c>
      <c r="D141" s="6" t="inlineStr">
        <is>
          <t>Nagy virágcserép</t>
        </is>
      </c>
      <c r="E141" s="6" t="inlineStr">
        <is>
          <t>Erős</t>
        </is>
      </c>
      <c r="F141" s="6" t="inlineStr">
        <is>
          <t>az elmúlt 30 napban</t>
        </is>
      </c>
      <c r="G141" s="6" t="inlineStr">
        <is>
          <t>Kerek fekete műanyag cserép, 25–30 l</t>
        </is>
      </c>
    </row>
    <row r="142">
      <c r="A142" s="6" t="inlineStr">
        <is>
          <t>GRO2500</t>
        </is>
      </c>
      <c r="B142" s="6" t="inlineStr">
        <is>
          <t>Kerek műanyag virágcserép 30 liter, 35 x 37 cm, fekete, újrahasznosított PE</t>
        </is>
      </c>
      <c r="C142" s="6" t="inlineStr">
        <is>
          <t>Virágcserép</t>
        </is>
      </c>
      <c r="D142" s="6" t="inlineStr">
        <is>
          <t>Nagy virágcserép</t>
        </is>
      </c>
      <c r="E142" s="6" t="inlineStr">
        <is>
          <t>Erős</t>
        </is>
      </c>
      <c r="F142" s="6" t="inlineStr">
        <is>
          <t>az elmúlt 30 napban</t>
        </is>
      </c>
      <c r="G142" s="6" t="inlineStr">
        <is>
          <t>Kerek fekete műanyag cserép, 25–30 l</t>
        </is>
      </c>
    </row>
    <row r="143">
      <c r="A143" s="6" t="inlineStr">
        <is>
          <t>GRO4240</t>
        </is>
      </c>
      <c r="B143" s="6" t="inlineStr">
        <is>
          <t>GF Cserép economic 10 L 10 db</t>
        </is>
      </c>
      <c r="C143" s="6" t="inlineStr">
        <is>
          <t>Virágcserép</t>
        </is>
      </c>
      <c r="D143" s="6" t="inlineStr"/>
      <c r="E143" s="6" t="inlineStr">
        <is>
          <t>Erős</t>
        </is>
      </c>
      <c r="F143" s="6" t="inlineStr">
        <is>
          <t>az elmúlt 30 napban</t>
        </is>
      </c>
      <c r="G143" s="6" t="inlineStr">
        <is>
          <t>Gyűjtőcsomag (10 db)</t>
        </is>
      </c>
    </row>
    <row r="144">
      <c r="A144" s="6" t="inlineStr">
        <is>
          <t>GRO4241</t>
        </is>
      </c>
      <c r="B144" s="6" t="inlineStr">
        <is>
          <t>GF Cserép economic 15 L 10 db</t>
        </is>
      </c>
      <c r="C144" s="6" t="inlineStr">
        <is>
          <t>Virágcserép</t>
        </is>
      </c>
      <c r="D144" s="6" t="inlineStr"/>
      <c r="E144" s="6" t="inlineStr">
        <is>
          <t>Erős</t>
        </is>
      </c>
      <c r="F144" s="6" t="inlineStr">
        <is>
          <t>az elmúlt 30 napban</t>
        </is>
      </c>
      <c r="G144" s="6" t="inlineStr">
        <is>
          <t>Gyűjtőcsomag (10 db)</t>
        </is>
      </c>
    </row>
    <row r="145">
      <c r="A145" s="9" t="inlineStr">
        <is>
          <t>GRO4298</t>
        </is>
      </c>
      <c r="B145" s="9" t="inlineStr">
        <is>
          <t>AC Infinity Víztartályos alátét 4 db 3,7 L (19 L szövetcseréphez)</t>
        </is>
      </c>
      <c r="C145" s="9" t="inlineStr">
        <is>
          <t>Cserépalátét</t>
        </is>
      </c>
      <c r="D145" s="9" t="inlineStr"/>
      <c r="E145" s="9" t="inlineStr">
        <is>
          <t>Laza</t>
        </is>
      </c>
      <c r="F145" s="9" t="inlineStr">
        <is>
          <t>az elmúlt 30 napban</t>
        </is>
      </c>
      <c r="G145" s="9" t="inlineStr">
        <is>
          <t>Víztartályos (önöntöző) alátét szövetcseréphez</t>
        </is>
      </c>
    </row>
    <row r="146">
      <c r="A146" s="9" t="inlineStr">
        <is>
          <t>GRO3348</t>
        </is>
      </c>
      <c r="B146" s="9" t="inlineStr">
        <is>
          <t>Venti Pot hidro cserép 3,5 liter</t>
        </is>
      </c>
      <c r="C146" s="9" t="inlineStr">
        <is>
          <t>Hidro ág – hidro cserép, hidrokosár</t>
        </is>
      </c>
      <c r="D146" s="9" t="inlineStr">
        <is>
          <t>Air-Pot cserép</t>
        </is>
      </c>
      <c r="E146" s="9" t="inlineStr">
        <is>
          <t>Laza</t>
        </is>
      </c>
      <c r="F146" s="9" t="inlineStr">
        <is>
          <t>az elmúlt 6 hónapban</t>
        </is>
      </c>
      <c r="G146" s="9" t="inlineStr">
        <is>
          <t>Venti Pot – perforált hidro cserép</t>
        </is>
      </c>
    </row>
    <row r="147">
      <c r="A147" s="9" t="inlineStr">
        <is>
          <t>GRO3349</t>
        </is>
      </c>
      <c r="B147" s="9" t="inlineStr">
        <is>
          <t>Venti Pot hidro cserép 12 liter</t>
        </is>
      </c>
      <c r="C147" s="9" t="inlineStr">
        <is>
          <t>Hidro ág – hidro cserép, hidrokosár</t>
        </is>
      </c>
      <c r="D147" s="9" t="inlineStr">
        <is>
          <t>Air-Pot cserép</t>
        </is>
      </c>
      <c r="E147" s="9" t="inlineStr">
        <is>
          <t>Laza</t>
        </is>
      </c>
      <c r="F147" s="9" t="inlineStr">
        <is>
          <t>az elmúlt 30 napban</t>
        </is>
      </c>
      <c r="G147" s="9" t="inlineStr">
        <is>
          <t>Venti Pot – perforált hidro cserép</t>
        </is>
      </c>
    </row>
    <row r="148">
      <c r="A148" s="9" t="inlineStr">
        <is>
          <t>GRO3350</t>
        </is>
      </c>
      <c r="B148" s="9" t="inlineStr">
        <is>
          <t>Venti Pot hidro cserép 25 liter</t>
        </is>
      </c>
      <c r="C148" s="9" t="inlineStr">
        <is>
          <t>Hidro ág – hidro cserép, hidrokosár</t>
        </is>
      </c>
      <c r="D148" s="9" t="inlineStr">
        <is>
          <t>Air-Pot cserép</t>
        </is>
      </c>
      <c r="E148" s="9" t="inlineStr">
        <is>
          <t>Laza</t>
        </is>
      </c>
      <c r="F148" s="9" t="inlineStr">
        <is>
          <t>az elmúlt 30 napban</t>
        </is>
      </c>
      <c r="G148" s="9" t="inlineStr">
        <is>
          <t>Venti Pot – perforált hidro cserép</t>
        </is>
      </c>
    </row>
    <row r="149">
      <c r="A149" s="9" t="inlineStr">
        <is>
          <t>GRO4696</t>
        </is>
      </c>
      <c r="B149" s="9" t="inlineStr">
        <is>
          <t>UGro Coco Pot4 Basic kókuszrost ültetőzsák 4 L, préselt kókusztömb</t>
        </is>
      </c>
      <c r="C149" s="9" t="inlineStr">
        <is>
          <t>Közegek – kókuszrost</t>
        </is>
      </c>
      <c r="D149" s="9" t="inlineStr">
        <is>
          <t>Szövetcserép, ültetőzsák</t>
        </is>
      </c>
      <c r="E149" s="9" t="inlineStr">
        <is>
          <t>Laza</t>
        </is>
      </c>
      <c r="F149" s="9" t="inlineStr">
        <is>
          <t>az elmúlt 6 hónapban</t>
        </is>
      </c>
      <c r="G149" s="9" t="inlineStr">
        <is>
          <t>Kókuszrost ültetőzsák (közeg + edény)</t>
        </is>
      </c>
    </row>
    <row r="150">
      <c r="A150" s="9" t="inlineStr">
        <is>
          <t>GRO4698</t>
        </is>
      </c>
      <c r="B150" s="9" t="inlineStr">
        <is>
          <t>Kókuszrost ültetőzsák UGro Coco Pot9 Basic 9 L, préselt kókusztömb</t>
        </is>
      </c>
      <c r="C150" s="9" t="inlineStr">
        <is>
          <t>Közegek – kókuszrost</t>
        </is>
      </c>
      <c r="D150" s="9" t="inlineStr">
        <is>
          <t>Szövetcserép, ültetőzsák</t>
        </is>
      </c>
      <c r="E150" s="9" t="inlineStr">
        <is>
          <t>Laza</t>
        </is>
      </c>
      <c r="F150" s="9" t="inlineStr">
        <is>
          <t>az elmúlt 6 hónapban</t>
        </is>
      </c>
      <c r="G150" s="9" t="inlineStr">
        <is>
          <t>Kókuszrost ültetőzsák (közeg + edény)</t>
        </is>
      </c>
    </row>
    <row r="151">
      <c r="A151" s="9" t="inlineStr">
        <is>
          <t>GRO1817</t>
        </is>
      </c>
      <c r="B151" s="9" t="inlineStr">
        <is>
          <t>Dán tálca kiegészítő leeresztő szűrő a 106 x 202 cm-es apály-dagály tálcához</t>
        </is>
      </c>
      <c r="C151" s="9" t="inlineStr">
        <is>
          <t>Műanyag tálca, árapály asztal</t>
        </is>
      </c>
      <c r="D151" s="9" t="inlineStr"/>
      <c r="E151" s="9" t="inlineStr">
        <is>
          <t>Laza</t>
        </is>
      </c>
      <c r="F151" s="9" t="inlineStr">
        <is>
          <t>az elmúlt 30 napban</t>
        </is>
      </c>
      <c r="G151" s="9" t="inlineStr">
        <is>
          <t>Dán tálca kiegészítő</t>
        </is>
      </c>
    </row>
    <row r="152">
      <c r="A152" s="9" t="inlineStr">
        <is>
          <t>GRO3363</t>
        </is>
      </c>
      <c r="B152" s="9" t="inlineStr">
        <is>
          <t>Dán tálca kiegészítő lefolyó készlet</t>
        </is>
      </c>
      <c r="C152" s="9" t="inlineStr">
        <is>
          <t>Műanyag tálca, árapály asztal</t>
        </is>
      </c>
      <c r="D152" s="9" t="inlineStr"/>
      <c r="E152" s="9" t="inlineStr">
        <is>
          <t>Laza</t>
        </is>
      </c>
      <c r="F152" s="9" t="inlineStr">
        <is>
          <t>az elmúlt 6 hónapban</t>
        </is>
      </c>
      <c r="G152" s="9" t="inlineStr">
        <is>
          <t>Dán tálca kiegészítő</t>
        </is>
      </c>
    </row>
    <row r="153">
      <c r="A153" s="9" t="inlineStr">
        <is>
          <t>GRO4234</t>
        </is>
      </c>
      <c r="B153" s="9" t="inlineStr">
        <is>
          <t>Dán tálca kiegészítő leeresztő szűrő 3/4</t>
        </is>
      </c>
      <c r="C153" s="9" t="inlineStr">
        <is>
          <t>Műanyag tálca, árapály asztal</t>
        </is>
      </c>
      <c r="D153" s="9" t="inlineStr"/>
      <c r="E153" s="9" t="inlineStr">
        <is>
          <t>Laza</t>
        </is>
      </c>
      <c r="F153" s="9" t="inlineStr">
        <is>
          <t>az elmúlt 6 hónapban</t>
        </is>
      </c>
      <c r="G153" s="9" t="inlineStr">
        <is>
          <t>Dán tálca kiegészítő</t>
        </is>
      </c>
    </row>
    <row r="154">
      <c r="A154" s="9" t="inlineStr">
        <is>
          <t>GRO2900</t>
        </is>
      </c>
      <c r="B154" s="9" t="inlineStr">
        <is>
          <t>Palántázócserép 7 x 7 x 6 cm, rugalmas, négyzetes műanyag cserép palántákhoz</t>
        </is>
      </c>
      <c r="C154" s="9" t="inlineStr">
        <is>
          <t>Palántanevelő ág – Palántanevelő cserép, tőzegcserép</t>
        </is>
      </c>
      <c r="D154" s="9" t="inlineStr">
        <is>
          <t>Szögletes cserép</t>
        </is>
      </c>
      <c r="E154" s="9" t="inlineStr">
        <is>
          <t>Laza</t>
        </is>
      </c>
      <c r="F154" s="9" t="inlineStr">
        <is>
          <t>az elmúlt 30 napban</t>
        </is>
      </c>
      <c r="G154" s="9" t="inlineStr">
        <is>
          <t>Palántázó kiscserép (4–9 cm)</t>
        </is>
      </c>
    </row>
    <row r="155">
      <c r="A155" s="9" t="inlineStr">
        <is>
          <t>GRO3232</t>
        </is>
      </c>
      <c r="B155" s="9" t="inlineStr">
        <is>
          <t>Négyzetes műanyag cserép 9 x 9 x 10 cm palántázáshoz és továbbneveléshez</t>
        </is>
      </c>
      <c r="C155" s="9" t="inlineStr">
        <is>
          <t>Palántanevelő ág – Palántanevelő cserép, tőzegcserép</t>
        </is>
      </c>
      <c r="D155" s="9" t="inlineStr">
        <is>
          <t>Szögletes cserép</t>
        </is>
      </c>
      <c r="E155" s="9" t="inlineStr">
        <is>
          <t>Laza</t>
        </is>
      </c>
      <c r="F155" s="9" t="inlineStr">
        <is>
          <t>az elmúlt 30 napban</t>
        </is>
      </c>
      <c r="G155" s="9" t="inlineStr">
        <is>
          <t>Palántázó kiscserép (4–9 cm)</t>
        </is>
      </c>
    </row>
    <row r="156">
      <c r="A156" s="9" t="inlineStr">
        <is>
          <t>GRO3233</t>
        </is>
      </c>
      <c r="B156" s="9" t="inlineStr">
        <is>
          <t>Cserép négyzetes 7x7x8 cm</t>
        </is>
      </c>
      <c r="C156" s="9" t="inlineStr">
        <is>
          <t>Palántanevelő ág – Palántanevelő cserép, tőzegcserép</t>
        </is>
      </c>
      <c r="D156" s="9" t="inlineStr">
        <is>
          <t>Szögletes cserép</t>
        </is>
      </c>
      <c r="E156" s="9" t="inlineStr">
        <is>
          <t>Laza</t>
        </is>
      </c>
      <c r="F156" s="9" t="inlineStr">
        <is>
          <t>2024-10 – 2025-09 (lehet, hogy már nem aktív)</t>
        </is>
      </c>
      <c r="G156" s="9" t="inlineStr">
        <is>
          <t>Palántázó kiscserép (4–9 cm)</t>
        </is>
      </c>
    </row>
    <row r="157">
      <c r="A157" s="9" t="inlineStr">
        <is>
          <t>GRO4621</t>
        </is>
      </c>
      <c r="B157" s="9" t="inlineStr">
        <is>
          <t>Vékonyfalú kerek cserép 8,5 cm</t>
        </is>
      </c>
      <c r="C157" s="9" t="inlineStr">
        <is>
          <t>Palántanevelő ág – Palántanevelő cserép, tőzegcserép</t>
        </is>
      </c>
      <c r="D157" s="9" t="inlineStr">
        <is>
          <t>Virágcserép</t>
        </is>
      </c>
      <c r="E157" s="9" t="inlineStr">
        <is>
          <t>Laza</t>
        </is>
      </c>
      <c r="F157" s="9" t="inlineStr">
        <is>
          <t>az elmúlt 6 hónapban</t>
        </is>
      </c>
      <c r="G157" s="9" t="inlineStr">
        <is>
          <t>Vékonyfalú kerek kiscserép</t>
        </is>
      </c>
    </row>
    <row r="158">
      <c r="A158" s="9" t="inlineStr">
        <is>
          <t>GRO4622</t>
        </is>
      </c>
      <c r="B158" s="9" t="inlineStr">
        <is>
          <t>Vékonyfalú kerek cserép 12 cm</t>
        </is>
      </c>
      <c r="C158" s="9" t="inlineStr">
        <is>
          <t>Palántanevelő ág – Palántanevelő cserép, tőzegcserép</t>
        </is>
      </c>
      <c r="D158" s="9" t="inlineStr">
        <is>
          <t>Virágcserép</t>
        </is>
      </c>
      <c r="E158" s="9" t="inlineStr">
        <is>
          <t>Laza</t>
        </is>
      </c>
      <c r="F158" s="9" t="inlineStr">
        <is>
          <t>az elmúlt 6 hónapban</t>
        </is>
      </c>
      <c r="G158" s="9" t="inlineStr">
        <is>
          <t>Vékonyfalú kerek kiscserép</t>
        </is>
      </c>
    </row>
    <row r="159">
      <c r="A159" s="9" t="inlineStr">
        <is>
          <t>GRO4623</t>
        </is>
      </c>
      <c r="B159" s="9" t="inlineStr">
        <is>
          <t>Négyzetes cserép 5x5 cm</t>
        </is>
      </c>
      <c r="C159" s="9" t="inlineStr">
        <is>
          <t>Palántanevelő ág – Palántanevelő cserép, tőzegcserép</t>
        </is>
      </c>
      <c r="D159" s="9" t="inlineStr">
        <is>
          <t>Szögletes cserép</t>
        </is>
      </c>
      <c r="E159" s="9" t="inlineStr">
        <is>
          <t>Laza</t>
        </is>
      </c>
      <c r="F159" s="9" t="inlineStr">
        <is>
          <t>az elmúlt 6 hónapban</t>
        </is>
      </c>
      <c r="G159" s="9" t="inlineStr">
        <is>
          <t>Palántázó kiscserép (4–9 cm)</t>
        </is>
      </c>
    </row>
    <row r="160">
      <c r="A160" s="9" t="inlineStr">
        <is>
          <t>GRO4624</t>
        </is>
      </c>
      <c r="B160" s="9" t="inlineStr">
        <is>
          <t>Négyzetes cserép 7x7 cm</t>
        </is>
      </c>
      <c r="C160" s="9" t="inlineStr">
        <is>
          <t>Palántanevelő ág – Palántanevelő cserép, tőzegcserép</t>
        </is>
      </c>
      <c r="D160" s="9" t="inlineStr">
        <is>
          <t>Szögletes cserép</t>
        </is>
      </c>
      <c r="E160" s="9" t="inlineStr">
        <is>
          <t>Laza</t>
        </is>
      </c>
      <c r="F160" s="9" t="inlineStr">
        <is>
          <t>az elmúlt 6 hónapban</t>
        </is>
      </c>
      <c r="G160" s="9" t="inlineStr">
        <is>
          <t>Palántázó kiscserép (4–9 cm)</t>
        </is>
      </c>
    </row>
    <row r="161">
      <c r="A161" s="9" t="inlineStr">
        <is>
          <t>GRO4625</t>
        </is>
      </c>
      <c r="B161" s="9" t="inlineStr">
        <is>
          <t>Vékonyfalú négyzetes cserép 7x7 cm</t>
        </is>
      </c>
      <c r="C161" s="9" t="inlineStr">
        <is>
          <t>Palántanevelő ág – Palántanevelő cserép, tőzegcserép</t>
        </is>
      </c>
      <c r="D161" s="9" t="inlineStr">
        <is>
          <t>Szögletes cserép</t>
        </is>
      </c>
      <c r="E161" s="9" t="inlineStr">
        <is>
          <t>Laza</t>
        </is>
      </c>
      <c r="F161" s="9" t="inlineStr">
        <is>
          <t>az elmúlt 6 hónapban</t>
        </is>
      </c>
      <c r="G161" s="9" t="inlineStr">
        <is>
          <t>Palántázó kiscserép (4–9 cm)</t>
        </is>
      </c>
    </row>
    <row r="162">
      <c r="A162" s="9" t="inlineStr">
        <is>
          <t>GRO4626</t>
        </is>
      </c>
      <c r="B162" s="9" t="inlineStr">
        <is>
          <t>Négyzetes cserép 4x4 cm</t>
        </is>
      </c>
      <c r="C162" s="9" t="inlineStr">
        <is>
          <t>Palántanevelő ág – Palántanevelő cserép, tőzegcserép</t>
        </is>
      </c>
      <c r="D162" s="9" t="inlineStr">
        <is>
          <t>Szögletes cserép</t>
        </is>
      </c>
      <c r="E162" s="9" t="inlineStr">
        <is>
          <t>Laza</t>
        </is>
      </c>
      <c r="F162" s="9" t="inlineStr">
        <is>
          <t>az elmúlt 6 hónapban</t>
        </is>
      </c>
      <c r="G162" s="9" t="inlineStr">
        <is>
          <t>Palántázó kiscserép (4–9 cm)</t>
        </is>
      </c>
    </row>
    <row r="163">
      <c r="A163" s="9" t="inlineStr">
        <is>
          <t>GRO4349</t>
        </is>
      </c>
      <c r="B163" s="9" t="inlineStr">
        <is>
          <t>Garland Seed keskeny tálca lyukakkal 37x13,5x6 cm</t>
        </is>
      </c>
      <c r="C163" s="9" t="inlineStr">
        <is>
          <t>Palántanevelő ág – Palántanevelő tálca</t>
        </is>
      </c>
      <c r="D163" s="9" t="inlineStr">
        <is>
          <t>Cserépalátét</t>
        </is>
      </c>
      <c r="E163" s="9" t="inlineStr">
        <is>
          <t>Laza</t>
        </is>
      </c>
      <c r="F163" s="9" t="inlineStr">
        <is>
          <t>az elmúlt 30 napban</t>
        </is>
      </c>
      <c r="G163" s="9" t="inlineStr">
        <is>
          <t>Garland Seed / Mini tálca – cserépalátétként is</t>
        </is>
      </c>
    </row>
    <row r="164">
      <c r="A164" s="9" t="inlineStr">
        <is>
          <t>GRO4350</t>
        </is>
      </c>
      <c r="B164" s="9" t="inlineStr">
        <is>
          <t>Garland Seed keskeny tálca cserépalátét 37x13,5x6 cm</t>
        </is>
      </c>
      <c r="C164" s="9" t="inlineStr">
        <is>
          <t>Palántanevelő ág – Palántanevelő tálca</t>
        </is>
      </c>
      <c r="D164" s="9" t="inlineStr">
        <is>
          <t>Cserépalátét</t>
        </is>
      </c>
      <c r="E164" s="9" t="inlineStr">
        <is>
          <t>Laza</t>
        </is>
      </c>
      <c r="F164" s="9" t="inlineStr">
        <is>
          <t>az elmúlt 30 napban</t>
        </is>
      </c>
      <c r="G164" s="9" t="inlineStr">
        <is>
          <t>Garland Seed / Mini tálca – cserépalátétként is</t>
        </is>
      </c>
    </row>
    <row r="165">
      <c r="A165" s="9" t="inlineStr">
        <is>
          <t>GRO4351</t>
        </is>
      </c>
      <c r="B165" s="9" t="inlineStr">
        <is>
          <t>Garland Standard Seed tálca cserépalátét lyukakkal 37,5x23x6 cm</t>
        </is>
      </c>
      <c r="C165" s="9" t="inlineStr">
        <is>
          <t>Palántanevelő ág – Palántanevelő tálca</t>
        </is>
      </c>
      <c r="D165" s="9" t="inlineStr">
        <is>
          <t>Cserépalátét</t>
        </is>
      </c>
      <c r="E165" s="9" t="inlineStr">
        <is>
          <t>Laza</t>
        </is>
      </c>
      <c r="F165" s="9" t="inlineStr">
        <is>
          <t>az elmúlt 30 napban</t>
        </is>
      </c>
      <c r="G165" s="9" t="inlineStr">
        <is>
          <t>Garland Seed / Mini tálca – cserépalátétként is</t>
        </is>
      </c>
    </row>
    <row r="166">
      <c r="A166" s="9" t="inlineStr">
        <is>
          <t>GRO4352</t>
        </is>
      </c>
      <c r="B166" s="9" t="inlineStr">
        <is>
          <t>Garland Midi Garden tálca cserépalátét 37,5x23x6 cm</t>
        </is>
      </c>
      <c r="C166" s="9" t="inlineStr">
        <is>
          <t>Palántanevelő ág – Palántanevelő tálca</t>
        </is>
      </c>
      <c r="D166" s="9" t="inlineStr">
        <is>
          <t>Cserépalátét</t>
        </is>
      </c>
      <c r="E166" s="9" t="inlineStr">
        <is>
          <t>Laza</t>
        </is>
      </c>
      <c r="F166" s="9" t="inlineStr">
        <is>
          <t>az elmúlt 30 napban</t>
        </is>
      </c>
      <c r="G166" s="9" t="inlineStr">
        <is>
          <t>Garland Seed / Mini tálca – cserépalátétként is</t>
        </is>
      </c>
    </row>
    <row r="167">
      <c r="A167" s="9" t="inlineStr">
        <is>
          <t>GRO4608</t>
        </is>
      </c>
      <c r="B167" s="9" t="inlineStr">
        <is>
          <t>Garland Seed vékonyfalú tálca cserépalátét 5 db 37x23,5x5 cm</t>
        </is>
      </c>
      <c r="C167" s="9" t="inlineStr">
        <is>
          <t>Palántanevelő ág – Palántanevelő tálca</t>
        </is>
      </c>
      <c r="D167" s="9" t="inlineStr">
        <is>
          <t>Cserépalátét</t>
        </is>
      </c>
      <c r="E167" s="9" t="inlineStr">
        <is>
          <t>Laza</t>
        </is>
      </c>
      <c r="F167" s="9" t="inlineStr">
        <is>
          <t>az elmúlt 30 napban</t>
        </is>
      </c>
      <c r="G167" s="9" t="inlineStr">
        <is>
          <t>Garland Seed / Mini tálca – cserépalátétként is</t>
        </is>
      </c>
    </row>
    <row r="168">
      <c r="A168" s="9" t="inlineStr">
        <is>
          <t>GRO4610</t>
        </is>
      </c>
      <c r="B168" s="9" t="inlineStr">
        <is>
          <t>Garland vékony falú tálca cserépalátét kapilláris szőnyeggel 55x31x3 cm</t>
        </is>
      </c>
      <c r="C168" s="9" t="inlineStr">
        <is>
          <t>Palántanevelő ág – Palántanevelő tálca</t>
        </is>
      </c>
      <c r="D168" s="9" t="inlineStr">
        <is>
          <t>Cserépalátét</t>
        </is>
      </c>
      <c r="E168" s="9" t="inlineStr">
        <is>
          <t>Laza</t>
        </is>
      </c>
      <c r="F168" s="9" t="inlineStr">
        <is>
          <t>az elmúlt 30 napban</t>
        </is>
      </c>
      <c r="G168" s="9" t="inlineStr">
        <is>
          <t>Garland Seed / Mini tálca – cserépalátétként is</t>
        </is>
      </c>
    </row>
    <row r="169">
      <c r="A169" s="9" t="inlineStr">
        <is>
          <t>GRO4612</t>
        </is>
      </c>
      <c r="B169" s="9" t="inlineStr">
        <is>
          <t>Garland Seed Mini tálca cserépalátét lyukakkal 7x10x5 cm</t>
        </is>
      </c>
      <c r="C169" s="9" t="inlineStr">
        <is>
          <t>Palántanevelő ág – Palántanevelő tálca</t>
        </is>
      </c>
      <c r="D169" s="9" t="inlineStr">
        <is>
          <t>Cserépalátét</t>
        </is>
      </c>
      <c r="E169" s="9" t="inlineStr">
        <is>
          <t>Laza</t>
        </is>
      </c>
      <c r="F169" s="9" t="inlineStr">
        <is>
          <t>az elmúlt 30 napban</t>
        </is>
      </c>
      <c r="G169" s="9" t="inlineStr">
        <is>
          <t>Garland Seed / Mini tálca – cserépalátétként is</t>
        </is>
      </c>
    </row>
    <row r="170">
      <c r="A170" s="9" t="inlineStr">
        <is>
          <t>GRO4615</t>
        </is>
      </c>
      <c r="B170" s="9" t="inlineStr">
        <is>
          <t>Garland Seed Small tálca lyukakkal cserépalátét 23x17x6 cm</t>
        </is>
      </c>
      <c r="C170" s="9" t="inlineStr">
        <is>
          <t>Palántanevelő ág – Palántanevelő tálca</t>
        </is>
      </c>
      <c r="D170" s="9" t="inlineStr">
        <is>
          <t>Cserépalátét</t>
        </is>
      </c>
      <c r="E170" s="9" t="inlineStr">
        <is>
          <t>Laza</t>
        </is>
      </c>
      <c r="F170" s="9" t="inlineStr">
        <is>
          <t>az elmúlt 30 napban</t>
        </is>
      </c>
      <c r="G170" s="9" t="inlineStr">
        <is>
          <t>Garland Seed / Mini tálca – cserépalátétként is</t>
        </is>
      </c>
    </row>
    <row r="171">
      <c r="A171" s="9" t="inlineStr">
        <is>
          <t>GRO4616</t>
        </is>
      </c>
      <c r="B171" s="9" t="inlineStr">
        <is>
          <t>Garland Mini tálca cserépalátét 23x17x6 cm</t>
        </is>
      </c>
      <c r="C171" s="9" t="inlineStr">
        <is>
          <t>Palántanevelő ág – Palántanevelő tálca</t>
        </is>
      </c>
      <c r="D171" s="9" t="inlineStr">
        <is>
          <t>Cserépalátét</t>
        </is>
      </c>
      <c r="E171" s="9" t="inlineStr">
        <is>
          <t>Laza</t>
        </is>
      </c>
      <c r="F171" s="9" t="inlineStr">
        <is>
          <t>az elmúlt 30 napban</t>
        </is>
      </c>
      <c r="G171" s="9" t="inlineStr">
        <is>
          <t>Garland Seed / Mini tálca – cserépalátétként is</t>
        </is>
      </c>
    </row>
    <row r="172">
      <c r="A172" s="9" t="inlineStr">
        <is>
          <t>GRO4613</t>
        </is>
      </c>
      <c r="B172" s="9" t="inlineStr">
        <is>
          <t>Garland magas falú cserép 37,5x23x12,5 cm</t>
        </is>
      </c>
      <c r="C172" s="9" t="inlineStr">
        <is>
          <t>Virágcserép</t>
        </is>
      </c>
      <c r="D172" s="9" t="inlineStr"/>
      <c r="E172" s="9" t="inlineStr">
        <is>
          <t>Laza</t>
        </is>
      </c>
      <c r="F172" s="9" t="inlineStr">
        <is>
          <t>az elmúlt 30 napban</t>
        </is>
      </c>
      <c r="G172" s="9" t="inlineStr">
        <is>
          <t>Garland magas falú (tálcaszerű) cserép</t>
        </is>
      </c>
    </row>
    <row r="173">
      <c r="A173" s="19" t="inlineStr">
        <is>
          <t>GRO1812</t>
        </is>
      </c>
      <c r="B173" s="19" t="inlineStr">
        <is>
          <t>Kerek műanyag esővízgyűjtő tartály 240 literes, UV-stabilizált polietilén</t>
        </is>
      </c>
      <c r="C173" s="19" t="inlineStr">
        <is>
          <t>Esővízgyűjtő, víztartály</t>
        </is>
      </c>
      <c r="D173" s="19" t="inlineStr"/>
      <c r="E173" s="19" t="inlineStr">
        <is>
          <t>Más főkategória</t>
        </is>
      </c>
      <c r="F173" s="19" t="inlineStr">
        <is>
          <t>az elmúlt 30 napban</t>
        </is>
      </c>
      <c r="G173" s="19" t="inlineStr">
        <is>
          <t>Esővízgyűjtő / összecsukható víztartály</t>
        </is>
      </c>
    </row>
    <row r="174">
      <c r="A174" s="19" t="inlineStr">
        <is>
          <t>GRO1958</t>
        </is>
      </c>
      <c r="B174" s="19" t="inlineStr">
        <is>
          <t>Összecsukható víztartály Neptune Hydroponics FlexiTank klón 250 liter</t>
        </is>
      </c>
      <c r="C174" s="19" t="inlineStr">
        <is>
          <t>Esővízgyűjtő, víztartály</t>
        </is>
      </c>
      <c r="D174" s="19" t="inlineStr"/>
      <c r="E174" s="19" t="inlineStr">
        <is>
          <t>Más főkategória</t>
        </is>
      </c>
      <c r="F174" s="19" t="inlineStr">
        <is>
          <t>az elmúlt 30 napban</t>
        </is>
      </c>
      <c r="G174" s="19" t="inlineStr">
        <is>
          <t>Esővízgyűjtő / összecsukható víztartály</t>
        </is>
      </c>
    </row>
    <row r="175">
      <c r="A175" s="19" t="inlineStr">
        <is>
          <t>GRO2244</t>
        </is>
      </c>
      <c r="B175" s="19" t="inlineStr">
        <is>
          <t>FlexiTank összecsukható víztartály 400 liter</t>
        </is>
      </c>
      <c r="C175" s="19" t="inlineStr">
        <is>
          <t>Esővízgyűjtő, víztartály</t>
        </is>
      </c>
      <c r="D175" s="19" t="inlineStr"/>
      <c r="E175" s="19" t="inlineStr">
        <is>
          <t>Más főkategória</t>
        </is>
      </c>
      <c r="F175" s="19" t="inlineStr">
        <is>
          <t>az elmúlt 6 hónapban</t>
        </is>
      </c>
      <c r="G175" s="19" t="inlineStr">
        <is>
          <t>Esővízgyűjtő / összecsukható víztartály</t>
        </is>
      </c>
    </row>
    <row r="176">
      <c r="A176" s="19" t="inlineStr">
        <is>
          <t>GRO2637</t>
        </is>
      </c>
      <c r="B176" s="19" t="inlineStr">
        <is>
          <t>Összecsukható víztartály Neptune Hydroponics FlexiTank klón 500 liter</t>
        </is>
      </c>
      <c r="C176" s="19" t="inlineStr">
        <is>
          <t>Esővízgyűjtő, víztartály</t>
        </is>
      </c>
      <c r="D176" s="19" t="inlineStr"/>
      <c r="E176" s="19" t="inlineStr">
        <is>
          <t>Más főkategória</t>
        </is>
      </c>
      <c r="F176" s="19" t="inlineStr">
        <is>
          <t>az elmúlt 30 napban</t>
        </is>
      </c>
      <c r="G176" s="19" t="inlineStr">
        <is>
          <t>Esővízgyűjtő / összecsukható víztartály</t>
        </is>
      </c>
    </row>
    <row r="177">
      <c r="A177" s="19" t="inlineStr">
        <is>
          <t>GRO2638</t>
        </is>
      </c>
      <c r="B177" s="19" t="inlineStr">
        <is>
          <t>Összecsukható víztartály Neptune Hydroponics FlexiTank klón 1000 liter</t>
        </is>
      </c>
      <c r="C177" s="19" t="inlineStr">
        <is>
          <t>Esővízgyűjtő, víztartály</t>
        </is>
      </c>
      <c r="D177" s="19" t="inlineStr"/>
      <c r="E177" s="19" t="inlineStr">
        <is>
          <t>Más főkategória</t>
        </is>
      </c>
      <c r="F177" s="19" t="inlineStr">
        <is>
          <t>az elmúlt 30 napban</t>
        </is>
      </c>
      <c r="G177" s="19" t="inlineStr">
        <is>
          <t>Esővízgyűjtő / összecsukható víztartály</t>
        </is>
      </c>
    </row>
    <row r="178">
      <c r="A178" s="19" t="inlineStr">
        <is>
          <t>GRO0663</t>
        </is>
      </c>
      <c r="B178" s="19" t="inlineStr">
        <is>
          <t>Hidrokosár 8 cm rácsos hidro cserép hidropóniás rendszerekhez</t>
        </is>
      </c>
      <c r="C178" s="19" t="inlineStr">
        <is>
          <t>Hidro ág – hidro cserép, hidrokosár</t>
        </is>
      </c>
      <c r="D178" s="19" t="inlineStr"/>
      <c r="E178" s="19" t="inlineStr">
        <is>
          <t>Más főkategória</t>
        </is>
      </c>
      <c r="F178" s="19" t="inlineStr">
        <is>
          <t>az elmúlt 30 napban</t>
        </is>
      </c>
      <c r="G178" s="19" t="inlineStr">
        <is>
          <t>Hidrokosár / hidro cserép</t>
        </is>
      </c>
    </row>
    <row r="179">
      <c r="A179" s="19" t="inlineStr">
        <is>
          <t>GRO1291</t>
        </is>
      </c>
      <c r="B179" s="19" t="inlineStr">
        <is>
          <t>Hidrokosár 5,5 cm rácsos hidro cserép hidropóniás rendszerekhez</t>
        </is>
      </c>
      <c r="C179" s="19" t="inlineStr">
        <is>
          <t>Hidro ág – hidro cserép, hidrokosár</t>
        </is>
      </c>
      <c r="D179" s="19" t="inlineStr"/>
      <c r="E179" s="19" t="inlineStr">
        <is>
          <t>Más főkategória</t>
        </is>
      </c>
      <c r="F179" s="19" t="inlineStr">
        <is>
          <t>az elmúlt 30 napban</t>
        </is>
      </c>
      <c r="G179" s="19" t="inlineStr">
        <is>
          <t>Hidrokosár / hidro cserép</t>
        </is>
      </c>
    </row>
    <row r="180">
      <c r="A180" s="19" t="inlineStr">
        <is>
          <t>GRO3378</t>
        </is>
      </c>
      <c r="B180" s="19" t="inlineStr">
        <is>
          <t>Hydro cserép (12,5 cm átmérő)</t>
        </is>
      </c>
      <c r="C180" s="19" t="inlineStr">
        <is>
          <t>Hidro ág – hidro cserép, hidrokosár</t>
        </is>
      </c>
      <c r="D180" s="19" t="inlineStr"/>
      <c r="E180" s="19" t="inlineStr">
        <is>
          <t>Más főkategória</t>
        </is>
      </c>
      <c r="F180" s="19" t="inlineStr">
        <is>
          <t>2024-10 – 2025-09 (lehet, hogy már nem aktív)</t>
        </is>
      </c>
      <c r="G180" s="19" t="inlineStr">
        <is>
          <t>Hidrokosár / hidro cserép</t>
        </is>
      </c>
    </row>
    <row r="181">
      <c r="A181" s="19" t="inlineStr">
        <is>
          <t>GRO4309</t>
        </is>
      </c>
      <c r="B181" s="19" t="inlineStr">
        <is>
          <t>Hydro kosár univerzális DWC d: 22 cm h: 14 cm</t>
        </is>
      </c>
      <c r="C181" s="19" t="inlineStr">
        <is>
          <t>Hidro ág – hidro cserép, hidrokosár</t>
        </is>
      </c>
      <c r="D181" s="19" t="inlineStr"/>
      <c r="E181" s="19" t="inlineStr">
        <is>
          <t>Más főkategória</t>
        </is>
      </c>
      <c r="F181" s="19" t="inlineStr">
        <is>
          <t>az elmúlt 30 napban</t>
        </is>
      </c>
      <c r="G181" s="19" t="inlineStr">
        <is>
          <t>Hidrokosár / hidro cserép</t>
        </is>
      </c>
    </row>
    <row r="182">
      <c r="A182" s="19" t="inlineStr">
        <is>
          <t>GRO3661</t>
        </is>
      </c>
      <c r="B182" s="19" t="inlineStr">
        <is>
          <t>Garland Microgreens tálca lyukakkal (56×28×3 cm)</t>
        </is>
      </c>
      <c r="C182" s="19" t="inlineStr">
        <is>
          <t>Mikrozöld termesztés – mikrozöld tálca</t>
        </is>
      </c>
      <c r="D182" s="19" t="inlineStr"/>
      <c r="E182" s="19" t="inlineStr">
        <is>
          <t>Más főkategória</t>
        </is>
      </c>
      <c r="F182" s="19" t="inlineStr">
        <is>
          <t>az elmúlt 30 napban</t>
        </is>
      </c>
      <c r="G182" s="19" t="inlineStr">
        <is>
          <t>Mikrozöld tálca</t>
        </is>
      </c>
    </row>
    <row r="183">
      <c r="A183" s="19" t="inlineStr">
        <is>
          <t>GRO3662</t>
        </is>
      </c>
      <c r="B183" s="19" t="inlineStr">
        <is>
          <t>Garland Microgreens tálca lyukak nélkül (56×28×3 cm)</t>
        </is>
      </c>
      <c r="C183" s="19" t="inlineStr">
        <is>
          <t>Mikrozöld termesztés – mikrozöld tálca</t>
        </is>
      </c>
      <c r="D183" s="19" t="inlineStr"/>
      <c r="E183" s="19" t="inlineStr">
        <is>
          <t>Más főkategória</t>
        </is>
      </c>
      <c r="F183" s="19" t="inlineStr">
        <is>
          <t>az elmúlt 30 napban</t>
        </is>
      </c>
      <c r="G183" s="19" t="inlineStr">
        <is>
          <t>Mikrozöld tálca</t>
        </is>
      </c>
    </row>
    <row r="184">
      <c r="A184" s="19" t="inlineStr">
        <is>
          <t>GRO4358</t>
        </is>
      </c>
      <c r="B184" s="19" t="inlineStr">
        <is>
          <t>Garland Microgreens tálca lyukakkal 56x28x6 cm</t>
        </is>
      </c>
      <c r="C184" s="19" t="inlineStr">
        <is>
          <t>Mikrozöld termesztés – mikrozöld tálca</t>
        </is>
      </c>
      <c r="D184" s="19" t="inlineStr"/>
      <c r="E184" s="19" t="inlineStr">
        <is>
          <t>Más főkategória</t>
        </is>
      </c>
      <c r="F184" s="19" t="inlineStr">
        <is>
          <t>az elmúlt 30 napban</t>
        </is>
      </c>
      <c r="G184" s="19" t="inlineStr">
        <is>
          <t>Mikrozöld tálca</t>
        </is>
      </c>
    </row>
    <row r="185">
      <c r="A185" s="19" t="inlineStr">
        <is>
          <t>GRO4359</t>
        </is>
      </c>
      <c r="B185" s="19" t="inlineStr">
        <is>
          <t>Garland Microgreens tálca lyukak nélkül 56x28x6 cm</t>
        </is>
      </c>
      <c r="C185" s="19" t="inlineStr">
        <is>
          <t>Mikrozöld termesztés – mikrozöld tálca</t>
        </is>
      </c>
      <c r="D185" s="19" t="inlineStr"/>
      <c r="E185" s="19" t="inlineStr">
        <is>
          <t>Más főkategória</t>
        </is>
      </c>
      <c r="F185" s="19" t="inlineStr">
        <is>
          <t>az elmúlt 30 napban</t>
        </is>
      </c>
      <c r="G185" s="19" t="inlineStr">
        <is>
          <t>Mikrozöld tálca</t>
        </is>
      </c>
    </row>
    <row r="186">
      <c r="A186" s="19" t="inlineStr">
        <is>
          <t>GRO4636</t>
        </is>
      </c>
      <c r="B186" s="19" t="inlineStr">
        <is>
          <t>Mikrozöld magvető tálca 61,5x33x3 cm</t>
        </is>
      </c>
      <c r="C186" s="19" t="inlineStr">
        <is>
          <t>Mikrozöld termesztés – mikrozöld tálca</t>
        </is>
      </c>
      <c r="D186" s="19" t="inlineStr"/>
      <c r="E186" s="19" t="inlineStr">
        <is>
          <t>Más főkategória</t>
        </is>
      </c>
      <c r="F186" s="19" t="inlineStr">
        <is>
          <t>az elmúlt 30 napban</t>
        </is>
      </c>
      <c r="G186" s="19" t="inlineStr">
        <is>
          <t>Mikrozöld tálca</t>
        </is>
      </c>
    </row>
    <row r="187">
      <c r="A187" s="19" t="inlineStr">
        <is>
          <t>GRO4637</t>
        </is>
      </c>
      <c r="B187" s="19" t="inlineStr">
        <is>
          <t>Mikrozöld magvető tálca, lyukacsos, 59x29x7 cm</t>
        </is>
      </c>
      <c r="C187" s="19" t="inlineStr">
        <is>
          <t>Mikrozöld termesztés – mikrozöld tálca</t>
        </is>
      </c>
      <c r="D187" s="19" t="inlineStr"/>
      <c r="E187" s="19" t="inlineStr">
        <is>
          <t>Más főkategória</t>
        </is>
      </c>
      <c r="F187" s="19" t="inlineStr">
        <is>
          <t>az elmúlt 30 napban</t>
        </is>
      </c>
      <c r="G187" s="19" t="inlineStr">
        <is>
          <t>Mikrozöld tálca</t>
        </is>
      </c>
    </row>
    <row r="188">
      <c r="A188" s="19" t="inlineStr">
        <is>
          <t>GRO2236</t>
        </is>
      </c>
      <c r="B188" s="19" t="inlineStr">
        <is>
          <t>Jiffy tőzegcserép kerek alapú 6 x 5 cm, lebomló palántanevelő cserép</t>
        </is>
      </c>
      <c r="C188" s="19" t="inlineStr">
        <is>
          <t>Palántanevelő ág – Palántanevelő cserép, tőzegcserép</t>
        </is>
      </c>
      <c r="D188" s="19" t="inlineStr"/>
      <c r="E188" s="19" t="inlineStr">
        <is>
          <t>Más főkategória</t>
        </is>
      </c>
      <c r="F188" s="19" t="inlineStr">
        <is>
          <t>az elmúlt 30 napban</t>
        </is>
      </c>
      <c r="G188" s="19" t="inlineStr">
        <is>
          <t>Tőzeg- / rostcserép – lebomló</t>
        </is>
      </c>
    </row>
    <row r="189">
      <c r="A189" s="19" t="inlineStr">
        <is>
          <t>GRO2237</t>
        </is>
      </c>
      <c r="B189" s="19" t="inlineStr">
        <is>
          <t>Jiffy tőzegcserép kerek alapú 8 x 8 cm, lebomló palántanevelő cserép</t>
        </is>
      </c>
      <c r="C189" s="19" t="inlineStr">
        <is>
          <t>Palántanevelő ág – Palántanevelő cserép, tőzegcserép</t>
        </is>
      </c>
      <c r="D189" s="19" t="inlineStr"/>
      <c r="E189" s="19" t="inlineStr">
        <is>
          <t>Más főkategória</t>
        </is>
      </c>
      <c r="F189" s="19" t="inlineStr">
        <is>
          <t>az elmúlt 30 napban</t>
        </is>
      </c>
      <c r="G189" s="19" t="inlineStr">
        <is>
          <t>Tőzeg- / rostcserép – lebomló</t>
        </is>
      </c>
    </row>
    <row r="190">
      <c r="A190" s="19" t="inlineStr">
        <is>
          <t>GRO2239</t>
        </is>
      </c>
      <c r="B190" s="19" t="inlineStr">
        <is>
          <t>Jiffy tőzegcserép tálca 6 x 6 x 6 cm, 12 ültetőhelyes lebomló palántanevelő</t>
        </is>
      </c>
      <c r="C190" s="19" t="inlineStr">
        <is>
          <t>Palántanevelő ág – Palántanevelő cserép, tőzegcserép</t>
        </is>
      </c>
      <c r="D190" s="19" t="inlineStr"/>
      <c r="E190" s="19" t="inlineStr">
        <is>
          <t>Más főkategória</t>
        </is>
      </c>
      <c r="F190" s="19" t="inlineStr">
        <is>
          <t>az elmúlt 30 napban</t>
        </is>
      </c>
      <c r="G190" s="19" t="inlineStr">
        <is>
          <t>Tőzeg- / rostcserép – lebomló</t>
        </is>
      </c>
    </row>
    <row r="191">
      <c r="A191" s="19" t="inlineStr">
        <is>
          <t>GRO3432</t>
        </is>
      </c>
      <c r="B191" s="19" t="inlineStr">
        <is>
          <t>Jiffy tőzegcserép 8x8 cm (vízelvez. nyílással)</t>
        </is>
      </c>
      <c r="C191" s="19" t="inlineStr">
        <is>
          <t>Palántanevelő ág – Palántanevelő cserép, tőzegcserép</t>
        </is>
      </c>
      <c r="D191" s="19" t="inlineStr"/>
      <c r="E191" s="19" t="inlineStr">
        <is>
          <t>Más főkategória</t>
        </is>
      </c>
      <c r="F191" s="19" t="inlineStr">
        <is>
          <t>az elmúlt 30 napban</t>
        </is>
      </c>
      <c r="G191" s="19" t="inlineStr">
        <is>
          <t>Tőzeg- / rostcserép – lebomló</t>
        </is>
      </c>
    </row>
    <row r="192">
      <c r="A192" s="19" t="inlineStr">
        <is>
          <t>GRO3924</t>
        </is>
      </c>
      <c r="B192" s="19" t="inlineStr">
        <is>
          <t>Jiffy Tőzegcserép Kerek Alapú 10 x 8 cm</t>
        </is>
      </c>
      <c r="C192" s="19" t="inlineStr">
        <is>
          <t>Palántanevelő ág – Palántanevelő cserép, tőzegcserép</t>
        </is>
      </c>
      <c r="D192" s="19" t="inlineStr"/>
      <c r="E192" s="19" t="inlineStr">
        <is>
          <t>Más főkategória</t>
        </is>
      </c>
      <c r="F192" s="19" t="inlineStr">
        <is>
          <t>az elmúlt 30 napban</t>
        </is>
      </c>
      <c r="G192" s="19" t="inlineStr">
        <is>
          <t>Tőzeg- / rostcserép – lebomló</t>
        </is>
      </c>
    </row>
    <row r="193">
      <c r="A193" s="19" t="inlineStr">
        <is>
          <t>GRO3925</t>
        </is>
      </c>
      <c r="B193" s="19" t="inlineStr">
        <is>
          <t>Jiffy tőzegcserép tálca 4 x 4 x 5 cm</t>
        </is>
      </c>
      <c r="C193" s="19" t="inlineStr">
        <is>
          <t>Palántanevelő ág – Palántanevelő cserép, tőzegcserép</t>
        </is>
      </c>
      <c r="D193" s="19" t="inlineStr"/>
      <c r="E193" s="19" t="inlineStr">
        <is>
          <t>Más főkategória</t>
        </is>
      </c>
      <c r="F193" s="19" t="inlineStr">
        <is>
          <t>az elmúlt 30 napban</t>
        </is>
      </c>
      <c r="G193" s="19" t="inlineStr">
        <is>
          <t>Tőzeg- / rostcserép – lebomló</t>
        </is>
      </c>
    </row>
    <row r="194">
      <c r="A194" s="19" t="inlineStr">
        <is>
          <t>GRO4360</t>
        </is>
      </c>
      <c r="B194" s="19" t="inlineStr">
        <is>
          <t>Jiffy tőzegcserép kerek 6,2x5,8 cm</t>
        </is>
      </c>
      <c r="C194" s="19" t="inlineStr">
        <is>
          <t>Palántanevelő ág – Palántanevelő cserép, tőzegcserép</t>
        </is>
      </c>
      <c r="D194" s="19" t="inlineStr"/>
      <c r="E194" s="19" t="inlineStr">
        <is>
          <t>Más főkategória</t>
        </is>
      </c>
      <c r="F194" s="19" t="inlineStr">
        <is>
          <t>az elmúlt 30 napban</t>
        </is>
      </c>
      <c r="G194" s="19" t="inlineStr">
        <is>
          <t>Tőzeg- / rostcserép – lebomló</t>
        </is>
      </c>
    </row>
    <row r="195">
      <c r="A195" s="19" t="inlineStr">
        <is>
          <t>GRO4377</t>
        </is>
      </c>
      <c r="B195" s="19" t="inlineStr">
        <is>
          <t>Jiffy tőzegcserép sáv (207 db/dob) 8x8 cm</t>
        </is>
      </c>
      <c r="C195" s="19" t="inlineStr">
        <is>
          <t>Palántanevelő ág – Palántanevelő cserép, tőzegcserép</t>
        </is>
      </c>
      <c r="D195" s="19" t="inlineStr"/>
      <c r="E195" s="19" t="inlineStr">
        <is>
          <t>Más főkategória</t>
        </is>
      </c>
      <c r="F195" s="19" t="inlineStr">
        <is>
          <t>az elmúlt 30 napban</t>
        </is>
      </c>
      <c r="G195" s="19" t="inlineStr">
        <is>
          <t>Tőzeg- / rostcserép – lebomló</t>
        </is>
      </c>
    </row>
    <row r="196">
      <c r="A196" s="19" t="inlineStr">
        <is>
          <t>GRO4378</t>
        </is>
      </c>
      <c r="B196" s="19" t="inlineStr">
        <is>
          <t>Jiffy tőzegcserép kerek (920 db/dob) 10x8 cm</t>
        </is>
      </c>
      <c r="C196" s="19" t="inlineStr">
        <is>
          <t>Palántanevelő ág – Palántanevelő cserép, tőzegcserép</t>
        </is>
      </c>
      <c r="D196" s="19" t="inlineStr"/>
      <c r="E196" s="19" t="inlineStr">
        <is>
          <t>Más főkategória</t>
        </is>
      </c>
      <c r="F196" s="19" t="inlineStr">
        <is>
          <t>az elmúlt 6 hónapban</t>
        </is>
      </c>
      <c r="G196" s="19" t="inlineStr">
        <is>
          <t>Tőzeg- / rostcserép – lebomló</t>
        </is>
      </c>
    </row>
    <row r="197">
      <c r="A197" s="19" t="inlineStr">
        <is>
          <t>GRO4413</t>
        </is>
      </c>
      <c r="B197" s="19" t="inlineStr">
        <is>
          <t>Garland rost palántázó cserép tálca 36 db 35x5 cm</t>
        </is>
      </c>
      <c r="C197" s="19" t="inlineStr">
        <is>
          <t>Palántanevelő ág – Palántanevelő cserép, tőzegcserép</t>
        </is>
      </c>
      <c r="D197" s="19" t="inlineStr"/>
      <c r="E197" s="19" t="inlineStr">
        <is>
          <t>Más főkategória</t>
        </is>
      </c>
      <c r="F197" s="19" t="inlineStr">
        <is>
          <t>az elmúlt 30 napban</t>
        </is>
      </c>
      <c r="G197" s="19" t="inlineStr">
        <is>
          <t>Tőzeg- / rostcserép – lebomló</t>
        </is>
      </c>
    </row>
    <row r="198">
      <c r="A198" s="19" t="inlineStr">
        <is>
          <t>GRO4414</t>
        </is>
      </c>
      <c r="B198" s="19" t="inlineStr">
        <is>
          <t>Garland rost szögletes palántázó cserép 20 db 20x6 cm</t>
        </is>
      </c>
      <c r="C198" s="19" t="inlineStr">
        <is>
          <t>Palántanevelő ág – Palántanevelő cserép, tőzegcserép</t>
        </is>
      </c>
      <c r="D198" s="19" t="inlineStr"/>
      <c r="E198" s="19" t="inlineStr">
        <is>
          <t>Más főkategória</t>
        </is>
      </c>
      <c r="F198" s="19" t="inlineStr">
        <is>
          <t>az elmúlt 30 napban</t>
        </is>
      </c>
      <c r="G198" s="19" t="inlineStr">
        <is>
          <t>Tőzeg- / rostcserép – lebomló</t>
        </is>
      </c>
    </row>
    <row r="199">
      <c r="A199" s="19" t="inlineStr">
        <is>
          <t>GRO4415</t>
        </is>
      </c>
      <c r="B199" s="19" t="inlineStr">
        <is>
          <t>Garland rost palántázó kerek cserép 12 db 12x8 cm</t>
        </is>
      </c>
      <c r="C199" s="19" t="inlineStr">
        <is>
          <t>Palántanevelő ág – Palántanevelő cserép, tőzegcserép</t>
        </is>
      </c>
      <c r="D199" s="19" t="inlineStr"/>
      <c r="E199" s="19" t="inlineStr">
        <is>
          <t>Más főkategória</t>
        </is>
      </c>
      <c r="F199" s="19" t="inlineStr">
        <is>
          <t>az elmúlt 30 napban</t>
        </is>
      </c>
      <c r="G199" s="19" t="inlineStr">
        <is>
          <t>Tőzeg- / rostcserép – lebomló</t>
        </is>
      </c>
    </row>
    <row r="200">
      <c r="A200" s="19" t="inlineStr">
        <is>
          <t>GRO4676</t>
        </is>
      </c>
      <c r="B200" s="19" t="inlineStr">
        <is>
          <t>Jiffy tőzegcserép kerek réselt 5,5x5,2 cm</t>
        </is>
      </c>
      <c r="C200" s="19" t="inlineStr">
        <is>
          <t>Palántanevelő ág – Palántanevelő cserép, tőzegcserép</t>
        </is>
      </c>
      <c r="D200" s="19" t="inlineStr"/>
      <c r="E200" s="19" t="inlineStr">
        <is>
          <t>Más főkategória</t>
        </is>
      </c>
      <c r="F200" s="19" t="inlineStr">
        <is>
          <t>az elmúlt 30 napban</t>
        </is>
      </c>
      <c r="G200" s="19" t="inlineStr">
        <is>
          <t>Tőzeg- / rostcserép – lebomló</t>
        </is>
      </c>
    </row>
    <row r="201">
      <c r="A201" s="19" t="inlineStr">
        <is>
          <t>GRO2246</t>
        </is>
      </c>
      <c r="B201" s="19" t="inlineStr">
        <is>
          <t>Nutriculture X-Stream aeropóniás propagátor tálca PT300 és PT400 modellhez</t>
        </is>
      </c>
      <c r="C201" s="19" t="inlineStr">
        <is>
          <t>Palántanevelő ág – Palántanevelő tálca</t>
        </is>
      </c>
      <c r="D201" s="19" t="inlineStr"/>
      <c r="E201" s="19" t="inlineStr">
        <is>
          <t>Más főkategória</t>
        </is>
      </c>
      <c r="F201" s="19" t="inlineStr">
        <is>
          <t>az elmúlt 30 napban</t>
        </is>
      </c>
      <c r="G201" s="19" t="inlineStr">
        <is>
          <t>Palántanevelő / propagátor tálca</t>
        </is>
      </c>
    </row>
    <row r="202">
      <c r="A202" s="19" t="inlineStr">
        <is>
          <t>GRO2987</t>
        </is>
      </c>
      <c r="B202" s="19" t="inlineStr">
        <is>
          <t>Tálca Jiffy koronghoz 51 db-os</t>
        </is>
      </c>
      <c r="C202" s="19" t="inlineStr">
        <is>
          <t>Palántanevelő ág – Palántanevelő tálca</t>
        </is>
      </c>
      <c r="D202" s="19" t="inlineStr"/>
      <c r="E202" s="19" t="inlineStr">
        <is>
          <t>Más főkategória</t>
        </is>
      </c>
      <c r="F202" s="19" t="inlineStr">
        <is>
          <t>az elmúlt 30 napban</t>
        </is>
      </c>
      <c r="G202" s="19" t="inlineStr">
        <is>
          <t>Palántanevelő / propagátor tálca</t>
        </is>
      </c>
    </row>
    <row r="203">
      <c r="A203" s="19" t="inlineStr">
        <is>
          <t>GRO4633</t>
        </is>
      </c>
      <c r="B203" s="19" t="inlineStr">
        <is>
          <t>40 lyukas palántanevelő tálca</t>
        </is>
      </c>
      <c r="C203" s="19" t="inlineStr">
        <is>
          <t>Palántanevelő ág – Palántanevelő tálca</t>
        </is>
      </c>
      <c r="D203" s="19" t="inlineStr"/>
      <c r="E203" s="19" t="inlineStr">
        <is>
          <t>Más főkategória</t>
        </is>
      </c>
      <c r="F203" s="19" t="inlineStr">
        <is>
          <t>az elmúlt 30 napban</t>
        </is>
      </c>
      <c r="G203" s="19" t="inlineStr">
        <is>
          <t>Palántanevelő / propagátor tálca</t>
        </is>
      </c>
    </row>
    <row r="204">
      <c r="A204" s="19" t="inlineStr">
        <is>
          <t>GRO4634</t>
        </is>
      </c>
      <c r="B204" s="19" t="inlineStr">
        <is>
          <t>66 lyukas palántanevelő tálca</t>
        </is>
      </c>
      <c r="C204" s="19" t="inlineStr">
        <is>
          <t>Palántanevelő ág – Palántanevelő tálca</t>
        </is>
      </c>
      <c r="D204" s="19" t="inlineStr"/>
      <c r="E204" s="19" t="inlineStr">
        <is>
          <t>Más főkategória</t>
        </is>
      </c>
      <c r="F204" s="19" t="inlineStr">
        <is>
          <t>az elmúlt 30 napban</t>
        </is>
      </c>
      <c r="G204" s="19" t="inlineStr">
        <is>
          <t>Palántanevelő / propagátor tálca</t>
        </is>
      </c>
    </row>
    <row r="205">
      <c r="A205" s="19" t="inlineStr">
        <is>
          <t>GRO4635</t>
        </is>
      </c>
      <c r="B205" s="19" t="inlineStr">
        <is>
          <t>104 lyukas palántanevelő tálca</t>
        </is>
      </c>
      <c r="C205" s="19" t="inlineStr">
        <is>
          <t>Palántanevelő ág – Palántanevelő tálca</t>
        </is>
      </c>
      <c r="D205" s="19" t="inlineStr"/>
      <c r="E205" s="19" t="inlineStr">
        <is>
          <t>Más főkategória</t>
        </is>
      </c>
      <c r="F205" s="19" t="inlineStr">
        <is>
          <t>az elmúlt 30 napban</t>
        </is>
      </c>
      <c r="G205" s="19" t="inlineStr">
        <is>
          <t>Palántanevelő / propagátor tálca</t>
        </is>
      </c>
    </row>
    <row r="206">
      <c r="A206" s="19" t="inlineStr">
        <is>
          <t>GRO4684</t>
        </is>
      </c>
      <c r="B206" s="19" t="inlineStr">
        <is>
          <t>Propagátor tálca 43x32,5 cm</t>
        </is>
      </c>
      <c r="C206" s="19" t="inlineStr">
        <is>
          <t>Palántanevelő ág – Palántanevelő tálca</t>
        </is>
      </c>
      <c r="D206" s="19" t="inlineStr"/>
      <c r="E206" s="19" t="inlineStr">
        <is>
          <t>Más főkategória</t>
        </is>
      </c>
      <c r="F206" s="19" t="inlineStr">
        <is>
          <t>az elmúlt 30 napban</t>
        </is>
      </c>
      <c r="G206" s="19" t="inlineStr">
        <is>
          <t>Palántanevelő / propagátor tálca</t>
        </is>
      </c>
    </row>
    <row r="207">
      <c r="A207" s="19" t="inlineStr">
        <is>
          <t>GRO4686</t>
        </is>
      </c>
      <c r="B207" s="19" t="inlineStr">
        <is>
          <t>Propagátor tálca 32,9x22,8 cm</t>
        </is>
      </c>
      <c r="C207" s="19" t="inlineStr">
        <is>
          <t>Palántanevelő ág – Palántanevelő tálca</t>
        </is>
      </c>
      <c r="D207" s="19" t="inlineStr"/>
      <c r="E207" s="19" t="inlineStr">
        <is>
          <t>Más főkategória</t>
        </is>
      </c>
      <c r="F207" s="19" t="inlineStr">
        <is>
          <t>az elmúlt 30 napban</t>
        </is>
      </c>
      <c r="G207" s="19" t="inlineStr">
        <is>
          <t>Palántanevelő / propagátor tálca</t>
        </is>
      </c>
    </row>
    <row r="208">
      <c r="A208" s="17" t="inlineStr">
        <is>
          <t>GRO0001</t>
        </is>
      </c>
      <c r="B208" s="17" t="inlineStr">
        <is>
          <t>Sylvania Grolux HPS nátriumlámpa izzó 400 W, E40, virágzáshoz</t>
        </is>
      </c>
      <c r="C208" s="17" t="inlineStr">
        <is>
          <t>–</t>
        </is>
      </c>
      <c r="D208" s="17" t="inlineStr"/>
      <c r="E208" s="17" t="inlineStr">
        <is>
          <t>Nem tartozik ide</t>
        </is>
      </c>
      <c r="F208" s="17" t="inlineStr">
        <is>
          <t>az elmúlt 30 napban</t>
        </is>
      </c>
      <c r="G208" s="17" t="inlineStr">
        <is>
          <t>Más főkategória terméke</t>
        </is>
      </c>
    </row>
    <row r="209">
      <c r="A209" s="17" t="inlineStr">
        <is>
          <t>GRO0002</t>
        </is>
      </c>
      <c r="B209" s="17" t="inlineStr">
        <is>
          <t>Sylvania Grolux HPS nátriumlámpa izzó 600 W, E40, virágzáshoz</t>
        </is>
      </c>
      <c r="C209" s="17" t="inlineStr">
        <is>
          <t>–</t>
        </is>
      </c>
      <c r="D209" s="17" t="inlineStr"/>
      <c r="E209" s="17" t="inlineStr">
        <is>
          <t>Nem tartozik ide</t>
        </is>
      </c>
      <c r="F209" s="17" t="inlineStr">
        <is>
          <t>az elmúlt 30 napban</t>
        </is>
      </c>
      <c r="G209" s="17" t="inlineStr">
        <is>
          <t>Más főkategória terméke</t>
        </is>
      </c>
    </row>
    <row r="210">
      <c r="A210" s="17" t="inlineStr">
        <is>
          <t>GRO0050</t>
        </is>
      </c>
      <c r="B210" s="17" t="inlineStr">
        <is>
          <t>Mylar fényvisszaverő fólia 50 μm, 1,25 m széles, méterre</t>
        </is>
      </c>
      <c r="C210" s="17" t="inlineStr">
        <is>
          <t>–</t>
        </is>
      </c>
      <c r="D210" s="17" t="inlineStr"/>
      <c r="E210" s="17" t="inlineStr">
        <is>
          <t>Nem tartozik ide</t>
        </is>
      </c>
      <c r="F210" s="17" t="inlineStr">
        <is>
          <t>az elmúlt 30 napban</t>
        </is>
      </c>
      <c r="G210" s="17" t="inlineStr">
        <is>
          <t>Más főkategória terméke</t>
        </is>
      </c>
    </row>
    <row r="211">
      <c r="A211" s="17" t="inlineStr">
        <is>
          <t>GRO0052</t>
        </is>
      </c>
      <c r="B211" s="17" t="inlineStr">
        <is>
          <t>Fekete-fehér fényvisszaverő fólia 125 μm, 2 m széles, méterre</t>
        </is>
      </c>
      <c r="C211" s="17" t="inlineStr">
        <is>
          <t>–</t>
        </is>
      </c>
      <c r="D211" s="17" t="inlineStr"/>
      <c r="E211" s="17" t="inlineStr">
        <is>
          <t>Nem tartozik ide</t>
        </is>
      </c>
      <c r="F211" s="17" t="inlineStr">
        <is>
          <t>az elmúlt 30 napban</t>
        </is>
      </c>
      <c r="G211" s="17" t="inlineStr">
        <is>
          <t>Más főkategória terméke</t>
        </is>
      </c>
    </row>
    <row r="212">
      <c r="A212" s="17" t="inlineStr">
        <is>
          <t>GRO0073</t>
        </is>
      </c>
      <c r="B212" s="17" t="inlineStr">
        <is>
          <t>Growth Technology Clonex gyökereztető gél dugványozáshoz</t>
        </is>
      </c>
      <c r="C212" s="17" t="inlineStr">
        <is>
          <t>–</t>
        </is>
      </c>
      <c r="D212" s="17" t="inlineStr"/>
      <c r="E212" s="17" t="inlineStr">
        <is>
          <t>Nem tartozik ide</t>
        </is>
      </c>
      <c r="F212" s="17" t="inlineStr">
        <is>
          <t>az elmúlt 30 napban</t>
        </is>
      </c>
      <c r="G212" s="17" t="inlineStr">
        <is>
          <t>Más főkategória terméke</t>
        </is>
      </c>
    </row>
    <row r="213">
      <c r="A213" s="17" t="inlineStr">
        <is>
          <t>GRO0076</t>
        </is>
      </c>
      <c r="B213" s="17" t="inlineStr">
        <is>
          <t>BioBizz Bio-Grow szerves növekedési táp 500 ml</t>
        </is>
      </c>
      <c r="C213" s="17" t="inlineStr">
        <is>
          <t>–</t>
        </is>
      </c>
      <c r="D213" s="17" t="inlineStr"/>
      <c r="E213" s="17" t="inlineStr">
        <is>
          <t>Nem tartozik ide</t>
        </is>
      </c>
      <c r="F213" s="17" t="inlineStr">
        <is>
          <t>az elmúlt 30 napban</t>
        </is>
      </c>
      <c r="G213" s="17" t="inlineStr">
        <is>
          <t>Más főkategória terméke</t>
        </is>
      </c>
    </row>
    <row r="214">
      <c r="A214" s="17" t="inlineStr">
        <is>
          <t>GRO0077</t>
        </is>
      </c>
      <c r="B214" s="17" t="inlineStr">
        <is>
          <t>BioBizz Bio-Grow szerves növekedési táp 1 liter</t>
        </is>
      </c>
      <c r="C214" s="17" t="inlineStr">
        <is>
          <t>–</t>
        </is>
      </c>
      <c r="D214" s="17" t="inlineStr"/>
      <c r="E214" s="17" t="inlineStr">
        <is>
          <t>Nem tartozik ide</t>
        </is>
      </c>
      <c r="F214" s="17" t="inlineStr">
        <is>
          <t>az elmúlt 30 napban</t>
        </is>
      </c>
      <c r="G214" s="17" t="inlineStr">
        <is>
          <t>Más főkategória terméke</t>
        </is>
      </c>
    </row>
    <row r="215">
      <c r="A215" s="17" t="inlineStr">
        <is>
          <t>GRO0078</t>
        </is>
      </c>
      <c r="B215" s="17" t="inlineStr">
        <is>
          <t>BioBizz Bio-Grow szerves növekedési táp 5 liter</t>
        </is>
      </c>
      <c r="C215" s="17" t="inlineStr">
        <is>
          <t>–</t>
        </is>
      </c>
      <c r="D215" s="17" t="inlineStr"/>
      <c r="E215" s="17" t="inlineStr">
        <is>
          <t>Nem tartozik ide</t>
        </is>
      </c>
      <c r="F215" s="17" t="inlineStr">
        <is>
          <t>az elmúlt 30 napban</t>
        </is>
      </c>
      <c r="G215" s="17" t="inlineStr">
        <is>
          <t>Más főkategória terméke</t>
        </is>
      </c>
    </row>
    <row r="216">
      <c r="A216" s="17" t="inlineStr">
        <is>
          <t>GRO0079</t>
        </is>
      </c>
      <c r="B216" s="17" t="inlineStr">
        <is>
          <t>BioBizz Bio-Grow szerves növekedési táp 10 liter</t>
        </is>
      </c>
      <c r="C216" s="17" t="inlineStr">
        <is>
          <t>–</t>
        </is>
      </c>
      <c r="D216" s="17" t="inlineStr"/>
      <c r="E216" s="17" t="inlineStr">
        <is>
          <t>Nem tartozik ide</t>
        </is>
      </c>
      <c r="F216" s="17" t="inlineStr">
        <is>
          <t>az elmúlt 30 napban</t>
        </is>
      </c>
      <c r="G216" s="17" t="inlineStr">
        <is>
          <t>Más főkategória terméke</t>
        </is>
      </c>
    </row>
    <row r="217">
      <c r="A217" s="17" t="inlineStr">
        <is>
          <t>GRO0080</t>
        </is>
      </c>
      <c r="B217" s="17" t="inlineStr">
        <is>
          <t>BioBizz Bio-Bloom szerves virágzási táp 500 ml</t>
        </is>
      </c>
      <c r="C217" s="17" t="inlineStr">
        <is>
          <t>–</t>
        </is>
      </c>
      <c r="D217" s="17" t="inlineStr"/>
      <c r="E217" s="17" t="inlineStr">
        <is>
          <t>Nem tartozik ide</t>
        </is>
      </c>
      <c r="F217" s="17" t="inlineStr">
        <is>
          <t>az elmúlt 30 napban</t>
        </is>
      </c>
      <c r="G217" s="17" t="inlineStr">
        <is>
          <t>Más főkategória terméke</t>
        </is>
      </c>
    </row>
    <row r="218">
      <c r="A218" s="17" t="inlineStr">
        <is>
          <t>GRO0081</t>
        </is>
      </c>
      <c r="B218" s="17" t="inlineStr">
        <is>
          <t>BioBizz Bio-Bloom szerves virágzási táp 1 liter</t>
        </is>
      </c>
      <c r="C218" s="17" t="inlineStr">
        <is>
          <t>–</t>
        </is>
      </c>
      <c r="D218" s="17" t="inlineStr"/>
      <c r="E218" s="17" t="inlineStr">
        <is>
          <t>Nem tartozik ide</t>
        </is>
      </c>
      <c r="F218" s="17" t="inlineStr">
        <is>
          <t>az elmúlt 30 napban</t>
        </is>
      </c>
      <c r="G218" s="17" t="inlineStr">
        <is>
          <t>Más főkategória terméke</t>
        </is>
      </c>
    </row>
    <row r="219">
      <c r="A219" s="17" t="inlineStr">
        <is>
          <t>GRO0084</t>
        </is>
      </c>
      <c r="B219" s="17" t="inlineStr">
        <is>
          <t>BioBizz Alg-A-Mic tengeri alga vitalitásserkentő 500 ml</t>
        </is>
      </c>
      <c r="C219" s="17" t="inlineStr">
        <is>
          <t>–</t>
        </is>
      </c>
      <c r="D219" s="17" t="inlineStr"/>
      <c r="E219" s="17" t="inlineStr">
        <is>
          <t>Nem tartozik ide</t>
        </is>
      </c>
      <c r="F219" s="17" t="inlineStr">
        <is>
          <t>az elmúlt 30 napban</t>
        </is>
      </c>
      <c r="G219" s="17" t="inlineStr">
        <is>
          <t>Más főkategória terméke</t>
        </is>
      </c>
    </row>
    <row r="220">
      <c r="A220" s="17" t="inlineStr">
        <is>
          <t>GRO0085</t>
        </is>
      </c>
      <c r="B220" s="17" t="inlineStr">
        <is>
          <t>BioBizz Alg-A-Mic tengeri alga vitalitásserkentő 1 liter</t>
        </is>
      </c>
      <c r="C220" s="17" t="inlineStr">
        <is>
          <t>–</t>
        </is>
      </c>
      <c r="D220" s="17" t="inlineStr"/>
      <c r="E220" s="17" t="inlineStr">
        <is>
          <t>Nem tartozik ide</t>
        </is>
      </c>
      <c r="F220" s="17" t="inlineStr">
        <is>
          <t>az elmúlt 30 napban</t>
        </is>
      </c>
      <c r="G220" s="17" t="inlineStr">
        <is>
          <t>Más főkategória terméke</t>
        </is>
      </c>
    </row>
    <row r="221">
      <c r="A221" s="17" t="inlineStr">
        <is>
          <t>GRO0087</t>
        </is>
      </c>
      <c r="B221" s="17" t="inlineStr">
        <is>
          <t>Biobizz Alg-a-Mic 10 liter</t>
        </is>
      </c>
      <c r="C221" s="17" t="inlineStr">
        <is>
          <t>–</t>
        </is>
      </c>
      <c r="D221" s="17" t="inlineStr"/>
      <c r="E221" s="17" t="inlineStr">
        <is>
          <t>Nem tartozik ide</t>
        </is>
      </c>
      <c r="F221" s="17" t="inlineStr">
        <is>
          <t>2024-10 – 2025-09 (lehet, hogy már nem aktív)</t>
        </is>
      </c>
      <c r="G221" s="17" t="inlineStr">
        <is>
          <t>Más főkategória terméke</t>
        </is>
      </c>
    </row>
    <row r="222">
      <c r="A222" s="17" t="inlineStr">
        <is>
          <t>GRO0088</t>
        </is>
      </c>
      <c r="B222" s="17" t="inlineStr">
        <is>
          <t>BioBizz Fish-Mix szerves növekedési táp halemulzióval 500 ml</t>
        </is>
      </c>
      <c r="C222" s="17" t="inlineStr">
        <is>
          <t>–</t>
        </is>
      </c>
      <c r="D222" s="17" t="inlineStr"/>
      <c r="E222" s="17" t="inlineStr">
        <is>
          <t>Nem tartozik ide</t>
        </is>
      </c>
      <c r="F222" s="17" t="inlineStr">
        <is>
          <t>az elmúlt 30 napban</t>
        </is>
      </c>
      <c r="G222" s="17" t="inlineStr">
        <is>
          <t>Más főkategória terméke</t>
        </is>
      </c>
    </row>
    <row r="223">
      <c r="A223" s="17" t="inlineStr">
        <is>
          <t>GRO0089</t>
        </is>
      </c>
      <c r="B223" s="17" t="inlineStr">
        <is>
          <t>BioBizz Fish-Mix szerves növekedési táp halemulzióval 1 liter</t>
        </is>
      </c>
      <c r="C223" s="17" t="inlineStr">
        <is>
          <t>–</t>
        </is>
      </c>
      <c r="D223" s="17" t="inlineStr"/>
      <c r="E223" s="17" t="inlineStr">
        <is>
          <t>Nem tartozik ide</t>
        </is>
      </c>
      <c r="F223" s="17" t="inlineStr">
        <is>
          <t>az elmúlt 30 napban</t>
        </is>
      </c>
      <c r="G223" s="17" t="inlineStr">
        <is>
          <t>Más főkategória terméke</t>
        </is>
      </c>
    </row>
    <row r="224">
      <c r="A224" s="17" t="inlineStr">
        <is>
          <t>GRO0090</t>
        </is>
      </c>
      <c r="B224" s="17" t="inlineStr">
        <is>
          <t>BioBizz Fish-Mix szerves növekedési táp halemulzióval 5 liter</t>
        </is>
      </c>
      <c r="C224" s="17" t="inlineStr">
        <is>
          <t>–</t>
        </is>
      </c>
      <c r="D224" s="17" t="inlineStr"/>
      <c r="E224" s="17" t="inlineStr">
        <is>
          <t>Nem tartozik ide</t>
        </is>
      </c>
      <c r="F224" s="17" t="inlineStr">
        <is>
          <t>az elmúlt 30 napban</t>
        </is>
      </c>
      <c r="G224" s="17" t="inlineStr">
        <is>
          <t>Más főkategória terméke</t>
        </is>
      </c>
    </row>
    <row r="225">
      <c r="A225" s="17" t="inlineStr">
        <is>
          <t>GRO0091</t>
        </is>
      </c>
      <c r="B225" s="17" t="inlineStr">
        <is>
          <t>BioBizz Fish Mix 10 liter</t>
        </is>
      </c>
      <c r="C225" s="17" t="inlineStr">
        <is>
          <t>–</t>
        </is>
      </c>
      <c r="D225" s="17" t="inlineStr"/>
      <c r="E225" s="17" t="inlineStr">
        <is>
          <t>Nem tartozik ide</t>
        </is>
      </c>
      <c r="F225" s="17" t="inlineStr">
        <is>
          <t>2024-10 – 2025-09 (lehet, hogy már nem aktív)</t>
        </is>
      </c>
      <c r="G225" s="17" t="inlineStr">
        <is>
          <t>Más főkategória terméke</t>
        </is>
      </c>
    </row>
    <row r="226">
      <c r="A226" s="17" t="inlineStr">
        <is>
          <t>GRO0092</t>
        </is>
      </c>
      <c r="B226" s="17" t="inlineStr">
        <is>
          <t>BioBizz Root-Juice gyökérserkentő 250 ml</t>
        </is>
      </c>
      <c r="C226" s="17" t="inlineStr">
        <is>
          <t>–</t>
        </is>
      </c>
      <c r="D226" s="17" t="inlineStr"/>
      <c r="E226" s="17" t="inlineStr">
        <is>
          <t>Nem tartozik ide</t>
        </is>
      </c>
      <c r="F226" s="17" t="inlineStr">
        <is>
          <t>az elmúlt 30 napban</t>
        </is>
      </c>
      <c r="G226" s="17" t="inlineStr">
        <is>
          <t>Más főkategória terméke</t>
        </is>
      </c>
    </row>
    <row r="227">
      <c r="A227" s="17" t="inlineStr">
        <is>
          <t>GRO0093</t>
        </is>
      </c>
      <c r="B227" s="17" t="inlineStr">
        <is>
          <t>Biobizz Root Juice 1 liter</t>
        </is>
      </c>
      <c r="C227" s="17" t="inlineStr">
        <is>
          <t>–</t>
        </is>
      </c>
      <c r="D227" s="17" t="inlineStr"/>
      <c r="E227" s="17" t="inlineStr">
        <is>
          <t>Nem tartozik ide</t>
        </is>
      </c>
      <c r="F227" s="17" t="inlineStr">
        <is>
          <t>az elmúlt 6 hónapban</t>
        </is>
      </c>
      <c r="G227" s="17" t="inlineStr">
        <is>
          <t>Más főkategória terméke</t>
        </is>
      </c>
    </row>
    <row r="228">
      <c r="A228" s="17" t="inlineStr">
        <is>
          <t>GRO0094</t>
        </is>
      </c>
      <c r="B228" s="17" t="inlineStr">
        <is>
          <t>BioBizz Root-Juice gyökérserkentő 5 liter</t>
        </is>
      </c>
      <c r="C228" s="17" t="inlineStr">
        <is>
          <t>–</t>
        </is>
      </c>
      <c r="D228" s="17" t="inlineStr"/>
      <c r="E228" s="17" t="inlineStr">
        <is>
          <t>Nem tartozik ide</t>
        </is>
      </c>
      <c r="F228" s="17" t="inlineStr">
        <is>
          <t>az elmúlt 30 napban</t>
        </is>
      </c>
      <c r="G228" s="17" t="inlineStr">
        <is>
          <t>Más főkategória terméke</t>
        </is>
      </c>
    </row>
    <row r="229">
      <c r="A229" s="17" t="inlineStr">
        <is>
          <t>GRO0095</t>
        </is>
      </c>
      <c r="B229" s="17" t="inlineStr">
        <is>
          <t>BioBizz Top-Max szerves virágzásserkentő 500 ml</t>
        </is>
      </c>
      <c r="C229" s="17" t="inlineStr">
        <is>
          <t>–</t>
        </is>
      </c>
      <c r="D229" s="17" t="inlineStr"/>
      <c r="E229" s="17" t="inlineStr">
        <is>
          <t>Nem tartozik ide</t>
        </is>
      </c>
      <c r="F229" s="17" t="inlineStr">
        <is>
          <t>az elmúlt 30 napban</t>
        </is>
      </c>
      <c r="G229" s="17" t="inlineStr">
        <is>
          <t>Más főkategória terméke</t>
        </is>
      </c>
    </row>
    <row r="230">
      <c r="A230" s="17" t="inlineStr">
        <is>
          <t>GRO0096</t>
        </is>
      </c>
      <c r="B230" s="17" t="inlineStr">
        <is>
          <t>BioBizz Top-Max szerves virágzásserkentő 1 liter</t>
        </is>
      </c>
      <c r="C230" s="17" t="inlineStr">
        <is>
          <t>–</t>
        </is>
      </c>
      <c r="D230" s="17" t="inlineStr"/>
      <c r="E230" s="17" t="inlineStr">
        <is>
          <t>Nem tartozik ide</t>
        </is>
      </c>
      <c r="F230" s="17" t="inlineStr">
        <is>
          <t>az elmúlt 30 napban</t>
        </is>
      </c>
      <c r="G230" s="17" t="inlineStr">
        <is>
          <t>Más főkategória terméke</t>
        </is>
      </c>
    </row>
    <row r="231">
      <c r="A231" s="17" t="inlineStr">
        <is>
          <t>GRO0097</t>
        </is>
      </c>
      <c r="B231" s="17" t="inlineStr">
        <is>
          <t>BioBizz Top-Max szerves virágzásserkentő 5 liter</t>
        </is>
      </c>
      <c r="C231" s="17" t="inlineStr">
        <is>
          <t>–</t>
        </is>
      </c>
      <c r="D231" s="17" t="inlineStr"/>
      <c r="E231" s="17" t="inlineStr">
        <is>
          <t>Nem tartozik ide</t>
        </is>
      </c>
      <c r="F231" s="17" t="inlineStr">
        <is>
          <t>az elmúlt 30 napban</t>
        </is>
      </c>
      <c r="G231" s="17" t="inlineStr">
        <is>
          <t>Más főkategória terméke</t>
        </is>
      </c>
    </row>
    <row r="232">
      <c r="A232" s="17" t="inlineStr">
        <is>
          <t>GRO0099</t>
        </is>
      </c>
      <c r="B232" s="17" t="inlineStr">
        <is>
          <t>BioBizz Leaf-Coat levélvédő permet 500 ml</t>
        </is>
      </c>
      <c r="C232" s="17" t="inlineStr">
        <is>
          <t>–</t>
        </is>
      </c>
      <c r="D232" s="17" t="inlineStr"/>
      <c r="E232" s="17" t="inlineStr">
        <is>
          <t>Nem tartozik ide</t>
        </is>
      </c>
      <c r="F232" s="17" t="inlineStr">
        <is>
          <t>az elmúlt 30 napban</t>
        </is>
      </c>
      <c r="G232" s="17" t="inlineStr">
        <is>
          <t>Más főkategória terméke</t>
        </is>
      </c>
    </row>
    <row r="233">
      <c r="A233" s="17" t="inlineStr">
        <is>
          <t>GRO0100</t>
        </is>
      </c>
      <c r="B233" s="17" t="inlineStr">
        <is>
          <t>BioBizz Leaf-Coat levélvédő permet 1 liter</t>
        </is>
      </c>
      <c r="C233" s="17" t="inlineStr">
        <is>
          <t>–</t>
        </is>
      </c>
      <c r="D233" s="17" t="inlineStr"/>
      <c r="E233" s="17" t="inlineStr">
        <is>
          <t>Nem tartozik ide</t>
        </is>
      </c>
      <c r="F233" s="17" t="inlineStr">
        <is>
          <t>az elmúlt 30 napban</t>
        </is>
      </c>
      <c r="G233" s="17" t="inlineStr">
        <is>
          <t>Más főkategória terméke</t>
        </is>
      </c>
    </row>
    <row r="234">
      <c r="A234" s="17" t="inlineStr">
        <is>
          <t>GRO0101</t>
        </is>
      </c>
      <c r="B234" s="17" t="inlineStr">
        <is>
          <t>BioBizz Bio-Heaven szerves stimulátor 250 ml</t>
        </is>
      </c>
      <c r="C234" s="17" t="inlineStr">
        <is>
          <t>–</t>
        </is>
      </c>
      <c r="D234" s="17" t="inlineStr"/>
      <c r="E234" s="17" t="inlineStr">
        <is>
          <t>Nem tartozik ide</t>
        </is>
      </c>
      <c r="F234" s="17" t="inlineStr">
        <is>
          <t>az elmúlt 30 napban</t>
        </is>
      </c>
      <c r="G234" s="17" t="inlineStr">
        <is>
          <t>Más főkategória terméke</t>
        </is>
      </c>
    </row>
    <row r="235">
      <c r="A235" s="17" t="inlineStr">
        <is>
          <t>GRO0102</t>
        </is>
      </c>
      <c r="B235" s="17" t="inlineStr">
        <is>
          <t>BioBizz Bio-Heaven szerves stimulátor 500 ml</t>
        </is>
      </c>
      <c r="C235" s="17" t="inlineStr">
        <is>
          <t>–</t>
        </is>
      </c>
      <c r="D235" s="17" t="inlineStr"/>
      <c r="E235" s="17" t="inlineStr">
        <is>
          <t>Nem tartozik ide</t>
        </is>
      </c>
      <c r="F235" s="17" t="inlineStr">
        <is>
          <t>az elmúlt 30 napban</t>
        </is>
      </c>
      <c r="G235" s="17" t="inlineStr">
        <is>
          <t>Más főkategória terméke</t>
        </is>
      </c>
    </row>
    <row r="236">
      <c r="A236" s="17" t="inlineStr">
        <is>
          <t>GRO0103</t>
        </is>
      </c>
      <c r="B236" s="17" t="inlineStr">
        <is>
          <t>BioBizz Bio-Heaven szerves stimulátor 1 liter</t>
        </is>
      </c>
      <c r="C236" s="17" t="inlineStr">
        <is>
          <t>–</t>
        </is>
      </c>
      <c r="D236" s="17" t="inlineStr"/>
      <c r="E236" s="17" t="inlineStr">
        <is>
          <t>Nem tartozik ide</t>
        </is>
      </c>
      <c r="F236" s="17" t="inlineStr">
        <is>
          <t>az elmúlt 30 napban</t>
        </is>
      </c>
      <c r="G236" s="17" t="inlineStr">
        <is>
          <t>Más főkategória terméke</t>
        </is>
      </c>
    </row>
    <row r="237">
      <c r="A237" s="17" t="inlineStr">
        <is>
          <t>GRO0108</t>
        </is>
      </c>
      <c r="B237" s="17" t="inlineStr">
        <is>
          <t>Terra Aquatica (GHE) TriPart Grow növekedési táp, korábban FloraGro, 1 liter</t>
        </is>
      </c>
      <c r="C237" s="17" t="inlineStr">
        <is>
          <t>–</t>
        </is>
      </c>
      <c r="D237" s="17" t="inlineStr"/>
      <c r="E237" s="17" t="inlineStr">
        <is>
          <t>Nem tartozik ide</t>
        </is>
      </c>
      <c r="F237" s="17" t="inlineStr">
        <is>
          <t>az elmúlt 30 napban</t>
        </is>
      </c>
      <c r="G237" s="17" t="inlineStr">
        <is>
          <t>Más főkategória terméke</t>
        </is>
      </c>
    </row>
    <row r="238">
      <c r="A238" s="17" t="inlineStr">
        <is>
          <t>GRO0109</t>
        </is>
      </c>
      <c r="B238" s="17" t="inlineStr">
        <is>
          <t>Terra Aquatica (GHE) TriPart Grow növekedési táp, korábban FloraGro, 5 liter</t>
        </is>
      </c>
      <c r="C238" s="17" t="inlineStr">
        <is>
          <t>–</t>
        </is>
      </c>
      <c r="D238" s="17" t="inlineStr"/>
      <c r="E238" s="17" t="inlineStr">
        <is>
          <t>Nem tartozik ide</t>
        </is>
      </c>
      <c r="F238" s="17" t="inlineStr">
        <is>
          <t>az elmúlt 30 napban</t>
        </is>
      </c>
      <c r="G238" s="17" t="inlineStr">
        <is>
          <t>Más főkategória terméke</t>
        </is>
      </c>
    </row>
    <row r="239">
      <c r="A239" s="17" t="inlineStr">
        <is>
          <t>GRO0110</t>
        </is>
      </c>
      <c r="B239" s="17" t="inlineStr">
        <is>
          <t>Terra Aquatica Tripart Flora Grow (GHE FloraGro) 10 liter</t>
        </is>
      </c>
      <c r="C239" s="17" t="inlineStr">
        <is>
          <t>–</t>
        </is>
      </c>
      <c r="D239" s="17" t="inlineStr"/>
      <c r="E239" s="17" t="inlineStr">
        <is>
          <t>Nem tartozik ide</t>
        </is>
      </c>
      <c r="F239" s="17" t="inlineStr">
        <is>
          <t>az elmúlt 6 hónapban</t>
        </is>
      </c>
      <c r="G239" s="17" t="inlineStr">
        <is>
          <t>Más főkategória terméke</t>
        </is>
      </c>
    </row>
    <row r="240">
      <c r="A240" s="17" t="inlineStr">
        <is>
          <t>GRO0112</t>
        </is>
      </c>
      <c r="B240" s="17" t="inlineStr">
        <is>
          <t>Terra Aquatica (GHE) TriPart Bloom virágzási táp, korábban FloraBloom, 1 liter</t>
        </is>
      </c>
      <c r="C240" s="17" t="inlineStr">
        <is>
          <t>–</t>
        </is>
      </c>
      <c r="D240" s="17" t="inlineStr"/>
      <c r="E240" s="17" t="inlineStr">
        <is>
          <t>Nem tartozik ide</t>
        </is>
      </c>
      <c r="F240" s="17" t="inlineStr">
        <is>
          <t>az elmúlt 30 napban</t>
        </is>
      </c>
      <c r="G240" s="17" t="inlineStr">
        <is>
          <t>Más főkategória terméke</t>
        </is>
      </c>
    </row>
    <row r="241">
      <c r="A241" s="17" t="inlineStr">
        <is>
          <t>GRO0113</t>
        </is>
      </c>
      <c r="B241" s="17" t="inlineStr">
        <is>
          <t>Terra Aquatica (GHE) Tripart Flora Bloom 5 liter</t>
        </is>
      </c>
      <c r="C241" s="17" t="inlineStr">
        <is>
          <t>–</t>
        </is>
      </c>
      <c r="D241" s="17" t="inlineStr"/>
      <c r="E241" s="17" t="inlineStr">
        <is>
          <t>Nem tartozik ide</t>
        </is>
      </c>
      <c r="F241" s="17" t="inlineStr">
        <is>
          <t>az elmúlt 30 napban</t>
        </is>
      </c>
      <c r="G241" s="17" t="inlineStr">
        <is>
          <t>Más főkategória terméke</t>
        </is>
      </c>
    </row>
    <row r="242">
      <c r="A242" s="17" t="inlineStr">
        <is>
          <t>GRO0116</t>
        </is>
      </c>
      <c r="B242" s="17" t="inlineStr">
        <is>
          <t>Terra Aquatica (GHE) TriPart Micro Soft Water alaptáp, korábban FloraMicro, 1 liter</t>
        </is>
      </c>
      <c r="C242" s="17" t="inlineStr">
        <is>
          <t>–</t>
        </is>
      </c>
      <c r="D242" s="17" t="inlineStr"/>
      <c r="E242" s="17" t="inlineStr">
        <is>
          <t>Nem tartozik ide</t>
        </is>
      </c>
      <c r="F242" s="17" t="inlineStr">
        <is>
          <t>az elmúlt 30 napban</t>
        </is>
      </c>
      <c r="G242" s="17" t="inlineStr">
        <is>
          <t>Más főkategória terméke</t>
        </is>
      </c>
    </row>
    <row r="243">
      <c r="A243" s="17" t="inlineStr">
        <is>
          <t>GRO0117</t>
        </is>
      </c>
      <c r="B243" s="17" t="inlineStr">
        <is>
          <t>Terra Aquatica (GHE) TriPart Micro Soft Water alaptáp, korábban FloraMicro, 5 liter</t>
        </is>
      </c>
      <c r="C243" s="17" t="inlineStr">
        <is>
          <t>–</t>
        </is>
      </c>
      <c r="D243" s="17" t="inlineStr"/>
      <c r="E243" s="17" t="inlineStr">
        <is>
          <t>Nem tartozik ide</t>
        </is>
      </c>
      <c r="F243" s="17" t="inlineStr">
        <is>
          <t>az elmúlt 30 napban</t>
        </is>
      </c>
      <c r="G243" s="17" t="inlineStr">
        <is>
          <t>Más főkategória terméke</t>
        </is>
      </c>
    </row>
    <row r="244">
      <c r="A244" s="17" t="inlineStr">
        <is>
          <t>GRO0118</t>
        </is>
      </c>
      <c r="B244" s="17" t="inlineStr">
        <is>
          <t>Terra Aquatica (GHE) TriPart Micro Soft Water alaptáp, korábban FloraMicro, 10 liter</t>
        </is>
      </c>
      <c r="C244" s="17" t="inlineStr">
        <is>
          <t>–</t>
        </is>
      </c>
      <c r="D244" s="17" t="inlineStr"/>
      <c r="E244" s="17" t="inlineStr">
        <is>
          <t>Nem tartozik ide</t>
        </is>
      </c>
      <c r="F244" s="17" t="inlineStr">
        <is>
          <t>az elmúlt 30 napban</t>
        </is>
      </c>
      <c r="G244" s="17" t="inlineStr">
        <is>
          <t>Más főkategória terméke</t>
        </is>
      </c>
    </row>
    <row r="245">
      <c r="A245" s="17" t="inlineStr">
        <is>
          <t>GRO0132</t>
        </is>
      </c>
      <c r="B245" s="17" t="inlineStr">
        <is>
          <t>Terra Aquatica (GHE) FinalPart érlelő táp késői virágzáshoz, korábban Ripen, 1 liter</t>
        </is>
      </c>
      <c r="C245" s="17" t="inlineStr">
        <is>
          <t>–</t>
        </is>
      </c>
      <c r="D245" s="17" t="inlineStr"/>
      <c r="E245" s="17" t="inlineStr">
        <is>
          <t>Nem tartozik ide</t>
        </is>
      </c>
      <c r="F245" s="17" t="inlineStr">
        <is>
          <t>az elmúlt 30 napban</t>
        </is>
      </c>
      <c r="G245" s="17" t="inlineStr">
        <is>
          <t>Más főkategória terméke</t>
        </is>
      </c>
    </row>
    <row r="246">
      <c r="A246" s="17" t="inlineStr">
        <is>
          <t>GRO0133</t>
        </is>
      </c>
      <c r="B246" s="17" t="inlineStr">
        <is>
          <t>Terra Aquatica (GHE) FinalPart érlelő táp késői virágzáshoz, korábban Ripen, 5 liter</t>
        </is>
      </c>
      <c r="C246" s="17" t="inlineStr">
        <is>
          <t>–</t>
        </is>
      </c>
      <c r="D246" s="17" t="inlineStr"/>
      <c r="E246" s="17" t="inlineStr">
        <is>
          <t>Nem tartozik ide</t>
        </is>
      </c>
      <c r="F246" s="17" t="inlineStr">
        <is>
          <t>az elmúlt 30 napban</t>
        </is>
      </c>
      <c r="G246" s="17" t="inlineStr">
        <is>
          <t>Más főkategória terméke</t>
        </is>
      </c>
    </row>
    <row r="247">
      <c r="A247" s="17" t="inlineStr">
        <is>
          <t>GRO0134</t>
        </is>
      </c>
      <c r="B247" s="17" t="inlineStr">
        <is>
          <t>Terra Aquatica (GHE) FinalPart érlelő táp késői virágzáshoz, korábban Ripen, 10 liter</t>
        </is>
      </c>
      <c r="C247" s="17" t="inlineStr">
        <is>
          <t>–</t>
        </is>
      </c>
      <c r="D247" s="17" t="inlineStr"/>
      <c r="E247" s="17" t="inlineStr">
        <is>
          <t>Nem tartozik ide</t>
        </is>
      </c>
      <c r="F247" s="17" t="inlineStr">
        <is>
          <t>az elmúlt 30 napban</t>
        </is>
      </c>
      <c r="G247" s="17" t="inlineStr">
        <is>
          <t>Más főkategória terméke</t>
        </is>
      </c>
    </row>
    <row r="248">
      <c r="A248" s="17" t="inlineStr">
        <is>
          <t>GRO0154</t>
        </is>
      </c>
      <c r="B248" s="17" t="inlineStr">
        <is>
          <t>Terra Aquatica pH test kit cseppteszt 30 ml</t>
        </is>
      </c>
      <c r="C248" s="17" t="inlineStr">
        <is>
          <t>–</t>
        </is>
      </c>
      <c r="D248" s="17" t="inlineStr"/>
      <c r="E248" s="17" t="inlineStr">
        <is>
          <t>Nem tartozik ide</t>
        </is>
      </c>
      <c r="F248" s="17" t="inlineStr">
        <is>
          <t>az elmúlt 6 hónapban</t>
        </is>
      </c>
      <c r="G248" s="17" t="inlineStr">
        <is>
          <t>Más főkategória terméke</t>
        </is>
      </c>
    </row>
    <row r="249">
      <c r="A249" s="17" t="inlineStr">
        <is>
          <t>GRO0205</t>
        </is>
      </c>
      <c r="B249" s="17" t="inlineStr">
        <is>
          <t>Hesi Pro-Line TNT 1 liter</t>
        </is>
      </c>
      <c r="C249" s="17" t="inlineStr">
        <is>
          <t>–</t>
        </is>
      </c>
      <c r="D249" s="17" t="inlineStr"/>
      <c r="E249" s="17" t="inlineStr">
        <is>
          <t>Nem tartozik ide</t>
        </is>
      </c>
      <c r="F249" s="17" t="inlineStr">
        <is>
          <t>az elmúlt 6 hónapban</t>
        </is>
      </c>
      <c r="G249" s="17" t="inlineStr">
        <is>
          <t>Más főkategória terméke</t>
        </is>
      </c>
    </row>
    <row r="250">
      <c r="A250" s="17" t="inlineStr">
        <is>
          <t>GRO0206</t>
        </is>
      </c>
      <c r="B250" s="17" t="inlineStr">
        <is>
          <t>Hesi Pro-Line TNT 5 liter</t>
        </is>
      </c>
      <c r="C250" s="17" t="inlineStr">
        <is>
          <t>–</t>
        </is>
      </c>
      <c r="D250" s="17" t="inlineStr"/>
      <c r="E250" s="17" t="inlineStr">
        <is>
          <t>Nem tartozik ide</t>
        </is>
      </c>
      <c r="F250" s="17" t="inlineStr">
        <is>
          <t>az elmúlt 6 hónapban</t>
        </is>
      </c>
      <c r="G250" s="17" t="inlineStr">
        <is>
          <t>Más főkategória terméke</t>
        </is>
      </c>
    </row>
    <row r="251">
      <c r="A251" s="17" t="inlineStr">
        <is>
          <t>GRO0209</t>
        </is>
      </c>
      <c r="B251" s="17" t="inlineStr">
        <is>
          <t>Hesi Pro-Line Bloom 1 liter</t>
        </is>
      </c>
      <c r="C251" s="17" t="inlineStr">
        <is>
          <t>–</t>
        </is>
      </c>
      <c r="D251" s="17" t="inlineStr"/>
      <c r="E251" s="17" t="inlineStr">
        <is>
          <t>Nem tartozik ide</t>
        </is>
      </c>
      <c r="F251" s="17" t="inlineStr">
        <is>
          <t>az elmúlt 6 hónapban</t>
        </is>
      </c>
      <c r="G251" s="17" t="inlineStr">
        <is>
          <t>Más főkategória terméke</t>
        </is>
      </c>
    </row>
    <row r="252">
      <c r="A252" s="17" t="inlineStr">
        <is>
          <t>GRO0210</t>
        </is>
      </c>
      <c r="B252" s="17" t="inlineStr">
        <is>
          <t>Hesi Pro-Line Bloom 5 liter</t>
        </is>
      </c>
      <c r="C252" s="17" t="inlineStr">
        <is>
          <t>–</t>
        </is>
      </c>
      <c r="D252" s="17" t="inlineStr"/>
      <c r="E252" s="17" t="inlineStr">
        <is>
          <t>Nem tartozik ide</t>
        </is>
      </c>
      <c r="F252" s="17" t="inlineStr">
        <is>
          <t>az elmúlt 6 hónapban</t>
        </is>
      </c>
      <c r="G252" s="17" t="inlineStr">
        <is>
          <t>Más főkategória terméke</t>
        </is>
      </c>
    </row>
    <row r="253">
      <c r="A253" s="17" t="inlineStr">
        <is>
          <t>GRO0214</t>
        </is>
      </c>
      <c r="B253" s="17" t="inlineStr">
        <is>
          <t>Hesi Pro-Line Phosphor 1 liter</t>
        </is>
      </c>
      <c r="C253" s="17" t="inlineStr">
        <is>
          <t>–</t>
        </is>
      </c>
      <c r="D253" s="17" t="inlineStr"/>
      <c r="E253" s="17" t="inlineStr">
        <is>
          <t>Nem tartozik ide</t>
        </is>
      </c>
      <c r="F253" s="17" t="inlineStr">
        <is>
          <t>az elmúlt 6 hónapban</t>
        </is>
      </c>
      <c r="G253" s="17" t="inlineStr">
        <is>
          <t>Más főkategória terméke</t>
        </is>
      </c>
    </row>
    <row r="254">
      <c r="A254" s="17" t="inlineStr">
        <is>
          <t>GRO0215</t>
        </is>
      </c>
      <c r="B254" s="17" t="inlineStr">
        <is>
          <t>Hesi Pro-Line Phosphor 5 liter</t>
        </is>
      </c>
      <c r="C254" s="17" t="inlineStr">
        <is>
          <t>–</t>
        </is>
      </c>
      <c r="D254" s="17" t="inlineStr"/>
      <c r="E254" s="17" t="inlineStr">
        <is>
          <t>Nem tartozik ide</t>
        </is>
      </c>
      <c r="F254" s="17" t="inlineStr">
        <is>
          <t>2024-10 – 2025-09 (lehet, hogy már nem aktív)</t>
        </is>
      </c>
      <c r="G254" s="17" t="inlineStr">
        <is>
          <t>Más főkategória terméke</t>
        </is>
      </c>
    </row>
    <row r="255">
      <c r="A255" s="17" t="inlineStr">
        <is>
          <t>GRO0218</t>
        </is>
      </c>
      <c r="B255" s="17" t="inlineStr">
        <is>
          <t>Hesi Pro-Line Hydro Growth 1 liter</t>
        </is>
      </c>
      <c r="C255" s="17" t="inlineStr">
        <is>
          <t>–</t>
        </is>
      </c>
      <c r="D255" s="17" t="inlineStr"/>
      <c r="E255" s="17" t="inlineStr">
        <is>
          <t>Nem tartozik ide</t>
        </is>
      </c>
      <c r="F255" s="17" t="inlineStr">
        <is>
          <t>2024-10 – 2025-09 (lehet, hogy már nem aktív)</t>
        </is>
      </c>
      <c r="G255" s="17" t="inlineStr">
        <is>
          <t>Más főkategória terméke</t>
        </is>
      </c>
    </row>
    <row r="256">
      <c r="A256" s="17" t="inlineStr">
        <is>
          <t>GRO0219</t>
        </is>
      </c>
      <c r="B256" s="17" t="inlineStr">
        <is>
          <t>Hesi Pro-Line Hydro Growth 5 liter</t>
        </is>
      </c>
      <c r="C256" s="17" t="inlineStr">
        <is>
          <t>–</t>
        </is>
      </c>
      <c r="D256" s="17" t="inlineStr"/>
      <c r="E256" s="17" t="inlineStr">
        <is>
          <t>Nem tartozik ide</t>
        </is>
      </c>
      <c r="F256" s="17" t="inlineStr">
        <is>
          <t>2024-10 – 2025-09 (lehet, hogy már nem aktív)</t>
        </is>
      </c>
      <c r="G256" s="17" t="inlineStr">
        <is>
          <t>Más főkategória terméke</t>
        </is>
      </c>
    </row>
    <row r="257">
      <c r="A257" s="17" t="inlineStr">
        <is>
          <t>GRO0222</t>
        </is>
      </c>
      <c r="B257" s="17" t="inlineStr">
        <is>
          <t>Hesi Pro-Line Hydro Bloom 1 liter</t>
        </is>
      </c>
      <c r="C257" s="17" t="inlineStr">
        <is>
          <t>–</t>
        </is>
      </c>
      <c r="D257" s="17" t="inlineStr"/>
      <c r="E257" s="17" t="inlineStr">
        <is>
          <t>Nem tartozik ide</t>
        </is>
      </c>
      <c r="F257" s="17" t="inlineStr">
        <is>
          <t>az elmúlt 6 hónapban</t>
        </is>
      </c>
      <c r="G257" s="17" t="inlineStr">
        <is>
          <t>Más főkategória terméke</t>
        </is>
      </c>
    </row>
    <row r="258">
      <c r="A258" s="17" t="inlineStr">
        <is>
          <t>GRO0223</t>
        </is>
      </c>
      <c r="B258" s="17" t="inlineStr">
        <is>
          <t>Hesi Pro-Line Hydro Bloom 5 liter</t>
        </is>
      </c>
      <c r="C258" s="17" t="inlineStr">
        <is>
          <t>–</t>
        </is>
      </c>
      <c r="D258" s="17" t="inlineStr"/>
      <c r="E258" s="17" t="inlineStr">
        <is>
          <t>Nem tartozik ide</t>
        </is>
      </c>
      <c r="F258" s="17" t="inlineStr">
        <is>
          <t>az elmúlt 6 hónapban</t>
        </is>
      </c>
      <c r="G258" s="17" t="inlineStr">
        <is>
          <t>Más főkategória terméke</t>
        </is>
      </c>
    </row>
    <row r="259">
      <c r="A259" s="17" t="inlineStr">
        <is>
          <t>GRO0226</t>
        </is>
      </c>
      <c r="B259" s="17" t="inlineStr">
        <is>
          <t>Hesi Pro-Line Coco 1 liter</t>
        </is>
      </c>
      <c r="C259" s="17" t="inlineStr">
        <is>
          <t>–</t>
        </is>
      </c>
      <c r="D259" s="17" t="inlineStr"/>
      <c r="E259" s="17" t="inlineStr">
        <is>
          <t>Nem tartozik ide</t>
        </is>
      </c>
      <c r="F259" s="17" t="inlineStr">
        <is>
          <t>az elmúlt 6 hónapban</t>
        </is>
      </c>
      <c r="G259" s="17" t="inlineStr">
        <is>
          <t>Más főkategória terméke</t>
        </is>
      </c>
    </row>
    <row r="260">
      <c r="A260" s="17" t="inlineStr">
        <is>
          <t>GRO0230</t>
        </is>
      </c>
      <c r="B260" s="17" t="inlineStr">
        <is>
          <t>Hesi PowerZyme enzimes közegjavító adalék, 500 ml</t>
        </is>
      </c>
      <c r="C260" s="17" t="inlineStr">
        <is>
          <t>–</t>
        </is>
      </c>
      <c r="D260" s="17" t="inlineStr"/>
      <c r="E260" s="17" t="inlineStr">
        <is>
          <t>Nem tartozik ide</t>
        </is>
      </c>
      <c r="F260" s="17" t="inlineStr">
        <is>
          <t>az elmúlt 30 napban</t>
        </is>
      </c>
      <c r="G260" s="17" t="inlineStr">
        <is>
          <t>Más főkategória terméke</t>
        </is>
      </c>
    </row>
    <row r="261">
      <c r="A261" s="17" t="inlineStr">
        <is>
          <t>GRO0231</t>
        </is>
      </c>
      <c r="B261" s="17" t="inlineStr">
        <is>
          <t>Hesi PowerZyme enzimes közegjavító adalék, 1 liter</t>
        </is>
      </c>
      <c r="C261" s="17" t="inlineStr">
        <is>
          <t>–</t>
        </is>
      </c>
      <c r="D261" s="17" t="inlineStr"/>
      <c r="E261" s="17" t="inlineStr">
        <is>
          <t>Nem tartozik ide</t>
        </is>
      </c>
      <c r="F261" s="17" t="inlineStr">
        <is>
          <t>az elmúlt 30 napban</t>
        </is>
      </c>
      <c r="G261" s="17" t="inlineStr">
        <is>
          <t>Más főkategória terméke</t>
        </is>
      </c>
    </row>
    <row r="262">
      <c r="A262" s="17" t="inlineStr">
        <is>
          <t>GRO0233</t>
        </is>
      </c>
      <c r="B262" s="17" t="inlineStr">
        <is>
          <t>Hesi PowerZyme enzimes közegjavító adalék, 5 liter</t>
        </is>
      </c>
      <c r="C262" s="17" t="inlineStr">
        <is>
          <t>–</t>
        </is>
      </c>
      <c r="D262" s="17" t="inlineStr"/>
      <c r="E262" s="17" t="inlineStr">
        <is>
          <t>Nem tartozik ide</t>
        </is>
      </c>
      <c r="F262" s="17" t="inlineStr">
        <is>
          <t>az elmúlt 30 napban</t>
        </is>
      </c>
      <c r="G262" s="17" t="inlineStr">
        <is>
          <t>Más főkategória terméke</t>
        </is>
      </c>
    </row>
    <row r="263">
      <c r="A263" s="17" t="inlineStr">
        <is>
          <t>GRO0234</t>
        </is>
      </c>
      <c r="B263" s="17" t="inlineStr">
        <is>
          <t>Hesi PowerZyme enzimes közegjavító adalék, 10 liter</t>
        </is>
      </c>
      <c r="C263" s="17" t="inlineStr">
        <is>
          <t>–</t>
        </is>
      </c>
      <c r="D263" s="17" t="inlineStr"/>
      <c r="E263" s="17" t="inlineStr">
        <is>
          <t>Nem tartozik ide</t>
        </is>
      </c>
      <c r="F263" s="17" t="inlineStr">
        <is>
          <t>az elmúlt 30 napban</t>
        </is>
      </c>
      <c r="G263" s="17" t="inlineStr">
        <is>
          <t>Más főkategória terméke</t>
        </is>
      </c>
    </row>
    <row r="264">
      <c r="A264" s="17" t="inlineStr">
        <is>
          <t>GRO0235</t>
        </is>
      </c>
      <c r="B264" s="17" t="inlineStr">
        <is>
          <t>Hesi Pro-Line PK 500 ml</t>
        </is>
      </c>
      <c r="C264" s="17" t="inlineStr">
        <is>
          <t>–</t>
        </is>
      </c>
      <c r="D264" s="17" t="inlineStr"/>
      <c r="E264" s="17" t="inlineStr">
        <is>
          <t>Nem tartozik ide</t>
        </is>
      </c>
      <c r="F264" s="17" t="inlineStr">
        <is>
          <t>2024-10 – 2025-09 (lehet, hogy már nem aktív)</t>
        </is>
      </c>
      <c r="G264" s="17" t="inlineStr">
        <is>
          <t>Más főkategória terméke</t>
        </is>
      </c>
    </row>
    <row r="265">
      <c r="A265" s="17" t="inlineStr">
        <is>
          <t>GRO0236</t>
        </is>
      </c>
      <c r="B265" s="17" t="inlineStr">
        <is>
          <t>Hesi Pro-Line PK 1 liter</t>
        </is>
      </c>
      <c r="C265" s="17" t="inlineStr">
        <is>
          <t>–</t>
        </is>
      </c>
      <c r="D265" s="17" t="inlineStr"/>
      <c r="E265" s="17" t="inlineStr">
        <is>
          <t>Nem tartozik ide</t>
        </is>
      </c>
      <c r="F265" s="17" t="inlineStr">
        <is>
          <t>az elmúlt 6 hónapban</t>
        </is>
      </c>
      <c r="G265" s="17" t="inlineStr">
        <is>
          <t>Más főkategória terméke</t>
        </is>
      </c>
    </row>
    <row r="266">
      <c r="A266" s="17" t="inlineStr">
        <is>
          <t>GRO0237</t>
        </is>
      </c>
      <c r="B266" s="17" t="inlineStr">
        <is>
          <t>Hesi Pro-Line PK 5 liter</t>
        </is>
      </c>
      <c r="C266" s="17" t="inlineStr">
        <is>
          <t>–</t>
        </is>
      </c>
      <c r="D266" s="17" t="inlineStr"/>
      <c r="E266" s="17" t="inlineStr">
        <is>
          <t>Nem tartozik ide</t>
        </is>
      </c>
      <c r="F266" s="17" t="inlineStr">
        <is>
          <t>az elmúlt 6 hónapban</t>
        </is>
      </c>
      <c r="G266" s="17" t="inlineStr">
        <is>
          <t>Más főkategória terméke</t>
        </is>
      </c>
    </row>
    <row r="267">
      <c r="A267" s="17" t="inlineStr">
        <is>
          <t>GRO0306</t>
        </is>
      </c>
      <c r="B267" s="17" t="inlineStr">
        <is>
          <t>Flexibilis alumínium légcsatorna cső Aluflex 102 mm, 10 m</t>
        </is>
      </c>
      <c r="C267" s="17" t="inlineStr">
        <is>
          <t>–</t>
        </is>
      </c>
      <c r="D267" s="17" t="inlineStr"/>
      <c r="E267" s="17" t="inlineStr">
        <is>
          <t>Nem tartozik ide</t>
        </is>
      </c>
      <c r="F267" s="17" t="inlineStr">
        <is>
          <t>az elmúlt 30 napban</t>
        </is>
      </c>
      <c r="G267" s="17" t="inlineStr">
        <is>
          <t>Más főkategória terméke</t>
        </is>
      </c>
    </row>
    <row r="268">
      <c r="A268" s="17" t="inlineStr">
        <is>
          <t>GRO0307</t>
        </is>
      </c>
      <c r="B268" s="17" t="inlineStr">
        <is>
          <t>Flexibilis alumínium légcsatorna cső Aluflex 127 mm, 10 m</t>
        </is>
      </c>
      <c r="C268" s="17" t="inlineStr">
        <is>
          <t>–</t>
        </is>
      </c>
      <c r="D268" s="17" t="inlineStr"/>
      <c r="E268" s="17" t="inlineStr">
        <is>
          <t>Nem tartozik ide</t>
        </is>
      </c>
      <c r="F268" s="17" t="inlineStr">
        <is>
          <t>az elmúlt 30 napban</t>
        </is>
      </c>
      <c r="G268" s="17" t="inlineStr">
        <is>
          <t>Más főkategória terméke</t>
        </is>
      </c>
    </row>
    <row r="269">
      <c r="A269" s="17" t="inlineStr">
        <is>
          <t>GRO0308</t>
        </is>
      </c>
      <c r="B269" s="17" t="inlineStr">
        <is>
          <t>Flexibilis alumínium légcsatorna cső Aluflex 152 mm, 10 m</t>
        </is>
      </c>
      <c r="C269" s="17" t="inlineStr">
        <is>
          <t>–</t>
        </is>
      </c>
      <c r="D269" s="17" t="inlineStr"/>
      <c r="E269" s="17" t="inlineStr">
        <is>
          <t>Nem tartozik ide</t>
        </is>
      </c>
      <c r="F269" s="17" t="inlineStr">
        <is>
          <t>az elmúlt 30 napban</t>
        </is>
      </c>
      <c r="G269" s="17" t="inlineStr">
        <is>
          <t>Más főkategória terméke</t>
        </is>
      </c>
    </row>
    <row r="270">
      <c r="A270" s="17" t="inlineStr">
        <is>
          <t>GRO0310</t>
        </is>
      </c>
      <c r="B270" s="17" t="inlineStr">
        <is>
          <t>Flexibilis alumínium légcsatorna cső Aluflex 203 mm, 10 m</t>
        </is>
      </c>
      <c r="C270" s="17" t="inlineStr">
        <is>
          <t>–</t>
        </is>
      </c>
      <c r="D270" s="17" t="inlineStr"/>
      <c r="E270" s="17" t="inlineStr">
        <is>
          <t>Nem tartozik ide</t>
        </is>
      </c>
      <c r="F270" s="17" t="inlineStr">
        <is>
          <t>az elmúlt 30 napban</t>
        </is>
      </c>
      <c r="G270" s="17" t="inlineStr">
        <is>
          <t>Más főkategória terméke</t>
        </is>
      </c>
    </row>
    <row r="271">
      <c r="A271" s="17" t="inlineStr">
        <is>
          <t>GRO0311</t>
        </is>
      </c>
      <c r="B271" s="17" t="inlineStr">
        <is>
          <t>Flexibilis Aluminiumcső 10m 254 mm</t>
        </is>
      </c>
      <c r="C271" s="17" t="inlineStr">
        <is>
          <t>–</t>
        </is>
      </c>
      <c r="D271" s="17" t="inlineStr"/>
      <c r="E271" s="17" t="inlineStr">
        <is>
          <t>Nem tartozik ide</t>
        </is>
      </c>
      <c r="F271" s="17" t="inlineStr">
        <is>
          <t>2025-10 – 2026-04</t>
        </is>
      </c>
      <c r="G271" s="17" t="inlineStr">
        <is>
          <t>Más főkategória terméke</t>
        </is>
      </c>
    </row>
    <row r="272">
      <c r="A272" s="17" t="inlineStr">
        <is>
          <t>GRO0312</t>
        </is>
      </c>
      <c r="B272" s="17" t="inlineStr">
        <is>
          <t>Flexibilis alumínium légcsatorna cső Aluflex 315 mm, 10 m</t>
        </is>
      </c>
      <c r="C272" s="17" t="inlineStr">
        <is>
          <t>–</t>
        </is>
      </c>
      <c r="D272" s="17" t="inlineStr"/>
      <c r="E272" s="17" t="inlineStr">
        <is>
          <t>Nem tartozik ide</t>
        </is>
      </c>
      <c r="F272" s="17" t="inlineStr">
        <is>
          <t>az elmúlt 30 napban</t>
        </is>
      </c>
      <c r="G272" s="17" t="inlineStr">
        <is>
          <t>Más főkategória terméke</t>
        </is>
      </c>
    </row>
    <row r="273">
      <c r="A273" s="17" t="inlineStr">
        <is>
          <t>GRO0317</t>
        </is>
      </c>
      <c r="B273" s="17" t="inlineStr">
        <is>
          <t>Sonoflex hang- és hőszigetelt flexibilis légcsatorna cső 102 mm, 10 m</t>
        </is>
      </c>
      <c r="C273" s="17" t="inlineStr">
        <is>
          <t>–</t>
        </is>
      </c>
      <c r="D273" s="17" t="inlineStr"/>
      <c r="E273" s="17" t="inlineStr">
        <is>
          <t>Nem tartozik ide</t>
        </is>
      </c>
      <c r="F273" s="17" t="inlineStr">
        <is>
          <t>az elmúlt 30 napban</t>
        </is>
      </c>
      <c r="G273" s="17" t="inlineStr">
        <is>
          <t>Más főkategória terméke</t>
        </is>
      </c>
    </row>
    <row r="274">
      <c r="A274" s="17" t="inlineStr">
        <is>
          <t>GRO0318</t>
        </is>
      </c>
      <c r="B274" s="17" t="inlineStr">
        <is>
          <t>Sonoflex hang- és hőszigetelt flexibilis légcsatorna cső 127 mm, 10 m</t>
        </is>
      </c>
      <c r="C274" s="17" t="inlineStr">
        <is>
          <t>–</t>
        </is>
      </c>
      <c r="D274" s="17" t="inlineStr"/>
      <c r="E274" s="17" t="inlineStr">
        <is>
          <t>Nem tartozik ide</t>
        </is>
      </c>
      <c r="F274" s="17" t="inlineStr">
        <is>
          <t>az elmúlt 30 napban</t>
        </is>
      </c>
      <c r="G274" s="17" t="inlineStr">
        <is>
          <t>Más főkategória terméke</t>
        </is>
      </c>
    </row>
    <row r="275">
      <c r="A275" s="17" t="inlineStr">
        <is>
          <t>GRO0319</t>
        </is>
      </c>
      <c r="B275" s="17" t="inlineStr">
        <is>
          <t>Sonoflex hang- és hőszigetelt flexibilis légcsatorna cső 152 mm, 10 m</t>
        </is>
      </c>
      <c r="C275" s="17" t="inlineStr">
        <is>
          <t>–</t>
        </is>
      </c>
      <c r="D275" s="17" t="inlineStr"/>
      <c r="E275" s="17" t="inlineStr">
        <is>
          <t>Nem tartozik ide</t>
        </is>
      </c>
      <c r="F275" s="17" t="inlineStr">
        <is>
          <t>az elmúlt 30 napban</t>
        </is>
      </c>
      <c r="G275" s="17" t="inlineStr">
        <is>
          <t>Más főkategória terméke</t>
        </is>
      </c>
    </row>
    <row r="276">
      <c r="A276" s="17" t="inlineStr">
        <is>
          <t>GRO0321</t>
        </is>
      </c>
      <c r="B276" s="17" t="inlineStr">
        <is>
          <t>Sonoflex hang- és hőszigetelt flexibilis légcsatorna cső 203 mm, 10 m</t>
        </is>
      </c>
      <c r="C276" s="17" t="inlineStr">
        <is>
          <t>–</t>
        </is>
      </c>
      <c r="D276" s="17" t="inlineStr"/>
      <c r="E276" s="17" t="inlineStr">
        <is>
          <t>Nem tartozik ide</t>
        </is>
      </c>
      <c r="F276" s="17" t="inlineStr">
        <is>
          <t>az elmúlt 30 napban</t>
        </is>
      </c>
      <c r="G276" s="17" t="inlineStr">
        <is>
          <t>Más főkategória terméke</t>
        </is>
      </c>
    </row>
    <row r="277">
      <c r="A277" s="17" t="inlineStr">
        <is>
          <t>GRO0322</t>
        </is>
      </c>
      <c r="B277" s="17" t="inlineStr">
        <is>
          <t>Sonoflex hang- és hőszigetelt flexibilis légcsatorna cső 254 mm, 10 m</t>
        </is>
      </c>
      <c r="C277" s="17" t="inlineStr">
        <is>
          <t>–</t>
        </is>
      </c>
      <c r="D277" s="17" t="inlineStr"/>
      <c r="E277" s="17" t="inlineStr">
        <is>
          <t>Nem tartozik ide</t>
        </is>
      </c>
      <c r="F277" s="17" t="inlineStr">
        <is>
          <t>az elmúlt 30 napban</t>
        </is>
      </c>
      <c r="G277" s="17" t="inlineStr">
        <is>
          <t>Más főkategória terméke</t>
        </is>
      </c>
    </row>
    <row r="278">
      <c r="A278" s="17" t="inlineStr">
        <is>
          <t>GRO0330</t>
        </is>
      </c>
      <c r="B278" s="17" t="inlineStr">
        <is>
          <t>Combiflex 6 rétegű flexibilis alumínium légcsatorna cső 102 mm, 10 m</t>
        </is>
      </c>
      <c r="C278" s="17" t="inlineStr">
        <is>
          <t>–</t>
        </is>
      </c>
      <c r="D278" s="17" t="inlineStr"/>
      <c r="E278" s="17" t="inlineStr">
        <is>
          <t>Nem tartozik ide</t>
        </is>
      </c>
      <c r="F278" s="17" t="inlineStr">
        <is>
          <t>az elmúlt 30 napban</t>
        </is>
      </c>
      <c r="G278" s="17" t="inlineStr">
        <is>
          <t>Más főkategória terméke</t>
        </is>
      </c>
    </row>
    <row r="279">
      <c r="A279" s="17" t="inlineStr">
        <is>
          <t>GRO0331</t>
        </is>
      </c>
      <c r="B279" s="17" t="inlineStr">
        <is>
          <t>Combiflex 6 rétegű flexibilis alumínium légcsatorna cső 127 mm, 10 m</t>
        </is>
      </c>
      <c r="C279" s="17" t="inlineStr">
        <is>
          <t>–</t>
        </is>
      </c>
      <c r="D279" s="17" t="inlineStr"/>
      <c r="E279" s="17" t="inlineStr">
        <is>
          <t>Nem tartozik ide</t>
        </is>
      </c>
      <c r="F279" s="17" t="inlineStr">
        <is>
          <t>az elmúlt 30 napban</t>
        </is>
      </c>
      <c r="G279" s="17" t="inlineStr">
        <is>
          <t>Más főkategória terméke</t>
        </is>
      </c>
    </row>
    <row r="280">
      <c r="A280" s="17" t="inlineStr">
        <is>
          <t>GRO0332</t>
        </is>
      </c>
      <c r="B280" s="17" t="inlineStr">
        <is>
          <t>Combiflex 6 rétegű flexibilis alumínium légcsatorna cső 152 mm, 10 m</t>
        </is>
      </c>
      <c r="C280" s="17" t="inlineStr">
        <is>
          <t>–</t>
        </is>
      </c>
      <c r="D280" s="17" t="inlineStr"/>
      <c r="E280" s="17" t="inlineStr">
        <is>
          <t>Nem tartozik ide</t>
        </is>
      </c>
      <c r="F280" s="17" t="inlineStr">
        <is>
          <t>az elmúlt 30 napban</t>
        </is>
      </c>
      <c r="G280" s="17" t="inlineStr">
        <is>
          <t>Más főkategória terméke</t>
        </is>
      </c>
    </row>
    <row r="281">
      <c r="A281" s="17" t="inlineStr">
        <is>
          <t>GRO0334</t>
        </is>
      </c>
      <c r="B281" s="17" t="inlineStr">
        <is>
          <t>Combiflex 6 rétegű flexibilis alumínium légcsatorna cső 203 mm, 10 m</t>
        </is>
      </c>
      <c r="C281" s="17" t="inlineStr">
        <is>
          <t>–</t>
        </is>
      </c>
      <c r="D281" s="17" t="inlineStr"/>
      <c r="E281" s="17" t="inlineStr">
        <is>
          <t>Nem tartozik ide</t>
        </is>
      </c>
      <c r="F281" s="17" t="inlineStr">
        <is>
          <t>az elmúlt 30 napban</t>
        </is>
      </c>
      <c r="G281" s="17" t="inlineStr">
        <is>
          <t>Más főkategória terméke</t>
        </is>
      </c>
    </row>
    <row r="282">
      <c r="A282" s="17" t="inlineStr">
        <is>
          <t>GRO0335</t>
        </is>
      </c>
      <c r="B282" s="17" t="inlineStr">
        <is>
          <t>Combiflex 6 rétegű flexibilis alumínium légcsatorna cső 254 mm, 10 m</t>
        </is>
      </c>
      <c r="C282" s="17" t="inlineStr">
        <is>
          <t>–</t>
        </is>
      </c>
      <c r="D282" s="17" t="inlineStr"/>
      <c r="E282" s="17" t="inlineStr">
        <is>
          <t>Nem tartozik ide</t>
        </is>
      </c>
      <c r="F282" s="17" t="inlineStr">
        <is>
          <t>az elmúlt 30 napban</t>
        </is>
      </c>
      <c r="G282" s="17" t="inlineStr">
        <is>
          <t>Más főkategória terméke</t>
        </is>
      </c>
    </row>
    <row r="283">
      <c r="A283" s="17" t="inlineStr">
        <is>
          <t>GRO0336</t>
        </is>
      </c>
      <c r="B283" s="17" t="inlineStr">
        <is>
          <t>Combiflex 6 rétegű flexibilis alumínium légcsatorna cső 315 mm, 10 m</t>
        </is>
      </c>
      <c r="C283" s="17" t="inlineStr">
        <is>
          <t>–</t>
        </is>
      </c>
      <c r="D283" s="17" t="inlineStr"/>
      <c r="E283" s="17" t="inlineStr">
        <is>
          <t>Nem tartozik ide</t>
        </is>
      </c>
      <c r="F283" s="17" t="inlineStr">
        <is>
          <t>az elmúlt 30 napban</t>
        </is>
      </c>
      <c r="G283" s="17" t="inlineStr">
        <is>
          <t>Más főkategória terméke</t>
        </is>
      </c>
    </row>
    <row r="284">
      <c r="A284" s="17" t="inlineStr">
        <is>
          <t>GRO0346</t>
        </is>
      </c>
      <c r="B284" s="17" t="inlineStr">
        <is>
          <t>Can-Fan RK 250 centrifugális csőventilátor 250 mm, 830 m3/h</t>
        </is>
      </c>
      <c r="C284" s="17" t="inlineStr">
        <is>
          <t>–</t>
        </is>
      </c>
      <c r="D284" s="17" t="inlineStr"/>
      <c r="E284" s="17" t="inlineStr">
        <is>
          <t>Nem tartozik ide</t>
        </is>
      </c>
      <c r="F284" s="17" t="inlineStr">
        <is>
          <t>az elmúlt 30 napban</t>
        </is>
      </c>
      <c r="G284" s="17" t="inlineStr">
        <is>
          <t>Más főkategória terméke</t>
        </is>
      </c>
    </row>
    <row r="285">
      <c r="A285" s="17" t="inlineStr">
        <is>
          <t>GRO0355</t>
        </is>
      </c>
      <c r="B285" s="17" t="inlineStr">
        <is>
          <t>Bővítő cső 100–125 mm légcsatornához, szellőzőrendszerekhez</t>
        </is>
      </c>
      <c r="C285" s="17" t="inlineStr">
        <is>
          <t>–</t>
        </is>
      </c>
      <c r="D285" s="17" t="inlineStr"/>
      <c r="E285" s="17" t="inlineStr">
        <is>
          <t>Nem tartozik ide</t>
        </is>
      </c>
      <c r="F285" s="17" t="inlineStr">
        <is>
          <t>az elmúlt 30 napban</t>
        </is>
      </c>
      <c r="G285" s="17" t="inlineStr">
        <is>
          <t>Más főkategória terméke</t>
        </is>
      </c>
    </row>
    <row r="286">
      <c r="A286" s="17" t="inlineStr">
        <is>
          <t>GRO0358</t>
        </is>
      </c>
      <c r="B286" s="17" t="inlineStr">
        <is>
          <t>Bővítő cső 125–150 mm légcsatornához, szellőzőrendszerekhez</t>
        </is>
      </c>
      <c r="C286" s="17" t="inlineStr">
        <is>
          <t>–</t>
        </is>
      </c>
      <c r="D286" s="17" t="inlineStr"/>
      <c r="E286" s="17" t="inlineStr">
        <is>
          <t>Nem tartozik ide</t>
        </is>
      </c>
      <c r="F286" s="17" t="inlineStr">
        <is>
          <t>az elmúlt 30 napban</t>
        </is>
      </c>
      <c r="G286" s="17" t="inlineStr">
        <is>
          <t>Más főkategória terméke</t>
        </is>
      </c>
    </row>
    <row r="287">
      <c r="A287" s="17" t="inlineStr">
        <is>
          <t>GRO0361</t>
        </is>
      </c>
      <c r="B287" s="17" t="inlineStr">
        <is>
          <t>Bővítő cső 160–200 mm légcsatornához, szellőzőrendszerekhez</t>
        </is>
      </c>
      <c r="C287" s="17" t="inlineStr">
        <is>
          <t>–</t>
        </is>
      </c>
      <c r="D287" s="17" t="inlineStr"/>
      <c r="E287" s="17" t="inlineStr">
        <is>
          <t>Nem tartozik ide</t>
        </is>
      </c>
      <c r="F287" s="17" t="inlineStr">
        <is>
          <t>az elmúlt 30 napban</t>
        </is>
      </c>
      <c r="G287" s="17" t="inlineStr">
        <is>
          <t>Más főkategória terméke</t>
        </is>
      </c>
    </row>
    <row r="288">
      <c r="A288" s="17" t="inlineStr">
        <is>
          <t>GRO0385</t>
        </is>
      </c>
      <c r="B288" s="17" t="inlineStr">
        <is>
          <t>Jiffy tőzegkorong 41 mm 1000 darab</t>
        </is>
      </c>
      <c r="C288" s="17" t="inlineStr">
        <is>
          <t>–</t>
        </is>
      </c>
      <c r="D288" s="17" t="inlineStr"/>
      <c r="E288" s="17" t="inlineStr">
        <is>
          <t>Nem tartozik ide</t>
        </is>
      </c>
      <c r="F288" s="17" t="inlineStr">
        <is>
          <t>2025-10 – 2026-04</t>
        </is>
      </c>
      <c r="G288" s="17" t="inlineStr">
        <is>
          <t>Más főkategória terméke</t>
        </is>
      </c>
    </row>
    <row r="289">
      <c r="A289" s="17" t="inlineStr">
        <is>
          <t>GRO0388</t>
        </is>
      </c>
      <c r="B289" s="17" t="inlineStr">
        <is>
          <t>Grodan SBS kőzetgyapot kocka tálcában 25x25x40 mm, 150 darab</t>
        </is>
      </c>
      <c r="C289" s="17" t="inlineStr">
        <is>
          <t>–</t>
        </is>
      </c>
      <c r="D289" s="17" t="inlineStr"/>
      <c r="E289" s="17" t="inlineStr">
        <is>
          <t>Nem tartozik ide</t>
        </is>
      </c>
      <c r="F289" s="17" t="inlineStr">
        <is>
          <t>az elmúlt 30 napban</t>
        </is>
      </c>
      <c r="G289" s="17" t="inlineStr">
        <is>
          <t>Más főkategória terméke</t>
        </is>
      </c>
    </row>
    <row r="290">
      <c r="A290" s="17" t="inlineStr">
        <is>
          <t>GRO0418</t>
        </is>
      </c>
      <c r="B290" s="17" t="inlineStr">
        <is>
          <t>CANNA Coco Natural kókuszrost termesztőközeg 50 liter</t>
        </is>
      </c>
      <c r="C290" s="17" t="inlineStr">
        <is>
          <t>–</t>
        </is>
      </c>
      <c r="D290" s="17" t="inlineStr"/>
      <c r="E290" s="17" t="inlineStr">
        <is>
          <t>Nem tartozik ide</t>
        </is>
      </c>
      <c r="F290" s="17" t="inlineStr">
        <is>
          <t>az elmúlt 30 napban</t>
        </is>
      </c>
      <c r="G290" s="17" t="inlineStr">
        <is>
          <t>Más főkategória terméke</t>
        </is>
      </c>
    </row>
    <row r="291">
      <c r="A291" s="17" t="inlineStr">
        <is>
          <t>GRO0424</t>
        </is>
      </c>
      <c r="B291" s="17" t="inlineStr">
        <is>
          <t>CANNA Hydro Vega A/B kétkomponensű növekedési táp kőzetgyapothoz 1 liter</t>
        </is>
      </c>
      <c r="C291" s="17" t="inlineStr">
        <is>
          <t>–</t>
        </is>
      </c>
      <c r="D291" s="17" t="inlineStr"/>
      <c r="E291" s="17" t="inlineStr">
        <is>
          <t>Nem tartozik ide</t>
        </is>
      </c>
      <c r="F291" s="17" t="inlineStr">
        <is>
          <t>az elmúlt 30 napban</t>
        </is>
      </c>
      <c r="G291" s="17" t="inlineStr">
        <is>
          <t>Más főkategória terméke</t>
        </is>
      </c>
    </row>
    <row r="292">
      <c r="A292" s="17" t="inlineStr">
        <is>
          <t>GRO0427</t>
        </is>
      </c>
      <c r="B292" s="17" t="inlineStr">
        <is>
          <t>CANNA Hydro Flores A/B kétkomponensű virágzási táp kőzetgyapothoz 1 liter</t>
        </is>
      </c>
      <c r="C292" s="17" t="inlineStr">
        <is>
          <t>–</t>
        </is>
      </c>
      <c r="D292" s="17" t="inlineStr"/>
      <c r="E292" s="17" t="inlineStr">
        <is>
          <t>Nem tartozik ide</t>
        </is>
      </c>
      <c r="F292" s="17" t="inlineStr">
        <is>
          <t>az elmúlt 30 napban</t>
        </is>
      </c>
      <c r="G292" s="17" t="inlineStr">
        <is>
          <t>Más főkategória terméke</t>
        </is>
      </c>
    </row>
    <row r="293">
      <c r="A293" s="17" t="inlineStr">
        <is>
          <t>GRO0430</t>
        </is>
      </c>
      <c r="B293" s="17" t="inlineStr">
        <is>
          <t>CANNA Terra Vega ásványi növekedési táp földhöz 1 liter</t>
        </is>
      </c>
      <c r="C293" s="17" t="inlineStr">
        <is>
          <t>–</t>
        </is>
      </c>
      <c r="D293" s="17" t="inlineStr"/>
      <c r="E293" s="17" t="inlineStr">
        <is>
          <t>Nem tartozik ide</t>
        </is>
      </c>
      <c r="F293" s="17" t="inlineStr">
        <is>
          <t>az elmúlt 30 napban</t>
        </is>
      </c>
      <c r="G293" s="17" t="inlineStr">
        <is>
          <t>Más főkategória terméke</t>
        </is>
      </c>
    </row>
    <row r="294">
      <c r="A294" s="17" t="inlineStr">
        <is>
          <t>GRO0433</t>
        </is>
      </c>
      <c r="B294" s="17" t="inlineStr">
        <is>
          <t>CANNA Terra Flores ásványi virágzási táp földhöz 1 liter</t>
        </is>
      </c>
      <c r="C294" s="17" t="inlineStr">
        <is>
          <t>–</t>
        </is>
      </c>
      <c r="D294" s="17" t="inlineStr"/>
      <c r="E294" s="17" t="inlineStr">
        <is>
          <t>Nem tartozik ide</t>
        </is>
      </c>
      <c r="F294" s="17" t="inlineStr">
        <is>
          <t>az elmúlt 30 napban</t>
        </is>
      </c>
      <c r="G294" s="17" t="inlineStr">
        <is>
          <t>Más főkategória terméke</t>
        </is>
      </c>
    </row>
    <row r="295">
      <c r="A295" s="17" t="inlineStr">
        <is>
          <t>GRO0436</t>
        </is>
      </c>
      <c r="B295" s="17" t="inlineStr">
        <is>
          <t>CANNA COGr Vega A/B kétkomponensű növekedési táp kókuszhoz 1 liter</t>
        </is>
      </c>
      <c r="C295" s="17" t="inlineStr">
        <is>
          <t>–</t>
        </is>
      </c>
      <c r="D295" s="17" t="inlineStr"/>
      <c r="E295" s="17" t="inlineStr">
        <is>
          <t>Nem tartozik ide</t>
        </is>
      </c>
      <c r="F295" s="17" t="inlineStr">
        <is>
          <t>az elmúlt 30 napban</t>
        </is>
      </c>
      <c r="G295" s="17" t="inlineStr">
        <is>
          <t>Más főkategória terméke</t>
        </is>
      </c>
    </row>
    <row r="296">
      <c r="A296" s="17" t="inlineStr">
        <is>
          <t>GRO0437</t>
        </is>
      </c>
      <c r="B296" s="17" t="inlineStr">
        <is>
          <t>Canna Coco A/B 5 liter</t>
        </is>
      </c>
      <c r="C296" s="17" t="inlineStr">
        <is>
          <t>–</t>
        </is>
      </c>
      <c r="D296" s="17" t="inlineStr"/>
      <c r="E296" s="17" t="inlineStr">
        <is>
          <t>Nem tartozik ide</t>
        </is>
      </c>
      <c r="F296" s="17" t="inlineStr">
        <is>
          <t>az elmúlt 30 napban</t>
        </is>
      </c>
      <c r="G296" s="17" t="inlineStr">
        <is>
          <t>Más főkategória terméke</t>
        </is>
      </c>
    </row>
    <row r="297">
      <c r="A297" s="17" t="inlineStr">
        <is>
          <t>GRO0448</t>
        </is>
      </c>
      <c r="B297" s="17" t="inlineStr">
        <is>
          <t>CANNA Aqua Vega A/B növekedési táp recirkulációs rendszerhez 1 liter</t>
        </is>
      </c>
      <c r="C297" s="17" t="inlineStr">
        <is>
          <t>–</t>
        </is>
      </c>
      <c r="D297" s="17" t="inlineStr"/>
      <c r="E297" s="17" t="inlineStr">
        <is>
          <t>Nem tartozik ide</t>
        </is>
      </c>
      <c r="F297" s="17" t="inlineStr">
        <is>
          <t>az elmúlt 30 napban</t>
        </is>
      </c>
      <c r="G297" s="17" t="inlineStr">
        <is>
          <t>Más főkategória terméke</t>
        </is>
      </c>
    </row>
    <row r="298">
      <c r="A298" s="17" t="inlineStr">
        <is>
          <t>GRO0450</t>
        </is>
      </c>
      <c r="B298" s="17" t="inlineStr">
        <is>
          <t>CANNA Aqua Vega A/B növekedési táp recirkulációs rendszerhez 10 liter</t>
        </is>
      </c>
      <c r="C298" s="17" t="inlineStr">
        <is>
          <t>–</t>
        </is>
      </c>
      <c r="D298" s="17" t="inlineStr"/>
      <c r="E298" s="17" t="inlineStr">
        <is>
          <t>Nem tartozik ide</t>
        </is>
      </c>
      <c r="F298" s="17" t="inlineStr">
        <is>
          <t>az elmúlt 30 napban</t>
        </is>
      </c>
      <c r="G298" s="17" t="inlineStr">
        <is>
          <t>Más főkategória terméke</t>
        </is>
      </c>
    </row>
    <row r="299">
      <c r="A299" s="17" t="inlineStr">
        <is>
          <t>GRO0451</t>
        </is>
      </c>
      <c r="B299" s="17" t="inlineStr">
        <is>
          <t>CANNA Aqua Flores A/B virágzási táp recirkulációs rendszerhez 1 liter</t>
        </is>
      </c>
      <c r="C299" s="17" t="inlineStr">
        <is>
          <t>–</t>
        </is>
      </c>
      <c r="D299" s="17" t="inlineStr"/>
      <c r="E299" s="17" t="inlineStr">
        <is>
          <t>Nem tartozik ide</t>
        </is>
      </c>
      <c r="F299" s="17" t="inlineStr">
        <is>
          <t>az elmúlt 30 napban</t>
        </is>
      </c>
      <c r="G299" s="17" t="inlineStr">
        <is>
          <t>Más főkategória terméke</t>
        </is>
      </c>
    </row>
    <row r="300">
      <c r="A300" s="17" t="inlineStr">
        <is>
          <t>GRO0453</t>
        </is>
      </c>
      <c r="B300" s="17" t="inlineStr">
        <is>
          <t>CANNA Aqua Flores A/B virágzási táp recirkulációs rendszerhez 10 liter</t>
        </is>
      </c>
      <c r="C300" s="17" t="inlineStr">
        <is>
          <t>–</t>
        </is>
      </c>
      <c r="D300" s="17" t="inlineStr"/>
      <c r="E300" s="17" t="inlineStr">
        <is>
          <t>Nem tartozik ide</t>
        </is>
      </c>
      <c r="F300" s="17" t="inlineStr">
        <is>
          <t>az elmúlt 30 napban</t>
        </is>
      </c>
      <c r="G300" s="17" t="inlineStr">
        <is>
          <t>Más főkategória terméke</t>
        </is>
      </c>
    </row>
    <row r="301">
      <c r="A301" s="17" t="inlineStr">
        <is>
          <t>GRO0454</t>
        </is>
      </c>
      <c r="B301" s="17" t="inlineStr">
        <is>
          <t>CANNA Rhizotonic tengeri alga alapú gyökérserkentő 250 ml</t>
        </is>
      </c>
      <c r="C301" s="17" t="inlineStr">
        <is>
          <t>–</t>
        </is>
      </c>
      <c r="D301" s="17" t="inlineStr"/>
      <c r="E301" s="17" t="inlineStr">
        <is>
          <t>Nem tartozik ide</t>
        </is>
      </c>
      <c r="F301" s="17" t="inlineStr">
        <is>
          <t>az elmúlt 30 napban</t>
        </is>
      </c>
      <c r="G301" s="17" t="inlineStr">
        <is>
          <t>Más főkategória terméke</t>
        </is>
      </c>
    </row>
    <row r="302">
      <c r="A302" s="17" t="inlineStr">
        <is>
          <t>GRO0459</t>
        </is>
      </c>
      <c r="B302" s="17" t="inlineStr">
        <is>
          <t>CANNAZYM enzimkészítmény az egészséges gyökérzónáért 500 ml</t>
        </is>
      </c>
      <c r="C302" s="17" t="inlineStr">
        <is>
          <t>–</t>
        </is>
      </c>
      <c r="D302" s="17" t="inlineStr"/>
      <c r="E302" s="17" t="inlineStr">
        <is>
          <t>Nem tartozik ide</t>
        </is>
      </c>
      <c r="F302" s="17" t="inlineStr">
        <is>
          <t>az elmúlt 30 napban</t>
        </is>
      </c>
      <c r="G302" s="17" t="inlineStr">
        <is>
          <t>Más főkategória terméke</t>
        </is>
      </c>
    </row>
    <row r="303">
      <c r="A303" s="17" t="inlineStr">
        <is>
          <t>GRO0460</t>
        </is>
      </c>
      <c r="B303" s="17" t="inlineStr">
        <is>
          <t>CANNAZYM enzimkészítmény az egészséges gyökérzónáért 1 liter</t>
        </is>
      </c>
      <c r="C303" s="17" t="inlineStr">
        <is>
          <t>–</t>
        </is>
      </c>
      <c r="D303" s="17" t="inlineStr"/>
      <c r="E303" s="17" t="inlineStr">
        <is>
          <t>Nem tartozik ide</t>
        </is>
      </c>
      <c r="F303" s="17" t="inlineStr">
        <is>
          <t>az elmúlt 30 napban</t>
        </is>
      </c>
      <c r="G303" s="17" t="inlineStr">
        <is>
          <t>Más főkategória terméke</t>
        </is>
      </c>
    </row>
    <row r="304">
      <c r="A304" s="17" t="inlineStr">
        <is>
          <t>GRO0461</t>
        </is>
      </c>
      <c r="B304" s="17" t="inlineStr">
        <is>
          <t>CANNAZYM enzimkészítmény az egészséges gyökérzónáért 5 liter</t>
        </is>
      </c>
      <c r="C304" s="17" t="inlineStr">
        <is>
          <t>–</t>
        </is>
      </c>
      <c r="D304" s="17" t="inlineStr"/>
      <c r="E304" s="17" t="inlineStr">
        <is>
          <t>Nem tartozik ide</t>
        </is>
      </c>
      <c r="F304" s="17" t="inlineStr">
        <is>
          <t>az elmúlt 30 napban</t>
        </is>
      </c>
      <c r="G304" s="17" t="inlineStr">
        <is>
          <t>Más főkategória terméke</t>
        </is>
      </c>
    </row>
    <row r="305">
      <c r="A305" s="17" t="inlineStr">
        <is>
          <t>GRO0464</t>
        </is>
      </c>
      <c r="B305" s="17" t="inlineStr">
        <is>
          <t>Canna PK 13/14 1 liter</t>
        </is>
      </c>
      <c r="C305" s="17" t="inlineStr">
        <is>
          <t>–</t>
        </is>
      </c>
      <c r="D305" s="17" t="inlineStr"/>
      <c r="E305" s="17" t="inlineStr">
        <is>
          <t>Nem tartozik ide</t>
        </is>
      </c>
      <c r="F305" s="17" t="inlineStr">
        <is>
          <t>az elmúlt 30 napban</t>
        </is>
      </c>
      <c r="G305" s="17" t="inlineStr">
        <is>
          <t>Más főkategória terméke</t>
        </is>
      </c>
    </row>
    <row r="306">
      <c r="A306" s="17" t="inlineStr">
        <is>
          <t>GRO0467</t>
        </is>
      </c>
      <c r="B306" s="17" t="inlineStr">
        <is>
          <t>CANNABOOST Accelerator virágzásserkentő adalék 250 ml</t>
        </is>
      </c>
      <c r="C306" s="17" t="inlineStr">
        <is>
          <t>–</t>
        </is>
      </c>
      <c r="D306" s="17" t="inlineStr"/>
      <c r="E306" s="17" t="inlineStr">
        <is>
          <t>Nem tartozik ide</t>
        </is>
      </c>
      <c r="F306" s="17" t="inlineStr">
        <is>
          <t>az elmúlt 30 napban</t>
        </is>
      </c>
      <c r="G306" s="17" t="inlineStr">
        <is>
          <t>Más főkategória terméke</t>
        </is>
      </c>
    </row>
    <row r="307">
      <c r="A307" s="17" t="inlineStr">
        <is>
          <t>GRO0483</t>
        </is>
      </c>
      <c r="B307" s="17" t="inlineStr">
        <is>
          <t>CANNA Mono Kalcium folyékony kalciumpótló tápoldat 1 liter</t>
        </is>
      </c>
      <c r="C307" s="17" t="inlineStr">
        <is>
          <t>–</t>
        </is>
      </c>
      <c r="D307" s="17" t="inlineStr"/>
      <c r="E307" s="17" t="inlineStr">
        <is>
          <t>Nem tartozik ide</t>
        </is>
      </c>
      <c r="F307" s="17" t="inlineStr">
        <is>
          <t>az elmúlt 30 napban</t>
        </is>
      </c>
      <c r="G307" s="17" t="inlineStr">
        <is>
          <t>Más főkategória terméke</t>
        </is>
      </c>
    </row>
    <row r="308">
      <c r="A308" s="17" t="inlineStr">
        <is>
          <t>GRO0484</t>
        </is>
      </c>
      <c r="B308" s="17" t="inlineStr">
        <is>
          <t>CANNA Mono Foszfor folyékony foszforpótló tápoldat 1 liter</t>
        </is>
      </c>
      <c r="C308" s="17" t="inlineStr">
        <is>
          <t>–</t>
        </is>
      </c>
      <c r="D308" s="17" t="inlineStr"/>
      <c r="E308" s="17" t="inlineStr">
        <is>
          <t>Nem tartozik ide</t>
        </is>
      </c>
      <c r="F308" s="17" t="inlineStr">
        <is>
          <t>az elmúlt 30 napban</t>
        </is>
      </c>
      <c r="G308" s="17" t="inlineStr">
        <is>
          <t>Más főkategória terméke</t>
        </is>
      </c>
    </row>
    <row r="309">
      <c r="A309" s="17" t="inlineStr">
        <is>
          <t>GRO0485</t>
        </is>
      </c>
      <c r="B309" s="17" t="inlineStr">
        <is>
          <t>CANNA Mononutriensek kálium 1 liter</t>
        </is>
      </c>
      <c r="C309" s="17" t="inlineStr">
        <is>
          <t>–</t>
        </is>
      </c>
      <c r="D309" s="17" t="inlineStr"/>
      <c r="E309" s="17" t="inlineStr">
        <is>
          <t>Nem tartozik ide</t>
        </is>
      </c>
      <c r="F309" s="17" t="inlineStr">
        <is>
          <t>az elmúlt 6 hónapban</t>
        </is>
      </c>
      <c r="G309" s="17" t="inlineStr">
        <is>
          <t>Más főkategória terméke</t>
        </is>
      </c>
    </row>
    <row r="310">
      <c r="A310" s="17" t="inlineStr">
        <is>
          <t>GRO0486</t>
        </is>
      </c>
      <c r="B310" s="17" t="inlineStr">
        <is>
          <t>CANNA Mono Magnézium folyékony magnéziumpótló tápoldat 1 liter</t>
        </is>
      </c>
      <c r="C310" s="17" t="inlineStr">
        <is>
          <t>–</t>
        </is>
      </c>
      <c r="D310" s="17" t="inlineStr"/>
      <c r="E310" s="17" t="inlineStr">
        <is>
          <t>Nem tartozik ide</t>
        </is>
      </c>
      <c r="F310" s="17" t="inlineStr">
        <is>
          <t>az elmúlt 30 napban</t>
        </is>
      </c>
      <c r="G310" s="17" t="inlineStr">
        <is>
          <t>Más főkategória terméke</t>
        </is>
      </c>
    </row>
    <row r="311">
      <c r="A311" s="17" t="inlineStr">
        <is>
          <t>GRO0487</t>
        </is>
      </c>
      <c r="B311" s="17" t="inlineStr">
        <is>
          <t>CANNA Mono Nitrogén folyékony nitrogénpótló tápoldat 1 liter</t>
        </is>
      </c>
      <c r="C311" s="17" t="inlineStr">
        <is>
          <t>–</t>
        </is>
      </c>
      <c r="D311" s="17" t="inlineStr"/>
      <c r="E311" s="17" t="inlineStr">
        <is>
          <t>Nem tartozik ide</t>
        </is>
      </c>
      <c r="F311" s="17" t="inlineStr">
        <is>
          <t>az elmúlt 30 napban</t>
        </is>
      </c>
      <c r="G311" s="17" t="inlineStr">
        <is>
          <t>Más főkategória terméke</t>
        </is>
      </c>
    </row>
    <row r="312">
      <c r="A312" s="17" t="inlineStr">
        <is>
          <t>GRO0488</t>
        </is>
      </c>
      <c r="B312" s="17" t="inlineStr">
        <is>
          <t>CANNA Mono Trace Mix folyékony nyomelem-keverék 1 liter</t>
        </is>
      </c>
      <c r="C312" s="17" t="inlineStr">
        <is>
          <t>–</t>
        </is>
      </c>
      <c r="D312" s="17" t="inlineStr"/>
      <c r="E312" s="17" t="inlineStr">
        <is>
          <t>Nem tartozik ide</t>
        </is>
      </c>
      <c r="F312" s="17" t="inlineStr">
        <is>
          <t>az elmúlt 30 napban</t>
        </is>
      </c>
      <c r="G312" s="17" t="inlineStr">
        <is>
          <t>Más főkategória terméke</t>
        </is>
      </c>
    </row>
    <row r="313">
      <c r="A313" s="17" t="inlineStr">
        <is>
          <t>GRO0489</t>
        </is>
      </c>
      <c r="B313" s="17" t="inlineStr">
        <is>
          <t>CANNA Mono Vas folyékony vaspótló tápoldat DTPA és EDDHA keláttal 1 liter</t>
        </is>
      </c>
      <c r="C313" s="17" t="inlineStr">
        <is>
          <t>–</t>
        </is>
      </c>
      <c r="D313" s="17" t="inlineStr"/>
      <c r="E313" s="17" t="inlineStr">
        <is>
          <t>Nem tartozik ide</t>
        </is>
      </c>
      <c r="F313" s="17" t="inlineStr">
        <is>
          <t>az elmúlt 30 napban</t>
        </is>
      </c>
      <c r="G313" s="17" t="inlineStr">
        <is>
          <t>Más főkategória terméke</t>
        </is>
      </c>
    </row>
    <row r="314">
      <c r="A314" s="17" t="inlineStr">
        <is>
          <t>GRO0490</t>
        </is>
      </c>
      <c r="B314" s="17" t="inlineStr">
        <is>
          <t>BIOCANNA Bio Vega szerves növekedési táp betain-nitrogénnel 1 liter</t>
        </is>
      </c>
      <c r="C314" s="17" t="inlineStr">
        <is>
          <t>–</t>
        </is>
      </c>
      <c r="D314" s="17" t="inlineStr"/>
      <c r="E314" s="17" t="inlineStr">
        <is>
          <t>Nem tartozik ide</t>
        </is>
      </c>
      <c r="F314" s="17" t="inlineStr">
        <is>
          <t>az elmúlt 30 napban</t>
        </is>
      </c>
      <c r="G314" s="17" t="inlineStr">
        <is>
          <t>Más főkategória terméke</t>
        </is>
      </c>
    </row>
    <row r="315">
      <c r="A315" s="17" t="inlineStr">
        <is>
          <t>GRO0492</t>
        </is>
      </c>
      <c r="B315" s="17" t="inlineStr">
        <is>
          <t>BIOCANNA Bio Flores szerves virágzási táp aminosavakkal 1 liter</t>
        </is>
      </c>
      <c r="C315" s="17" t="inlineStr">
        <is>
          <t>–</t>
        </is>
      </c>
      <c r="D315" s="17" t="inlineStr"/>
      <c r="E315" s="17" t="inlineStr">
        <is>
          <t>Nem tartozik ide</t>
        </is>
      </c>
      <c r="F315" s="17" t="inlineStr">
        <is>
          <t>az elmúlt 30 napban</t>
        </is>
      </c>
      <c r="G315" s="17" t="inlineStr">
        <is>
          <t>Más főkategória terméke</t>
        </is>
      </c>
    </row>
    <row r="316">
      <c r="A316" s="17" t="inlineStr">
        <is>
          <t>GRO0493</t>
        </is>
      </c>
      <c r="B316" s="17" t="inlineStr">
        <is>
          <t>BIOCANNA Bio Flores szerves virágzási táp aminosavakkal 5 liter</t>
        </is>
      </c>
      <c r="C316" s="17" t="inlineStr">
        <is>
          <t>–</t>
        </is>
      </c>
      <c r="D316" s="17" t="inlineStr"/>
      <c r="E316" s="17" t="inlineStr">
        <is>
          <t>Nem tartozik ide</t>
        </is>
      </c>
      <c r="F316" s="17" t="inlineStr">
        <is>
          <t>az elmúlt 30 napban</t>
        </is>
      </c>
      <c r="G316" s="17" t="inlineStr">
        <is>
          <t>Más főkategória terméke</t>
        </is>
      </c>
    </row>
    <row r="317">
      <c r="A317" s="17" t="inlineStr">
        <is>
          <t>GRO0494</t>
        </is>
      </c>
      <c r="B317" s="17" t="inlineStr">
        <is>
          <t>BIOCANNA Bio Rhizotonic biotanúsított gyökérserkentő 250 ml</t>
        </is>
      </c>
      <c r="C317" s="17" t="inlineStr">
        <is>
          <t>–</t>
        </is>
      </c>
      <c r="D317" s="17" t="inlineStr"/>
      <c r="E317" s="17" t="inlineStr">
        <is>
          <t>Nem tartozik ide</t>
        </is>
      </c>
      <c r="F317" s="17" t="inlineStr">
        <is>
          <t>az elmúlt 30 napban</t>
        </is>
      </c>
      <c r="G317" s="17" t="inlineStr">
        <is>
          <t>Más főkategória terméke</t>
        </is>
      </c>
    </row>
    <row r="318">
      <c r="A318" s="17" t="inlineStr">
        <is>
          <t>GRO0495</t>
        </is>
      </c>
      <c r="B318" s="17" t="inlineStr">
        <is>
          <t>BIOCANNA Bio Rhizotonic biotanúsított gyökérserkentő 1 liter</t>
        </is>
      </c>
      <c r="C318" s="17" t="inlineStr">
        <is>
          <t>–</t>
        </is>
      </c>
      <c r="D318" s="17" t="inlineStr"/>
      <c r="E318" s="17" t="inlineStr">
        <is>
          <t>Nem tartozik ide</t>
        </is>
      </c>
      <c r="F318" s="17" t="inlineStr">
        <is>
          <t>az elmúlt 30 napban</t>
        </is>
      </c>
      <c r="G318" s="17" t="inlineStr">
        <is>
          <t>Más főkategória terméke</t>
        </is>
      </c>
    </row>
    <row r="319">
      <c r="A319" s="17" t="inlineStr">
        <is>
          <t>GRO0496</t>
        </is>
      </c>
      <c r="B319" s="17" t="inlineStr">
        <is>
          <t>BIOCANNA Bio Boost szerves hozamnövelő és virágzássegítő 250 ml</t>
        </is>
      </c>
      <c r="C319" s="17" t="inlineStr">
        <is>
          <t>–</t>
        </is>
      </c>
      <c r="D319" s="17" t="inlineStr"/>
      <c r="E319" s="17" t="inlineStr">
        <is>
          <t>Nem tartozik ide</t>
        </is>
      </c>
      <c r="F319" s="17" t="inlineStr">
        <is>
          <t>az elmúlt 30 napban</t>
        </is>
      </c>
      <c r="G319" s="17" t="inlineStr">
        <is>
          <t>Más főkategória terméke</t>
        </is>
      </c>
    </row>
    <row r="320">
      <c r="A320" s="17" t="inlineStr">
        <is>
          <t>GRO0497</t>
        </is>
      </c>
      <c r="B320" s="17" t="inlineStr">
        <is>
          <t>BIOCANNA Bio Boost szerves hozamnövelő és virágzássegítő 1 liter</t>
        </is>
      </c>
      <c r="C320" s="17" t="inlineStr">
        <is>
          <t>–</t>
        </is>
      </c>
      <c r="D320" s="17" t="inlineStr"/>
      <c r="E320" s="17" t="inlineStr">
        <is>
          <t>Nem tartozik ide</t>
        </is>
      </c>
      <c r="F320" s="17" t="inlineStr">
        <is>
          <t>az elmúlt 30 napban</t>
        </is>
      </c>
      <c r="G320" s="17" t="inlineStr">
        <is>
          <t>Más főkategória terméke</t>
        </is>
      </c>
    </row>
    <row r="321">
      <c r="A321" s="17" t="inlineStr">
        <is>
          <t>GRO0499</t>
        </is>
      </c>
      <c r="B321" s="17" t="inlineStr">
        <is>
          <t>Easy Roll ( 2db )</t>
        </is>
      </c>
      <c r="C321" s="17" t="inlineStr">
        <is>
          <t>–</t>
        </is>
      </c>
      <c r="D321" s="17" t="inlineStr"/>
      <c r="E321" s="17" t="inlineStr">
        <is>
          <t>Nem tartozik ide</t>
        </is>
      </c>
      <c r="F321" s="17" t="inlineStr">
        <is>
          <t>2024-10 – 2025-09 (lehet, hogy már nem aktív)</t>
        </is>
      </c>
      <c r="G321" s="17" t="inlineStr">
        <is>
          <t>Más főkategória terméke</t>
        </is>
      </c>
    </row>
    <row r="322">
      <c r="A322" s="17" t="inlineStr">
        <is>
          <t>GRO0504</t>
        </is>
      </c>
      <c r="B322" s="17" t="inlineStr">
        <is>
          <t>Lumatek digitális trafó 400 W</t>
        </is>
      </c>
      <c r="C322" s="17" t="inlineStr">
        <is>
          <t>–</t>
        </is>
      </c>
      <c r="D322" s="17" t="inlineStr"/>
      <c r="E322" s="17" t="inlineStr">
        <is>
          <t>Nem tartozik ide</t>
        </is>
      </c>
      <c r="F322" s="17" t="inlineStr">
        <is>
          <t>2025-10 – 2026-04</t>
        </is>
      </c>
      <c r="G322" s="17" t="inlineStr">
        <is>
          <t>Más főkategória terméke</t>
        </is>
      </c>
    </row>
    <row r="323">
      <c r="A323" s="17" t="inlineStr">
        <is>
          <t>GRO0506</t>
        </is>
      </c>
      <c r="B323" s="17" t="inlineStr">
        <is>
          <t>E40 kerámiafoglalat falon kívüli szereléshez, nagy kompakt fénycsövekhez</t>
        </is>
      </c>
      <c r="C323" s="17" t="inlineStr">
        <is>
          <t>–</t>
        </is>
      </c>
      <c r="D323" s="17" t="inlineStr"/>
      <c r="E323" s="17" t="inlineStr">
        <is>
          <t>Nem tartozik ide</t>
        </is>
      </c>
      <c r="F323" s="17" t="inlineStr">
        <is>
          <t>az elmúlt 30 napban</t>
        </is>
      </c>
      <c r="G323" s="17" t="inlineStr">
        <is>
          <t>Más főkategória terméke</t>
        </is>
      </c>
    </row>
    <row r="324">
      <c r="A324" s="17" t="inlineStr">
        <is>
          <t>GRO0524</t>
        </is>
      </c>
      <c r="B324" s="17" t="inlineStr">
        <is>
          <t>Atami Bloombastic PK 14-15 virágzásserkentő, 325 ml</t>
        </is>
      </c>
      <c r="C324" s="17" t="inlineStr">
        <is>
          <t>–</t>
        </is>
      </c>
      <c r="D324" s="17" t="inlineStr"/>
      <c r="E324" s="17" t="inlineStr">
        <is>
          <t>Nem tartozik ide</t>
        </is>
      </c>
      <c r="F324" s="17" t="inlineStr">
        <is>
          <t>az elmúlt 30 napban</t>
        </is>
      </c>
      <c r="G324" s="17" t="inlineStr">
        <is>
          <t>Más főkategória terméke</t>
        </is>
      </c>
    </row>
    <row r="325">
      <c r="A325" s="17" t="inlineStr">
        <is>
          <t>GRO0525</t>
        </is>
      </c>
      <c r="B325" s="17" t="inlineStr">
        <is>
          <t>Atami Bloombastic PK 14-15 virágzásserkentő, 100 ml</t>
        </is>
      </c>
      <c r="C325" s="17" t="inlineStr">
        <is>
          <t>–</t>
        </is>
      </c>
      <c r="D325" s="17" t="inlineStr"/>
      <c r="E325" s="17" t="inlineStr">
        <is>
          <t>Nem tartozik ide</t>
        </is>
      </c>
      <c r="F325" s="17" t="inlineStr">
        <is>
          <t>az elmúlt 30 napban</t>
        </is>
      </c>
      <c r="G325" s="17" t="inlineStr">
        <is>
          <t>Más főkategória terméke</t>
        </is>
      </c>
    </row>
    <row r="326">
      <c r="A326" s="17" t="inlineStr">
        <is>
          <t>GRO0600</t>
        </is>
      </c>
      <c r="B326" s="17" t="inlineStr">
        <is>
          <t>Milwaukee pH kalibráló folyadék pH 10,01, 20 ml, pH mérőkhöz</t>
        </is>
      </c>
      <c r="C326" s="17" t="inlineStr">
        <is>
          <t>–</t>
        </is>
      </c>
      <c r="D326" s="17" t="inlineStr"/>
      <c r="E326" s="17" t="inlineStr">
        <is>
          <t>Nem tartozik ide</t>
        </is>
      </c>
      <c r="F326" s="17" t="inlineStr">
        <is>
          <t>az elmúlt 30 napban</t>
        </is>
      </c>
      <c r="G326" s="17" t="inlineStr">
        <is>
          <t>Más főkategória terméke</t>
        </is>
      </c>
    </row>
    <row r="327">
      <c r="A327" s="17" t="inlineStr">
        <is>
          <t>GRO0601</t>
        </is>
      </c>
      <c r="B327" s="17" t="inlineStr">
        <is>
          <t>Milwaukee pH kalibráló folyadék pH 7,01, 20 ml, pH mérőkhöz</t>
        </is>
      </c>
      <c r="C327" s="17" t="inlineStr">
        <is>
          <t>–</t>
        </is>
      </c>
      <c r="D327" s="17" t="inlineStr"/>
      <c r="E327" s="17" t="inlineStr">
        <is>
          <t>Nem tartozik ide</t>
        </is>
      </c>
      <c r="F327" s="17" t="inlineStr">
        <is>
          <t>az elmúlt 30 napban</t>
        </is>
      </c>
      <c r="G327" s="17" t="inlineStr">
        <is>
          <t>Más főkategória terméke</t>
        </is>
      </c>
    </row>
    <row r="328">
      <c r="A328" s="17" t="inlineStr">
        <is>
          <t>GRO0602</t>
        </is>
      </c>
      <c r="B328" s="17" t="inlineStr">
        <is>
          <t>Milwaukee pH kalibráló folyadék pH 4,01, 20 ml, pH mérőkhöz</t>
        </is>
      </c>
      <c r="C328" s="17" t="inlineStr">
        <is>
          <t>–</t>
        </is>
      </c>
      <c r="D328" s="17" t="inlineStr"/>
      <c r="E328" s="17" t="inlineStr">
        <is>
          <t>Nem tartozik ide</t>
        </is>
      </c>
      <c r="F328" s="17" t="inlineStr">
        <is>
          <t>az elmúlt 30 napban</t>
        </is>
      </c>
      <c r="G328" s="17" t="inlineStr">
        <is>
          <t>Más főkategória terméke</t>
        </is>
      </c>
    </row>
    <row r="329">
      <c r="A329" s="17" t="inlineStr">
        <is>
          <t>GRO0604</t>
        </is>
      </c>
      <c r="B329" s="17" t="inlineStr">
        <is>
          <t>Lépcsős bővítő cső 80/100/120/125/150 mm légcsatornához</t>
        </is>
      </c>
      <c r="C329" s="17" t="inlineStr">
        <is>
          <t>–</t>
        </is>
      </c>
      <c r="D329" s="17" t="inlineStr"/>
      <c r="E329" s="17" t="inlineStr">
        <is>
          <t>Nem tartozik ide</t>
        </is>
      </c>
      <c r="F329" s="17" t="inlineStr">
        <is>
          <t>az elmúlt 30 napban</t>
        </is>
      </c>
      <c r="G329" s="17" t="inlineStr">
        <is>
          <t>Más főkategória terméke</t>
        </is>
      </c>
    </row>
    <row r="330">
      <c r="A330" s="17" t="inlineStr">
        <is>
          <t>GRO0609</t>
        </is>
      </c>
      <c r="B330" s="17" t="inlineStr">
        <is>
          <t>Milwaukee EC kalibráló folyadék 1413 μS/cm, 20 ml, EC és TDS mérőkhöz</t>
        </is>
      </c>
      <c r="C330" s="17" t="inlineStr">
        <is>
          <t>–</t>
        </is>
      </c>
      <c r="D330" s="17" t="inlineStr"/>
      <c r="E330" s="17" t="inlineStr">
        <is>
          <t>Nem tartozik ide</t>
        </is>
      </c>
      <c r="F330" s="17" t="inlineStr">
        <is>
          <t>az elmúlt 30 napban</t>
        </is>
      </c>
      <c r="G330" s="17" t="inlineStr">
        <is>
          <t>Más főkategória terméke</t>
        </is>
      </c>
    </row>
    <row r="331">
      <c r="A331" s="17" t="inlineStr">
        <is>
          <t>GRO0616</t>
        </is>
      </c>
      <c r="B331" s="17" t="inlineStr">
        <is>
          <t>Green Force trafó 150W</t>
        </is>
      </c>
      <c r="C331" s="17" t="inlineStr">
        <is>
          <t>–</t>
        </is>
      </c>
      <c r="D331" s="17" t="inlineStr"/>
      <c r="E331" s="17" t="inlineStr">
        <is>
          <t>Nem tartozik ide</t>
        </is>
      </c>
      <c r="F331" s="17" t="inlineStr">
        <is>
          <t>2024-10 – 2025-09 (lehet, hogy már nem aktív)</t>
        </is>
      </c>
      <c r="G331" s="17" t="inlineStr">
        <is>
          <t>Más főkategória terméke</t>
        </is>
      </c>
    </row>
    <row r="332">
      <c r="A332" s="17" t="inlineStr">
        <is>
          <t>GRO0618</t>
        </is>
      </c>
      <c r="B332" s="17" t="inlineStr">
        <is>
          <t>Green Force külső trafó 400 W HPS és MH izzókhoz, fém házban, hővédelemmel</t>
        </is>
      </c>
      <c r="C332" s="17" t="inlineStr">
        <is>
          <t>–</t>
        </is>
      </c>
      <c r="D332" s="17" t="inlineStr"/>
      <c r="E332" s="17" t="inlineStr">
        <is>
          <t>Nem tartozik ide</t>
        </is>
      </c>
      <c r="F332" s="17" t="inlineStr">
        <is>
          <t>az elmúlt 30 napban</t>
        </is>
      </c>
      <c r="G332" s="17" t="inlineStr">
        <is>
          <t>Más főkategória terméke</t>
        </is>
      </c>
    </row>
    <row r="333">
      <c r="A333" s="17" t="inlineStr">
        <is>
          <t>GRO0619</t>
        </is>
      </c>
      <c r="B333" s="17" t="inlineStr">
        <is>
          <t>Green Force trafó 600W</t>
        </is>
      </c>
      <c r="C333" s="17" t="inlineStr">
        <is>
          <t>–</t>
        </is>
      </c>
      <c r="D333" s="17" t="inlineStr"/>
      <c r="E333" s="17" t="inlineStr">
        <is>
          <t>Nem tartozik ide</t>
        </is>
      </c>
      <c r="F333" s="17" t="inlineStr">
        <is>
          <t>2024-10 – 2025-09 (lehet, hogy már nem aktív)</t>
        </is>
      </c>
      <c r="G333" s="17" t="inlineStr">
        <is>
          <t>Más főkategória terméke</t>
        </is>
      </c>
    </row>
    <row r="334">
      <c r="A334" s="17" t="inlineStr">
        <is>
          <t>GRO0631</t>
        </is>
      </c>
      <c r="B334" s="17" t="inlineStr">
        <is>
          <t>Advanced Hydroponics ph- Grow 0,5 liter</t>
        </is>
      </c>
      <c r="C334" s="17" t="inlineStr">
        <is>
          <t>–</t>
        </is>
      </c>
      <c r="D334" s="17" t="inlineStr"/>
      <c r="E334" s="17" t="inlineStr">
        <is>
          <t>Nem tartozik ide</t>
        </is>
      </c>
      <c r="F334" s="17" t="inlineStr">
        <is>
          <t>2024-10 – 2025-09 (lehet, hogy már nem aktív)</t>
        </is>
      </c>
      <c r="G334" s="17" t="inlineStr">
        <is>
          <t>Más főkategória terméke</t>
        </is>
      </c>
    </row>
    <row r="335">
      <c r="A335" s="17" t="inlineStr">
        <is>
          <t>GRO0632</t>
        </is>
      </c>
      <c r="B335" s="17" t="inlineStr">
        <is>
          <t>Advanced Hydroponics pH- Bloom pH-csökkentő a virágzási szakaszra 500 ml</t>
        </is>
      </c>
      <c r="C335" s="17" t="inlineStr">
        <is>
          <t>–</t>
        </is>
      </c>
      <c r="D335" s="17" t="inlineStr"/>
      <c r="E335" s="17" t="inlineStr">
        <is>
          <t>Nem tartozik ide</t>
        </is>
      </c>
      <c r="F335" s="17" t="inlineStr">
        <is>
          <t>az elmúlt 30 napban</t>
        </is>
      </c>
      <c r="G335" s="17" t="inlineStr">
        <is>
          <t>Más főkategória terméke</t>
        </is>
      </c>
    </row>
    <row r="336">
      <c r="A336" s="17" t="inlineStr">
        <is>
          <t>GRO0633</t>
        </is>
      </c>
      <c r="B336" s="17" t="inlineStr">
        <is>
          <t>Advanced Hydroponics ph- Grow 1 liter</t>
        </is>
      </c>
      <c r="C336" s="17" t="inlineStr">
        <is>
          <t>–</t>
        </is>
      </c>
      <c r="D336" s="17" t="inlineStr"/>
      <c r="E336" s="17" t="inlineStr">
        <is>
          <t>Nem tartozik ide</t>
        </is>
      </c>
      <c r="F336" s="17" t="inlineStr">
        <is>
          <t>2024-10 – 2025-09 (lehet, hogy már nem aktív)</t>
        </is>
      </c>
      <c r="G336" s="17" t="inlineStr">
        <is>
          <t>Más főkategória terméke</t>
        </is>
      </c>
    </row>
    <row r="337">
      <c r="A337" s="17" t="inlineStr">
        <is>
          <t>GRO0634</t>
        </is>
      </c>
      <c r="B337" s="17" t="inlineStr">
        <is>
          <t>Advanced Hydroponics pH- Bloom pH-csökkentő a virágzási szakaszra 1 liter</t>
        </is>
      </c>
      <c r="C337" s="17" t="inlineStr">
        <is>
          <t>–</t>
        </is>
      </c>
      <c r="D337" s="17" t="inlineStr"/>
      <c r="E337" s="17" t="inlineStr">
        <is>
          <t>Nem tartozik ide</t>
        </is>
      </c>
      <c r="F337" s="17" t="inlineStr">
        <is>
          <t>az elmúlt 30 napban</t>
        </is>
      </c>
      <c r="G337" s="17" t="inlineStr">
        <is>
          <t>Más főkategória terméke</t>
        </is>
      </c>
    </row>
    <row r="338">
      <c r="A338" s="17" t="inlineStr">
        <is>
          <t>GRO0645</t>
        </is>
      </c>
      <c r="B338" s="17" t="inlineStr">
        <is>
          <t>Advanced Hydroponics Natural Power Root Stimulator gyökérserkentő 1 liter</t>
        </is>
      </c>
      <c r="C338" s="17" t="inlineStr">
        <is>
          <t>–</t>
        </is>
      </c>
      <c r="D338" s="17" t="inlineStr"/>
      <c r="E338" s="17" t="inlineStr">
        <is>
          <t>Nem tartozik ide</t>
        </is>
      </c>
      <c r="F338" s="17" t="inlineStr">
        <is>
          <t>az elmúlt 30 napban</t>
        </is>
      </c>
      <c r="G338" s="17" t="inlineStr">
        <is>
          <t>Más főkategória terméke</t>
        </is>
      </c>
    </row>
    <row r="339">
      <c r="A339" s="17" t="inlineStr">
        <is>
          <t>GRO0646</t>
        </is>
      </c>
      <c r="B339" s="17" t="inlineStr">
        <is>
          <t>Advanced Hydroponics Grow-Bloom Excellerator 1 liter</t>
        </is>
      </c>
      <c r="C339" s="17" t="inlineStr">
        <is>
          <t>–</t>
        </is>
      </c>
      <c r="D339" s="17" t="inlineStr"/>
      <c r="E339" s="17" t="inlineStr">
        <is>
          <t>Nem tartozik ide</t>
        </is>
      </c>
      <c r="F339" s="17" t="inlineStr">
        <is>
          <t>2024-10 – 2025-09 (lehet, hogy már nem aktív)</t>
        </is>
      </c>
      <c r="G339" s="17" t="inlineStr">
        <is>
          <t>Más főkategória terméke</t>
        </is>
      </c>
    </row>
    <row r="340">
      <c r="A340" s="17" t="inlineStr">
        <is>
          <t>GRO0647</t>
        </is>
      </c>
      <c r="B340" s="17" t="inlineStr">
        <is>
          <t>Advanced Hydroponics Enzymes+ 1 liter</t>
        </is>
      </c>
      <c r="C340" s="17" t="inlineStr">
        <is>
          <t>–</t>
        </is>
      </c>
      <c r="D340" s="17" t="inlineStr"/>
      <c r="E340" s="17" t="inlineStr">
        <is>
          <t>Nem tartozik ide</t>
        </is>
      </c>
      <c r="F340" s="17" t="inlineStr">
        <is>
          <t>az elmúlt 30 napban</t>
        </is>
      </c>
      <c r="G340" s="17" t="inlineStr">
        <is>
          <t>Más főkategória terméke</t>
        </is>
      </c>
    </row>
    <row r="341">
      <c r="A341" s="17" t="inlineStr">
        <is>
          <t>GRO0648</t>
        </is>
      </c>
      <c r="B341" s="17" t="inlineStr">
        <is>
          <t>Advanced Hydroponics Natural Power Enzymes+ enzimes adalék 500 ml</t>
        </is>
      </c>
      <c r="C341" s="17" t="inlineStr">
        <is>
          <t>–</t>
        </is>
      </c>
      <c r="D341" s="17" t="inlineStr"/>
      <c r="E341" s="17" t="inlineStr">
        <is>
          <t>Nem tartozik ide</t>
        </is>
      </c>
      <c r="F341" s="17" t="inlineStr">
        <is>
          <t>az elmúlt 30 napban</t>
        </is>
      </c>
      <c r="G341" s="17" t="inlineStr">
        <is>
          <t>Más főkategória terméke</t>
        </is>
      </c>
    </row>
    <row r="342">
      <c r="A342" s="17" t="inlineStr">
        <is>
          <t>GRO0666</t>
        </is>
      </c>
      <c r="B342" s="17" t="inlineStr">
        <is>
          <t>Plagron Terra Grow ásványi növekedési táp földhöz 1 liter</t>
        </is>
      </c>
      <c r="C342" s="17" t="inlineStr">
        <is>
          <t>–</t>
        </is>
      </c>
      <c r="D342" s="17" t="inlineStr"/>
      <c r="E342" s="17" t="inlineStr">
        <is>
          <t>Nem tartozik ide</t>
        </is>
      </c>
      <c r="F342" s="17" t="inlineStr">
        <is>
          <t>az elmúlt 30 napban</t>
        </is>
      </c>
      <c r="G342" s="17" t="inlineStr">
        <is>
          <t>Más főkategória terméke</t>
        </is>
      </c>
    </row>
    <row r="343">
      <c r="A343" s="17" t="inlineStr">
        <is>
          <t>GRO0667</t>
        </is>
      </c>
      <c r="B343" s="17" t="inlineStr">
        <is>
          <t>Plagron Terra Grow ásványi növekedési táp földhöz 5 liter</t>
        </is>
      </c>
      <c r="C343" s="17" t="inlineStr">
        <is>
          <t>–</t>
        </is>
      </c>
      <c r="D343" s="17" t="inlineStr"/>
      <c r="E343" s="17" t="inlineStr">
        <is>
          <t>Nem tartozik ide</t>
        </is>
      </c>
      <c r="F343" s="17" t="inlineStr">
        <is>
          <t>az elmúlt 30 napban</t>
        </is>
      </c>
      <c r="G343" s="17" t="inlineStr">
        <is>
          <t>Más főkategória terméke</t>
        </is>
      </c>
    </row>
    <row r="344">
      <c r="A344" s="17" t="inlineStr">
        <is>
          <t>GRO0668</t>
        </is>
      </c>
      <c r="B344" s="17" t="inlineStr">
        <is>
          <t>Plagron Terra Bloom ásványi virágzási táp földhöz 1 liter</t>
        </is>
      </c>
      <c r="C344" s="17" t="inlineStr">
        <is>
          <t>–</t>
        </is>
      </c>
      <c r="D344" s="17" t="inlineStr"/>
      <c r="E344" s="17" t="inlineStr">
        <is>
          <t>Nem tartozik ide</t>
        </is>
      </c>
      <c r="F344" s="17" t="inlineStr">
        <is>
          <t>az elmúlt 30 napban</t>
        </is>
      </c>
      <c r="G344" s="17" t="inlineStr">
        <is>
          <t>Más főkategória terméke</t>
        </is>
      </c>
    </row>
    <row r="345">
      <c r="A345" s="17" t="inlineStr">
        <is>
          <t>GRO0669</t>
        </is>
      </c>
      <c r="B345" s="17" t="inlineStr">
        <is>
          <t>Plagron Terra Bloom ásványi virágzási táp földhöz 5 liter</t>
        </is>
      </c>
      <c r="C345" s="17" t="inlineStr">
        <is>
          <t>–</t>
        </is>
      </c>
      <c r="D345" s="17" t="inlineStr"/>
      <c r="E345" s="17" t="inlineStr">
        <is>
          <t>Nem tartozik ide</t>
        </is>
      </c>
      <c r="F345" s="17" t="inlineStr">
        <is>
          <t>az elmúlt 30 napban</t>
        </is>
      </c>
      <c r="G345" s="17" t="inlineStr">
        <is>
          <t>Más főkategória terméke</t>
        </is>
      </c>
    </row>
    <row r="346">
      <c r="A346" s="17" t="inlineStr">
        <is>
          <t>GRO0670</t>
        </is>
      </c>
      <c r="B346" s="17" t="inlineStr">
        <is>
          <t>Plagron Pure Zym enzimes talajjavító 500 ml</t>
        </is>
      </c>
      <c r="C346" s="17" t="inlineStr">
        <is>
          <t>–</t>
        </is>
      </c>
      <c r="D346" s="17" t="inlineStr"/>
      <c r="E346" s="17" t="inlineStr">
        <is>
          <t>Nem tartozik ide</t>
        </is>
      </c>
      <c r="F346" s="17" t="inlineStr">
        <is>
          <t>az elmúlt 30 napban</t>
        </is>
      </c>
      <c r="G346" s="17" t="inlineStr">
        <is>
          <t>Más főkategória terméke</t>
        </is>
      </c>
    </row>
    <row r="347">
      <c r="A347" s="17" t="inlineStr">
        <is>
          <t>GRO0671</t>
        </is>
      </c>
      <c r="B347" s="17" t="inlineStr">
        <is>
          <t>Plagron Pure Zym enzimes talajjavító 1 liter</t>
        </is>
      </c>
      <c r="C347" s="17" t="inlineStr">
        <is>
          <t>–</t>
        </is>
      </c>
      <c r="D347" s="17" t="inlineStr"/>
      <c r="E347" s="17" t="inlineStr">
        <is>
          <t>Nem tartozik ide</t>
        </is>
      </c>
      <c r="F347" s="17" t="inlineStr">
        <is>
          <t>az elmúlt 30 napban</t>
        </is>
      </c>
      <c r="G347" s="17" t="inlineStr">
        <is>
          <t>Más főkategória terméke</t>
        </is>
      </c>
    </row>
    <row r="348">
      <c r="A348" s="17" t="inlineStr">
        <is>
          <t>GRO0672</t>
        </is>
      </c>
      <c r="B348" s="17" t="inlineStr">
        <is>
          <t>Plagron Green Sensation booster virágzásfokozó 500 ml</t>
        </is>
      </c>
      <c r="C348" s="17" t="inlineStr">
        <is>
          <t>–</t>
        </is>
      </c>
      <c r="D348" s="17" t="inlineStr"/>
      <c r="E348" s="17" t="inlineStr">
        <is>
          <t>Nem tartozik ide</t>
        </is>
      </c>
      <c r="F348" s="17" t="inlineStr">
        <is>
          <t>az elmúlt 30 napban</t>
        </is>
      </c>
      <c r="G348" s="17" t="inlineStr">
        <is>
          <t>Más főkategória terméke</t>
        </is>
      </c>
    </row>
    <row r="349">
      <c r="A349" s="17" t="inlineStr">
        <is>
          <t>GRO0674</t>
        </is>
      </c>
      <c r="B349" s="17" t="inlineStr">
        <is>
          <t>Plagron Vita Race vasas levélpermet 100 ml</t>
        </is>
      </c>
      <c r="C349" s="17" t="inlineStr">
        <is>
          <t>–</t>
        </is>
      </c>
      <c r="D349" s="17" t="inlineStr"/>
      <c r="E349" s="17" t="inlineStr">
        <is>
          <t>Nem tartozik ide</t>
        </is>
      </c>
      <c r="F349" s="17" t="inlineStr">
        <is>
          <t>az elmúlt 30 napban</t>
        </is>
      </c>
      <c r="G349" s="17" t="inlineStr">
        <is>
          <t>Más főkategória terméke</t>
        </is>
      </c>
    </row>
    <row r="350">
      <c r="A350" s="17" t="inlineStr">
        <is>
          <t>GRO0675</t>
        </is>
      </c>
      <c r="B350" s="17" t="inlineStr">
        <is>
          <t>Plagron Start up 500 ml</t>
        </is>
      </c>
      <c r="C350" s="17" t="inlineStr">
        <is>
          <t>–</t>
        </is>
      </c>
      <c r="D350" s="17" t="inlineStr"/>
      <c r="E350" s="17" t="inlineStr">
        <is>
          <t>Nem tartozik ide</t>
        </is>
      </c>
      <c r="F350" s="17" t="inlineStr">
        <is>
          <t>az elmúlt 6 hónapban</t>
        </is>
      </c>
      <c r="G350" s="17" t="inlineStr">
        <is>
          <t>Más főkategória terméke</t>
        </is>
      </c>
    </row>
    <row r="351">
      <c r="A351" s="17" t="inlineStr">
        <is>
          <t>GRO0676</t>
        </is>
      </c>
      <c r="B351" s="17" t="inlineStr">
        <is>
          <t>Plagron Top Grow Box Terra ásványi tápszett földes termesztéshez, 1 m²</t>
        </is>
      </c>
      <c r="C351" s="17" t="inlineStr">
        <is>
          <t>–</t>
        </is>
      </c>
      <c r="D351" s="17" t="inlineStr"/>
      <c r="E351" s="17" t="inlineStr">
        <is>
          <t>Nem tartozik ide</t>
        </is>
      </c>
      <c r="F351" s="17" t="inlineStr">
        <is>
          <t>az elmúlt 30 napban</t>
        </is>
      </c>
      <c r="G351" s="17" t="inlineStr">
        <is>
          <t>Más főkategória terméke</t>
        </is>
      </c>
    </row>
    <row r="352">
      <c r="A352" s="17" t="inlineStr">
        <is>
          <t>GRO0677</t>
        </is>
      </c>
      <c r="B352" s="17" t="inlineStr">
        <is>
          <t>Plagron Power Roots gyökérerősítő adalék 500 ml</t>
        </is>
      </c>
      <c r="C352" s="17" t="inlineStr">
        <is>
          <t>–</t>
        </is>
      </c>
      <c r="D352" s="17" t="inlineStr"/>
      <c r="E352" s="17" t="inlineStr">
        <is>
          <t>Nem tartozik ide</t>
        </is>
      </c>
      <c r="F352" s="17" t="inlineStr">
        <is>
          <t>az elmúlt 30 napban</t>
        </is>
      </c>
      <c r="G352" s="17" t="inlineStr">
        <is>
          <t>Más főkategória terméke</t>
        </is>
      </c>
    </row>
    <row r="353">
      <c r="A353" s="17" t="inlineStr">
        <is>
          <t>GRO0678</t>
        </is>
      </c>
      <c r="B353" s="17" t="inlineStr">
        <is>
          <t>Advanced Hydroponics Dutch Formula GROW 1 liter</t>
        </is>
      </c>
      <c r="C353" s="17" t="inlineStr">
        <is>
          <t>–</t>
        </is>
      </c>
      <c r="D353" s="17" t="inlineStr"/>
      <c r="E353" s="17" t="inlineStr">
        <is>
          <t>Nem tartozik ide</t>
        </is>
      </c>
      <c r="F353" s="17" t="inlineStr">
        <is>
          <t>az elmúlt 30 napban</t>
        </is>
      </c>
      <c r="G353" s="17" t="inlineStr">
        <is>
          <t>Más főkategória terméke</t>
        </is>
      </c>
    </row>
    <row r="354">
      <c r="A354" s="17" t="inlineStr">
        <is>
          <t>GRO0679</t>
        </is>
      </c>
      <c r="B354" s="17" t="inlineStr">
        <is>
          <t>Advanced Hydroponics Dutch Formula MICRO mikroelemes alaptáp 1 liter</t>
        </is>
      </c>
      <c r="C354" s="17" t="inlineStr">
        <is>
          <t>–</t>
        </is>
      </c>
      <c r="D354" s="17" t="inlineStr"/>
      <c r="E354" s="17" t="inlineStr">
        <is>
          <t>Nem tartozik ide</t>
        </is>
      </c>
      <c r="F354" s="17" t="inlineStr">
        <is>
          <t>az elmúlt 30 napban</t>
        </is>
      </c>
      <c r="G354" s="17" t="inlineStr">
        <is>
          <t>Más főkategória terméke</t>
        </is>
      </c>
    </row>
    <row r="355">
      <c r="A355" s="17" t="inlineStr">
        <is>
          <t>GRO0680</t>
        </is>
      </c>
      <c r="B355" s="17" t="inlineStr">
        <is>
          <t>Advanced Hydroponics pH+ Up pH-emelő folyadék tápoldathoz 500 ml</t>
        </is>
      </c>
      <c r="C355" s="17" t="inlineStr">
        <is>
          <t>–</t>
        </is>
      </c>
      <c r="D355" s="17" t="inlineStr"/>
      <c r="E355" s="17" t="inlineStr">
        <is>
          <t>Nem tartozik ide</t>
        </is>
      </c>
      <c r="F355" s="17" t="inlineStr">
        <is>
          <t>az elmúlt 30 napban</t>
        </is>
      </c>
      <c r="G355" s="17" t="inlineStr">
        <is>
          <t>Más főkategória terméke</t>
        </is>
      </c>
    </row>
    <row r="356">
      <c r="A356" s="17" t="inlineStr">
        <is>
          <t>GRO0681</t>
        </is>
      </c>
      <c r="B356" s="17" t="inlineStr">
        <is>
          <t>Advanced Hydroponics Grow-Bloom Excellerator 250 ml</t>
        </is>
      </c>
      <c r="C356" s="17" t="inlineStr">
        <is>
          <t>–</t>
        </is>
      </c>
      <c r="D356" s="17" t="inlineStr"/>
      <c r="E356" s="17" t="inlineStr">
        <is>
          <t>Nem tartozik ide</t>
        </is>
      </c>
      <c r="F356" s="17" t="inlineStr">
        <is>
          <t>2024-10 – 2025-09 (lehet, hogy már nem aktív)</t>
        </is>
      </c>
      <c r="G356" s="17" t="inlineStr">
        <is>
          <t>Más főkategória terméke</t>
        </is>
      </c>
    </row>
    <row r="357">
      <c r="A357" s="17" t="inlineStr">
        <is>
          <t>GRO0682</t>
        </is>
      </c>
      <c r="B357" s="17" t="inlineStr">
        <is>
          <t>Advanced Hydroponics Grow-Bloom Excellerator 500 ml</t>
        </is>
      </c>
      <c r="C357" s="17" t="inlineStr">
        <is>
          <t>–</t>
        </is>
      </c>
      <c r="D357" s="17" t="inlineStr"/>
      <c r="E357" s="17" t="inlineStr">
        <is>
          <t>Nem tartozik ide</t>
        </is>
      </c>
      <c r="F357" s="17" t="inlineStr">
        <is>
          <t>2024-10 – 2025-09 (lehet, hogy már nem aktív)</t>
        </is>
      </c>
      <c r="G357" s="17" t="inlineStr">
        <is>
          <t>Más főkategória terméke</t>
        </is>
      </c>
    </row>
    <row r="358">
      <c r="A358" s="17" t="inlineStr">
        <is>
          <t>GRO0684</t>
        </is>
      </c>
      <c r="B358" s="17" t="inlineStr">
        <is>
          <t>Advanced Hydroponics Root Stimulator 500 ml</t>
        </is>
      </c>
      <c r="C358" s="17" t="inlineStr">
        <is>
          <t>–</t>
        </is>
      </c>
      <c r="D358" s="17" t="inlineStr"/>
      <c r="E358" s="17" t="inlineStr">
        <is>
          <t>Nem tartozik ide</t>
        </is>
      </c>
      <c r="F358" s="17" t="inlineStr">
        <is>
          <t>2024-10 – 2025-09 (lehet, hogy már nem aktív)</t>
        </is>
      </c>
      <c r="G358" s="17" t="inlineStr">
        <is>
          <t>Más főkategória terméke</t>
        </is>
      </c>
    </row>
    <row r="359">
      <c r="A359" s="17" t="inlineStr">
        <is>
          <t>GRO0685</t>
        </is>
      </c>
      <c r="B359" s="17" t="inlineStr">
        <is>
          <t>Advanced Hydroponics Enzymes+ 250 ml</t>
        </is>
      </c>
      <c r="C359" s="17" t="inlineStr">
        <is>
          <t>–</t>
        </is>
      </c>
      <c r="D359" s="17" t="inlineStr"/>
      <c r="E359" s="17" t="inlineStr">
        <is>
          <t>Nem tartozik ide</t>
        </is>
      </c>
      <c r="F359" s="17" t="inlineStr">
        <is>
          <t>2025-10 – 2026-04</t>
        </is>
      </c>
      <c r="G359" s="17" t="inlineStr">
        <is>
          <t>Más főkategória terméke</t>
        </is>
      </c>
    </row>
    <row r="360">
      <c r="A360" s="17" t="inlineStr">
        <is>
          <t>GRO0686</t>
        </is>
      </c>
      <c r="B360" s="17" t="inlineStr">
        <is>
          <t>Advanced Hydroponics Final Solution</t>
        </is>
      </c>
      <c r="C360" s="17" t="inlineStr">
        <is>
          <t>–</t>
        </is>
      </c>
      <c r="D360" s="17" t="inlineStr"/>
      <c r="E360" s="17" t="inlineStr">
        <is>
          <t>Nem tartozik ide</t>
        </is>
      </c>
      <c r="F360" s="17" t="inlineStr">
        <is>
          <t>2024-10 – 2025-09 (lehet, hogy már nem aktív)</t>
        </is>
      </c>
      <c r="G360" s="17" t="inlineStr">
        <is>
          <t>Más főkategória terméke</t>
        </is>
      </c>
    </row>
    <row r="361">
      <c r="A361" s="17" t="inlineStr">
        <is>
          <t>GRO0687</t>
        </is>
      </c>
      <c r="B361" s="17" t="inlineStr">
        <is>
          <t>Advanced Hydroponics Natural Power Final Solution öblítő szer 500 ml</t>
        </is>
      </c>
      <c r="C361" s="17" t="inlineStr">
        <is>
          <t>–</t>
        </is>
      </c>
      <c r="D361" s="17" t="inlineStr"/>
      <c r="E361" s="17" t="inlineStr">
        <is>
          <t>Nem tartozik ide</t>
        </is>
      </c>
      <c r="F361" s="17" t="inlineStr">
        <is>
          <t>az elmúlt 30 napban</t>
        </is>
      </c>
      <c r="G361" s="17" t="inlineStr">
        <is>
          <t>Más főkategória terméke</t>
        </is>
      </c>
    </row>
    <row r="362">
      <c r="A362" s="17" t="inlineStr">
        <is>
          <t>GRO0688</t>
        </is>
      </c>
      <c r="B362" s="17" t="inlineStr">
        <is>
          <t>Advanced Hydroponics Dutch Formula BLOOM ásványi virágzási alaptáp 500 ml</t>
        </is>
      </c>
      <c r="C362" s="17" t="inlineStr">
        <is>
          <t>–</t>
        </is>
      </c>
      <c r="D362" s="17" t="inlineStr"/>
      <c r="E362" s="17" t="inlineStr">
        <is>
          <t>Nem tartozik ide</t>
        </is>
      </c>
      <c r="F362" s="17" t="inlineStr">
        <is>
          <t>az elmúlt 30 napban</t>
        </is>
      </c>
      <c r="G362" s="17" t="inlineStr">
        <is>
          <t>Más főkategória terméke</t>
        </is>
      </c>
    </row>
    <row r="363">
      <c r="A363" s="17" t="inlineStr">
        <is>
          <t>GRO0690</t>
        </is>
      </c>
      <c r="B363" s="17" t="inlineStr">
        <is>
          <t>BioBizz Bio-Bloom szerves virágzási táp 5 liter</t>
        </is>
      </c>
      <c r="C363" s="17" t="inlineStr">
        <is>
          <t>–</t>
        </is>
      </c>
      <c r="D363" s="17" t="inlineStr"/>
      <c r="E363" s="17" t="inlineStr">
        <is>
          <t>Nem tartozik ide</t>
        </is>
      </c>
      <c r="F363" s="17" t="inlineStr">
        <is>
          <t>az elmúlt 30 napban</t>
        </is>
      </c>
      <c r="G363" s="17" t="inlineStr">
        <is>
          <t>Más főkategória terméke</t>
        </is>
      </c>
    </row>
    <row r="364">
      <c r="A364" s="17" t="inlineStr">
        <is>
          <t>GRO0692</t>
        </is>
      </c>
      <c r="B364" s="17" t="inlineStr">
        <is>
          <t>Hesi Pro-Line TNT 10 liter</t>
        </is>
      </c>
      <c r="C364" s="17" t="inlineStr">
        <is>
          <t>–</t>
        </is>
      </c>
      <c r="D364" s="17" t="inlineStr"/>
      <c r="E364" s="17" t="inlineStr">
        <is>
          <t>Nem tartozik ide</t>
        </is>
      </c>
      <c r="F364" s="17" t="inlineStr">
        <is>
          <t>az elmúlt 6 hónapban</t>
        </is>
      </c>
      <c r="G364" s="17" t="inlineStr">
        <is>
          <t>Más főkategória terméke</t>
        </is>
      </c>
    </row>
    <row r="365">
      <c r="A365" s="17" t="inlineStr">
        <is>
          <t>GRO0693</t>
        </is>
      </c>
      <c r="B365" s="17" t="inlineStr">
        <is>
          <t>Hesi Pro-Line Bloom 10 liter</t>
        </is>
      </c>
      <c r="C365" s="17" t="inlineStr">
        <is>
          <t>–</t>
        </is>
      </c>
      <c r="D365" s="17" t="inlineStr"/>
      <c r="E365" s="17" t="inlineStr">
        <is>
          <t>Nem tartozik ide</t>
        </is>
      </c>
      <c r="F365" s="17" t="inlineStr">
        <is>
          <t>2024-10 – 2025-09 (lehet, hogy már nem aktív)</t>
        </is>
      </c>
      <c r="G365" s="17" t="inlineStr">
        <is>
          <t>Más főkategória terméke</t>
        </is>
      </c>
    </row>
    <row r="366">
      <c r="A366" s="17" t="inlineStr">
        <is>
          <t>GRO0696</t>
        </is>
      </c>
      <c r="B366" s="17" t="inlineStr">
        <is>
          <t>Advanced Hydroponics Dutch Formula BLOOM ásványi virágzási alaptáp 1 liter</t>
        </is>
      </c>
      <c r="C366" s="17" t="inlineStr">
        <is>
          <t>–</t>
        </is>
      </c>
      <c r="D366" s="17" t="inlineStr"/>
      <c r="E366" s="17" t="inlineStr">
        <is>
          <t>Nem tartozik ide</t>
        </is>
      </c>
      <c r="F366" s="17" t="inlineStr">
        <is>
          <t>az elmúlt 30 napban</t>
        </is>
      </c>
      <c r="G366" s="17" t="inlineStr">
        <is>
          <t>Más főkategória terméke</t>
        </is>
      </c>
    </row>
    <row r="367">
      <c r="A367" s="17" t="inlineStr">
        <is>
          <t>GRO0700</t>
        </is>
      </c>
      <c r="B367" s="17" t="inlineStr">
        <is>
          <t>Fém Y idom 160 mm</t>
        </is>
      </c>
      <c r="C367" s="17" t="inlineStr">
        <is>
          <t>–</t>
        </is>
      </c>
      <c r="D367" s="17" t="inlineStr"/>
      <c r="E367" s="17" t="inlineStr">
        <is>
          <t>Nem tartozik ide</t>
        </is>
      </c>
      <c r="F367" s="17" t="inlineStr">
        <is>
          <t>2025-10 – 2026-04</t>
        </is>
      </c>
      <c r="G367" s="17" t="inlineStr">
        <is>
          <t>Más főkategória terméke</t>
        </is>
      </c>
    </row>
    <row r="368">
      <c r="A368" s="17" t="inlineStr">
        <is>
          <t>GRO0704</t>
        </is>
      </c>
      <c r="B368" s="17" t="inlineStr">
        <is>
          <t>BIOCANNA Bio Vega szerves növekedési táp betain-nitrogénnel 5 liter</t>
        </is>
      </c>
      <c r="C368" s="17" t="inlineStr">
        <is>
          <t>–</t>
        </is>
      </c>
      <c r="D368" s="17" t="inlineStr"/>
      <c r="E368" s="17" t="inlineStr">
        <is>
          <t>Nem tartozik ide</t>
        </is>
      </c>
      <c r="F368" s="17" t="inlineStr">
        <is>
          <t>az elmúlt 30 napban</t>
        </is>
      </c>
      <c r="G368" s="17" t="inlineStr">
        <is>
          <t>Más főkategória terméke</t>
        </is>
      </c>
    </row>
    <row r="369">
      <c r="A369" s="17" t="inlineStr">
        <is>
          <t>GRO0705</t>
        </is>
      </c>
      <c r="B369" s="17" t="inlineStr">
        <is>
          <t>CANNA Terra Vega ásványi növekedési táp földhöz 5 liter</t>
        </is>
      </c>
      <c r="C369" s="17" t="inlineStr">
        <is>
          <t>–</t>
        </is>
      </c>
      <c r="D369" s="17" t="inlineStr"/>
      <c r="E369" s="17" t="inlineStr">
        <is>
          <t>Nem tartozik ide</t>
        </is>
      </c>
      <c r="F369" s="17" t="inlineStr">
        <is>
          <t>az elmúlt 30 napban</t>
        </is>
      </c>
      <c r="G369" s="17" t="inlineStr">
        <is>
          <t>Más főkategória terméke</t>
        </is>
      </c>
    </row>
    <row r="370">
      <c r="A370" s="17" t="inlineStr">
        <is>
          <t>GRO0706</t>
        </is>
      </c>
      <c r="B370" s="17" t="inlineStr">
        <is>
          <t>CANNA Terra Flores ásványi virágzási táp földhöz 5 liter</t>
        </is>
      </c>
      <c r="C370" s="17" t="inlineStr">
        <is>
          <t>–</t>
        </is>
      </c>
      <c r="D370" s="17" t="inlineStr"/>
      <c r="E370" s="17" t="inlineStr">
        <is>
          <t>Nem tartozik ide</t>
        </is>
      </c>
      <c r="F370" s="17" t="inlineStr">
        <is>
          <t>az elmúlt 30 napban</t>
        </is>
      </c>
      <c r="G370" s="17" t="inlineStr">
        <is>
          <t>Más főkategória terméke</t>
        </is>
      </c>
    </row>
    <row r="371">
      <c r="A371" s="17" t="inlineStr">
        <is>
          <t>GRO0709</t>
        </is>
      </c>
      <c r="B371" s="17" t="inlineStr">
        <is>
          <t>BioNova Soil Supermix egykomponensű talajtáp 1 liter</t>
        </is>
      </c>
      <c r="C371" s="17" t="inlineStr">
        <is>
          <t>–</t>
        </is>
      </c>
      <c r="D371" s="17" t="inlineStr"/>
      <c r="E371" s="17" t="inlineStr">
        <is>
          <t>Nem tartozik ide</t>
        </is>
      </c>
      <c r="F371" s="17" t="inlineStr">
        <is>
          <t>az elmúlt 30 napban</t>
        </is>
      </c>
      <c r="G371" s="17" t="inlineStr">
        <is>
          <t>Más főkategória terméke</t>
        </is>
      </c>
    </row>
    <row r="372">
      <c r="A372" s="17" t="inlineStr">
        <is>
          <t>GRO0710</t>
        </is>
      </c>
      <c r="B372" s="17" t="inlineStr">
        <is>
          <t>BioNova Hydro Supermix egykomponensű hidropóniás táp 1 liter</t>
        </is>
      </c>
      <c r="C372" s="17" t="inlineStr">
        <is>
          <t>–</t>
        </is>
      </c>
      <c r="D372" s="17" t="inlineStr"/>
      <c r="E372" s="17" t="inlineStr">
        <is>
          <t>Nem tartozik ide</t>
        </is>
      </c>
      <c r="F372" s="17" t="inlineStr">
        <is>
          <t>az elmúlt 30 napban</t>
        </is>
      </c>
      <c r="G372" s="17" t="inlineStr">
        <is>
          <t>Más főkategória terméke</t>
        </is>
      </c>
    </row>
    <row r="373">
      <c r="A373" s="17" t="inlineStr">
        <is>
          <t>GRO0711</t>
        </is>
      </c>
      <c r="B373" s="17" t="inlineStr">
        <is>
          <t>BioNova Aero Supermix alaptáp aeropóniás rendszerekhez 1 liter</t>
        </is>
      </c>
      <c r="C373" s="17" t="inlineStr">
        <is>
          <t>–</t>
        </is>
      </c>
      <c r="D373" s="17" t="inlineStr"/>
      <c r="E373" s="17" t="inlineStr">
        <is>
          <t>Nem tartozik ide</t>
        </is>
      </c>
      <c r="F373" s="17" t="inlineStr">
        <is>
          <t>az elmúlt 30 napban</t>
        </is>
      </c>
      <c r="G373" s="17" t="inlineStr">
        <is>
          <t>Más főkategória terméke</t>
        </is>
      </c>
    </row>
    <row r="374">
      <c r="A374" s="17" t="inlineStr">
        <is>
          <t>GRO0713</t>
        </is>
      </c>
      <c r="B374" s="17" t="inlineStr">
        <is>
          <t>BioNova Nutri Forte A+B Hydro kétkomponensű hidropóniás táp 1 liter</t>
        </is>
      </c>
      <c r="C374" s="17" t="inlineStr">
        <is>
          <t>–</t>
        </is>
      </c>
      <c r="D374" s="17" t="inlineStr"/>
      <c r="E374" s="17" t="inlineStr">
        <is>
          <t>Nem tartozik ide</t>
        </is>
      </c>
      <c r="F374" s="17" t="inlineStr">
        <is>
          <t>az elmúlt 30 napban</t>
        </is>
      </c>
      <c r="G374" s="17" t="inlineStr">
        <is>
          <t>Más főkategória terméke</t>
        </is>
      </c>
    </row>
    <row r="375">
      <c r="A375" s="17" t="inlineStr">
        <is>
          <t>GRO0714</t>
        </is>
      </c>
      <c r="B375" s="17" t="inlineStr">
        <is>
          <t>BioNova Coco Forte A+B kétkomponensű kókusztáp 1 liter</t>
        </is>
      </c>
      <c r="C375" s="17" t="inlineStr">
        <is>
          <t>–</t>
        </is>
      </c>
      <c r="D375" s="17" t="inlineStr"/>
      <c r="E375" s="17" t="inlineStr">
        <is>
          <t>Nem tartozik ide</t>
        </is>
      </c>
      <c r="F375" s="17" t="inlineStr">
        <is>
          <t>az elmúlt 30 napban</t>
        </is>
      </c>
      <c r="G375" s="17" t="inlineStr">
        <is>
          <t>Más főkategória terméke</t>
        </is>
      </c>
    </row>
    <row r="376">
      <c r="A376" s="17" t="inlineStr">
        <is>
          <t>GRO0715</t>
        </is>
      </c>
      <c r="B376" s="17" t="inlineStr">
        <is>
          <t>BioNova PK 13-14 foszfor-kálium virágzásserkentő 1 liter</t>
        </is>
      </c>
      <c r="C376" s="17" t="inlineStr">
        <is>
          <t>–</t>
        </is>
      </c>
      <c r="D376" s="17" t="inlineStr"/>
      <c r="E376" s="17" t="inlineStr">
        <is>
          <t>Nem tartozik ide</t>
        </is>
      </c>
      <c r="F376" s="17" t="inlineStr">
        <is>
          <t>az elmúlt 30 napban</t>
        </is>
      </c>
      <c r="G376" s="17" t="inlineStr">
        <is>
          <t>Más főkategória terméke</t>
        </is>
      </c>
    </row>
    <row r="377">
      <c r="A377" s="17" t="inlineStr">
        <is>
          <t>GRO0716</t>
        </is>
      </c>
      <c r="B377" s="17" t="inlineStr">
        <is>
          <t>BioNova P 20 folyékony foszforműtrágya foszforhiányra 1 liter</t>
        </is>
      </c>
      <c r="C377" s="17" t="inlineStr">
        <is>
          <t>–</t>
        </is>
      </c>
      <c r="D377" s="17" t="inlineStr"/>
      <c r="E377" s="17" t="inlineStr">
        <is>
          <t>Nem tartozik ide</t>
        </is>
      </c>
      <c r="F377" s="17" t="inlineStr">
        <is>
          <t>az elmúlt 30 napban</t>
        </is>
      </c>
      <c r="G377" s="17" t="inlineStr">
        <is>
          <t>Más főkategória terméke</t>
        </is>
      </c>
    </row>
    <row r="378">
      <c r="A378" s="17" t="inlineStr">
        <is>
          <t>GRO0717</t>
        </is>
      </c>
      <c r="B378" s="17" t="inlineStr">
        <is>
          <t>BioNova K 20 folyékony káliumműtrágya káliumhiányra 1 liter</t>
        </is>
      </c>
      <c r="C378" s="17" t="inlineStr">
        <is>
          <t>–</t>
        </is>
      </c>
      <c r="D378" s="17" t="inlineStr"/>
      <c r="E378" s="17" t="inlineStr">
        <is>
          <t>Nem tartozik ide</t>
        </is>
      </c>
      <c r="F378" s="17" t="inlineStr">
        <is>
          <t>az elmúlt 30 napban</t>
        </is>
      </c>
      <c r="G378" s="17" t="inlineStr">
        <is>
          <t>Más főkategória terméke</t>
        </is>
      </c>
    </row>
    <row r="379">
      <c r="A379" s="17" t="inlineStr">
        <is>
          <t>GRO0718</t>
        </is>
      </c>
      <c r="B379" s="17" t="inlineStr">
        <is>
          <t>BioNova Ca 15 folyékony kalciumműtrágya kalciumhiányra 1 liter</t>
        </is>
      </c>
      <c r="C379" s="17" t="inlineStr">
        <is>
          <t>–</t>
        </is>
      </c>
      <c r="D379" s="17" t="inlineStr"/>
      <c r="E379" s="17" t="inlineStr">
        <is>
          <t>Nem tartozik ide</t>
        </is>
      </c>
      <c r="F379" s="17" t="inlineStr">
        <is>
          <t>az elmúlt 30 napban</t>
        </is>
      </c>
      <c r="G379" s="17" t="inlineStr">
        <is>
          <t>Más főkategória terméke</t>
        </is>
      </c>
    </row>
    <row r="380">
      <c r="A380" s="17" t="inlineStr">
        <is>
          <t>GRO0719</t>
        </is>
      </c>
      <c r="B380" s="17" t="inlineStr">
        <is>
          <t>BioNova MgO 10 folyékony magnéziumműtrágya magnéziumhiányra 1 liter</t>
        </is>
      </c>
      <c r="C380" s="17" t="inlineStr">
        <is>
          <t>–</t>
        </is>
      </c>
      <c r="D380" s="17" t="inlineStr"/>
      <c r="E380" s="17" t="inlineStr">
        <is>
          <t>Nem tartozik ide</t>
        </is>
      </c>
      <c r="F380" s="17" t="inlineStr">
        <is>
          <t>az elmúlt 30 napban</t>
        </is>
      </c>
      <c r="G380" s="17" t="inlineStr">
        <is>
          <t>Más főkategória terméke</t>
        </is>
      </c>
    </row>
    <row r="381">
      <c r="A381" s="17" t="inlineStr">
        <is>
          <t>GRO0720</t>
        </is>
      </c>
      <c r="B381" s="17" t="inlineStr">
        <is>
          <t>BioNova Micromix kelátos mikroelem-keverék nyomelemhiányra 1 liter</t>
        </is>
      </c>
      <c r="C381" s="17" t="inlineStr">
        <is>
          <t>–</t>
        </is>
      </c>
      <c r="D381" s="17" t="inlineStr"/>
      <c r="E381" s="17" t="inlineStr">
        <is>
          <t>Nem tartozik ide</t>
        </is>
      </c>
      <c r="F381" s="17" t="inlineStr">
        <is>
          <t>az elmúlt 30 napban</t>
        </is>
      </c>
      <c r="G381" s="17" t="inlineStr">
        <is>
          <t>Más főkategória terméke</t>
        </is>
      </c>
    </row>
    <row r="382">
      <c r="A382" s="17" t="inlineStr">
        <is>
          <t>GRO0721</t>
        </is>
      </c>
      <c r="B382" s="17" t="inlineStr">
        <is>
          <t>BioNova X-ceL bio növekedés- és virágzásserkentő stimulátor 1 liter</t>
        </is>
      </c>
      <c r="C382" s="17" t="inlineStr">
        <is>
          <t>–</t>
        </is>
      </c>
      <c r="D382" s="17" t="inlineStr"/>
      <c r="E382" s="17" t="inlineStr">
        <is>
          <t>Nem tartozik ide</t>
        </is>
      </c>
      <c r="F382" s="17" t="inlineStr">
        <is>
          <t>az elmúlt 30 napban</t>
        </is>
      </c>
      <c r="G382" s="17" t="inlineStr">
        <is>
          <t>Más főkategória terméke</t>
        </is>
      </c>
    </row>
    <row r="383">
      <c r="A383" s="17" t="inlineStr">
        <is>
          <t>GRO0722</t>
        </is>
      </c>
      <c r="B383" s="17" t="inlineStr">
        <is>
          <t>BioNova Roots gyökérstimulátor huminsavval és algával 1 liter</t>
        </is>
      </c>
      <c r="C383" s="17" t="inlineStr">
        <is>
          <t>–</t>
        </is>
      </c>
      <c r="D383" s="17" t="inlineStr"/>
      <c r="E383" s="17" t="inlineStr">
        <is>
          <t>Nem tartozik ide</t>
        </is>
      </c>
      <c r="F383" s="17" t="inlineStr">
        <is>
          <t>az elmúlt 30 napban</t>
        </is>
      </c>
      <c r="G383" s="17" t="inlineStr">
        <is>
          <t>Más főkategória terméke</t>
        </is>
      </c>
    </row>
    <row r="384">
      <c r="A384" s="17" t="inlineStr">
        <is>
          <t>GRO0723</t>
        </is>
      </c>
      <c r="B384" s="17" t="inlineStr">
        <is>
          <t>BioNova Zym enzimes közegjavító és biokatalizátor 1 liter</t>
        </is>
      </c>
      <c r="C384" s="17" t="inlineStr">
        <is>
          <t>–</t>
        </is>
      </c>
      <c r="D384" s="17" t="inlineStr"/>
      <c r="E384" s="17" t="inlineStr">
        <is>
          <t>Nem tartozik ide</t>
        </is>
      </c>
      <c r="F384" s="17" t="inlineStr">
        <is>
          <t>az elmúlt 30 napban</t>
        </is>
      </c>
      <c r="G384" s="17" t="inlineStr">
        <is>
          <t>Más főkategória terméke</t>
        </is>
      </c>
    </row>
    <row r="385">
      <c r="A385" s="17" t="inlineStr">
        <is>
          <t>GRO0724</t>
        </is>
      </c>
      <c r="B385" s="17" t="inlineStr">
        <is>
          <t>BioNova pH+ kálium-hidroxid alapú pH emelő folyadék 1 liter</t>
        </is>
      </c>
      <c r="C385" s="17" t="inlineStr">
        <is>
          <t>–</t>
        </is>
      </c>
      <c r="D385" s="17" t="inlineStr"/>
      <c r="E385" s="17" t="inlineStr">
        <is>
          <t>Nem tartozik ide</t>
        </is>
      </c>
      <c r="F385" s="17" t="inlineStr">
        <is>
          <t>az elmúlt 30 napban</t>
        </is>
      </c>
      <c r="G385" s="17" t="inlineStr">
        <is>
          <t>Más főkategória terméke</t>
        </is>
      </c>
    </row>
    <row r="386">
      <c r="A386" s="17" t="inlineStr">
        <is>
          <t>GRO0725</t>
        </is>
      </c>
      <c r="B386" s="17" t="inlineStr">
        <is>
          <t>BioNova pH- foszforsav alapú pH csökkentő folyadék 1 liter</t>
        </is>
      </c>
      <c r="C386" s="17" t="inlineStr">
        <is>
          <t>–</t>
        </is>
      </c>
      <c r="D386" s="17" t="inlineStr"/>
      <c r="E386" s="17" t="inlineStr">
        <is>
          <t>Nem tartozik ide</t>
        </is>
      </c>
      <c r="F386" s="17" t="inlineStr">
        <is>
          <t>az elmúlt 30 napban</t>
        </is>
      </c>
      <c r="G386" s="17" t="inlineStr">
        <is>
          <t>Más főkategória terméke</t>
        </is>
      </c>
    </row>
    <row r="387">
      <c r="A387" s="17" t="inlineStr">
        <is>
          <t>GRO0726</t>
        </is>
      </c>
      <c r="B387" s="17" t="inlineStr">
        <is>
          <t>BioNova Autoflower Supermix táp önvirágzó növényekhez 1 liter</t>
        </is>
      </c>
      <c r="C387" s="17" t="inlineStr">
        <is>
          <t>–</t>
        </is>
      </c>
      <c r="D387" s="17" t="inlineStr"/>
      <c r="E387" s="17" t="inlineStr">
        <is>
          <t>Nem tartozik ide</t>
        </is>
      </c>
      <c r="F387" s="17" t="inlineStr">
        <is>
          <t>az elmúlt 30 napban</t>
        </is>
      </c>
      <c r="G387" s="17" t="inlineStr">
        <is>
          <t>Más főkategória terméke</t>
        </is>
      </c>
    </row>
    <row r="388">
      <c r="A388" s="17" t="inlineStr">
        <is>
          <t>GRO0727</t>
        </is>
      </c>
      <c r="B388" s="17" t="inlineStr">
        <is>
          <t>BioNova Soil Supermix 5 liter</t>
        </is>
      </c>
      <c r="C388" s="17" t="inlineStr">
        <is>
          <t>–</t>
        </is>
      </c>
      <c r="D388" s="17" t="inlineStr"/>
      <c r="E388" s="17" t="inlineStr">
        <is>
          <t>Nem tartozik ide</t>
        </is>
      </c>
      <c r="F388" s="17" t="inlineStr">
        <is>
          <t>az elmúlt 30 napban</t>
        </is>
      </c>
      <c r="G388" s="17" t="inlineStr">
        <is>
          <t>Más főkategória terméke</t>
        </is>
      </c>
    </row>
    <row r="389">
      <c r="A389" s="17" t="inlineStr">
        <is>
          <t>GRO0728</t>
        </is>
      </c>
      <c r="B389" s="17" t="inlineStr">
        <is>
          <t>BioNova Hydro Supermix egykomponensű hidropóniás táp 5 liter</t>
        </is>
      </c>
      <c r="C389" s="17" t="inlineStr">
        <is>
          <t>–</t>
        </is>
      </c>
      <c r="D389" s="17" t="inlineStr"/>
      <c r="E389" s="17" t="inlineStr">
        <is>
          <t>Nem tartozik ide</t>
        </is>
      </c>
      <c r="F389" s="17" t="inlineStr">
        <is>
          <t>az elmúlt 30 napban</t>
        </is>
      </c>
      <c r="G389" s="17" t="inlineStr">
        <is>
          <t>Más főkategória terméke</t>
        </is>
      </c>
    </row>
    <row r="390">
      <c r="A390" s="17" t="inlineStr">
        <is>
          <t>GRO0729</t>
        </is>
      </c>
      <c r="B390" s="17" t="inlineStr">
        <is>
          <t>BioNova Nutri Forte A+B Hydro kétkomponensű hidropóniás táp 5 liter</t>
        </is>
      </c>
      <c r="C390" s="17" t="inlineStr">
        <is>
          <t>–</t>
        </is>
      </c>
      <c r="D390" s="17" t="inlineStr"/>
      <c r="E390" s="17" t="inlineStr">
        <is>
          <t>Nem tartozik ide</t>
        </is>
      </c>
      <c r="F390" s="17" t="inlineStr">
        <is>
          <t>az elmúlt 30 napban</t>
        </is>
      </c>
      <c r="G390" s="17" t="inlineStr">
        <is>
          <t>Más főkategória terméke</t>
        </is>
      </c>
    </row>
    <row r="391">
      <c r="A391" s="17" t="inlineStr">
        <is>
          <t>GRO0730</t>
        </is>
      </c>
      <c r="B391" s="17" t="inlineStr">
        <is>
          <t>BioNova Coco Forte A+B kétkomponensű kókusztáp 5 liter</t>
        </is>
      </c>
      <c r="C391" s="17" t="inlineStr">
        <is>
          <t>–</t>
        </is>
      </c>
      <c r="D391" s="17" t="inlineStr"/>
      <c r="E391" s="17" t="inlineStr">
        <is>
          <t>Nem tartozik ide</t>
        </is>
      </c>
      <c r="F391" s="17" t="inlineStr">
        <is>
          <t>az elmúlt 30 napban</t>
        </is>
      </c>
      <c r="G391" s="17" t="inlineStr">
        <is>
          <t>Más főkategória terméke</t>
        </is>
      </c>
    </row>
    <row r="392">
      <c r="A392" s="17" t="inlineStr">
        <is>
          <t>GRO0731</t>
        </is>
      </c>
      <c r="B392" s="17" t="inlineStr">
        <is>
          <t>BioNova PK 13-14 foszfor-kálium virágzásserkentő 5 liter</t>
        </is>
      </c>
      <c r="C392" s="17" t="inlineStr">
        <is>
          <t>–</t>
        </is>
      </c>
      <c r="D392" s="17" t="inlineStr"/>
      <c r="E392" s="17" t="inlineStr">
        <is>
          <t>Nem tartozik ide</t>
        </is>
      </c>
      <c r="F392" s="17" t="inlineStr">
        <is>
          <t>az elmúlt 30 napban</t>
        </is>
      </c>
      <c r="G392" s="17" t="inlineStr">
        <is>
          <t>Más főkategória terméke</t>
        </is>
      </c>
    </row>
    <row r="393">
      <c r="A393" s="17" t="inlineStr">
        <is>
          <t>GRO0732</t>
        </is>
      </c>
      <c r="B393" s="17" t="inlineStr">
        <is>
          <t>BioNova PK 13-14 foszfor-kálium virágzásserkentő 250 ml</t>
        </is>
      </c>
      <c r="C393" s="17" t="inlineStr">
        <is>
          <t>–</t>
        </is>
      </c>
      <c r="D393" s="17" t="inlineStr"/>
      <c r="E393" s="17" t="inlineStr">
        <is>
          <t>Nem tartozik ide</t>
        </is>
      </c>
      <c r="F393" s="17" t="inlineStr">
        <is>
          <t>az elmúlt 30 napban</t>
        </is>
      </c>
      <c r="G393" s="17" t="inlineStr">
        <is>
          <t>Más főkategória terméke</t>
        </is>
      </c>
    </row>
    <row r="394">
      <c r="A394" s="17" t="inlineStr">
        <is>
          <t>GRO0733</t>
        </is>
      </c>
      <c r="B394" s="17" t="inlineStr">
        <is>
          <t>BioNova X-ceL bio növekedés- és virágzásserkentő stimulátor 250 ml</t>
        </is>
      </c>
      <c r="C394" s="17" t="inlineStr">
        <is>
          <t>–</t>
        </is>
      </c>
      <c r="D394" s="17" t="inlineStr"/>
      <c r="E394" s="17" t="inlineStr">
        <is>
          <t>Nem tartozik ide</t>
        </is>
      </c>
      <c r="F394" s="17" t="inlineStr">
        <is>
          <t>az elmúlt 30 napban</t>
        </is>
      </c>
      <c r="G394" s="17" t="inlineStr">
        <is>
          <t>Más főkategória terméke</t>
        </is>
      </c>
    </row>
    <row r="395">
      <c r="A395" s="17" t="inlineStr">
        <is>
          <t>GRO0734</t>
        </is>
      </c>
      <c r="B395" s="17" t="inlineStr">
        <is>
          <t>BioNova The Missing Link (TML) bio stimulátor fulvosavval 250 ml</t>
        </is>
      </c>
      <c r="C395" s="17" t="inlineStr">
        <is>
          <t>–</t>
        </is>
      </c>
      <c r="D395" s="17" t="inlineStr"/>
      <c r="E395" s="17" t="inlineStr">
        <is>
          <t>Nem tartozik ide</t>
        </is>
      </c>
      <c r="F395" s="17" t="inlineStr">
        <is>
          <t>az elmúlt 30 napban</t>
        </is>
      </c>
      <c r="G395" s="17" t="inlineStr">
        <is>
          <t>Más főkategória terméke</t>
        </is>
      </c>
    </row>
    <row r="396">
      <c r="A396" s="17" t="inlineStr">
        <is>
          <t>GRO0735</t>
        </is>
      </c>
      <c r="B396" s="17" t="inlineStr">
        <is>
          <t>BioNova Roots gyökérstimulátor huminsavval és algával 250 ml</t>
        </is>
      </c>
      <c r="C396" s="17" t="inlineStr">
        <is>
          <t>–</t>
        </is>
      </c>
      <c r="D396" s="17" t="inlineStr"/>
      <c r="E396" s="17" t="inlineStr">
        <is>
          <t>Nem tartozik ide</t>
        </is>
      </c>
      <c r="F396" s="17" t="inlineStr">
        <is>
          <t>az elmúlt 30 napban</t>
        </is>
      </c>
      <c r="G396" s="17" t="inlineStr">
        <is>
          <t>Más főkategória terméke</t>
        </is>
      </c>
    </row>
    <row r="397">
      <c r="A397" s="17" t="inlineStr">
        <is>
          <t>GRO0736</t>
        </is>
      </c>
      <c r="B397" s="17" t="inlineStr">
        <is>
          <t>BioNova Zym 250 ml</t>
        </is>
      </c>
      <c r="C397" s="17" t="inlineStr">
        <is>
          <t>–</t>
        </is>
      </c>
      <c r="D397" s="17" t="inlineStr"/>
      <c r="E397" s="17" t="inlineStr">
        <is>
          <t>Nem tartozik ide</t>
        </is>
      </c>
      <c r="F397" s="17" t="inlineStr">
        <is>
          <t>az elmúlt 30 napban</t>
        </is>
      </c>
      <c r="G397" s="17" t="inlineStr">
        <is>
          <t>Más főkategória terméke</t>
        </is>
      </c>
    </row>
    <row r="398">
      <c r="A398" s="17" t="inlineStr">
        <is>
          <t>GRO0745</t>
        </is>
      </c>
      <c r="B398" s="17" t="inlineStr">
        <is>
          <t>BioNova N 27 kloridmentes folyékony nitrogénműtrágya 1 liter</t>
        </is>
      </c>
      <c r="C398" s="17" t="inlineStr">
        <is>
          <t>–</t>
        </is>
      </c>
      <c r="D398" s="17" t="inlineStr"/>
      <c r="E398" s="17" t="inlineStr">
        <is>
          <t>Nem tartozik ide</t>
        </is>
      </c>
      <c r="F398" s="17" t="inlineStr">
        <is>
          <t>az elmúlt 30 napban</t>
        </is>
      </c>
      <c r="G398" s="17" t="inlineStr">
        <is>
          <t>Más főkategória terméke</t>
        </is>
      </c>
    </row>
    <row r="399">
      <c r="A399" s="17" t="inlineStr">
        <is>
          <t>GRO0749</t>
        </is>
      </c>
      <c r="B399" s="17" t="inlineStr">
        <is>
          <t>Plagron Power Roots gyökérerősítő adalék 250 ml</t>
        </is>
      </c>
      <c r="C399" s="17" t="inlineStr">
        <is>
          <t>–</t>
        </is>
      </c>
      <c r="D399" s="17" t="inlineStr"/>
      <c r="E399" s="17" t="inlineStr">
        <is>
          <t>Nem tartozik ide</t>
        </is>
      </c>
      <c r="F399" s="17" t="inlineStr">
        <is>
          <t>az elmúlt 30 napban</t>
        </is>
      </c>
      <c r="G399" s="17" t="inlineStr">
        <is>
          <t>Más főkategória terméke</t>
        </is>
      </c>
    </row>
    <row r="400">
      <c r="A400" s="17" t="inlineStr">
        <is>
          <t>GRO0750</t>
        </is>
      </c>
      <c r="B400" s="17" t="inlineStr">
        <is>
          <t>Advanced Hydroponics Dutch Formula GROW ásványi növekedési alaptáp 500 ml</t>
        </is>
      </c>
      <c r="C400" s="17" t="inlineStr">
        <is>
          <t>–</t>
        </is>
      </c>
      <c r="D400" s="17" t="inlineStr"/>
      <c r="E400" s="17" t="inlineStr">
        <is>
          <t>Nem tartozik ide</t>
        </is>
      </c>
      <c r="F400" s="17" t="inlineStr">
        <is>
          <t>az elmúlt 30 napban</t>
        </is>
      </c>
      <c r="G400" s="17" t="inlineStr">
        <is>
          <t>Más főkategória terméke</t>
        </is>
      </c>
    </row>
    <row r="401">
      <c r="A401" s="17" t="inlineStr">
        <is>
          <t>GRO0751</t>
        </is>
      </c>
      <c r="B401" s="17" t="inlineStr">
        <is>
          <t>Advanced Hydroponics Dutch Formula MICRO mikroelemes alaptáp 500 ml</t>
        </is>
      </c>
      <c r="C401" s="17" t="inlineStr">
        <is>
          <t>–</t>
        </is>
      </c>
      <c r="D401" s="17" t="inlineStr"/>
      <c r="E401" s="17" t="inlineStr">
        <is>
          <t>Nem tartozik ide</t>
        </is>
      </c>
      <c r="F401" s="17" t="inlineStr">
        <is>
          <t>az elmúlt 30 napban</t>
        </is>
      </c>
      <c r="G401" s="17" t="inlineStr">
        <is>
          <t>Más főkategória terméke</t>
        </is>
      </c>
    </row>
    <row r="402">
      <c r="A402" s="17" t="inlineStr">
        <is>
          <t>GRO0752</t>
        </is>
      </c>
      <c r="B402" s="17" t="inlineStr">
        <is>
          <t>Advanced Hydroponics Dutch Formula GROW ásványi növekedési alaptáp 5 liter</t>
        </is>
      </c>
      <c r="C402" s="17" t="inlineStr">
        <is>
          <t>–</t>
        </is>
      </c>
      <c r="D402" s="17" t="inlineStr"/>
      <c r="E402" s="17" t="inlineStr">
        <is>
          <t>Nem tartozik ide</t>
        </is>
      </c>
      <c r="F402" s="17" t="inlineStr">
        <is>
          <t>az elmúlt 30 napban</t>
        </is>
      </c>
      <c r="G402" s="17" t="inlineStr">
        <is>
          <t>Más főkategória terméke</t>
        </is>
      </c>
    </row>
    <row r="403">
      <c r="A403" s="17" t="inlineStr">
        <is>
          <t>GRO0753</t>
        </is>
      </c>
      <c r="B403" s="17" t="inlineStr">
        <is>
          <t>Advanced Hydroponics Dutch Formula BLOOM 5 liter</t>
        </is>
      </c>
      <c r="C403" s="17" t="inlineStr">
        <is>
          <t>–</t>
        </is>
      </c>
      <c r="D403" s="17" t="inlineStr"/>
      <c r="E403" s="17" t="inlineStr">
        <is>
          <t>Nem tartozik ide</t>
        </is>
      </c>
      <c r="F403" s="17" t="inlineStr">
        <is>
          <t>az elmúlt 30 napban</t>
        </is>
      </c>
      <c r="G403" s="17" t="inlineStr">
        <is>
          <t>Más főkategória terméke</t>
        </is>
      </c>
    </row>
    <row r="404">
      <c r="A404" s="17" t="inlineStr">
        <is>
          <t>GRO0754</t>
        </is>
      </c>
      <c r="B404" s="17" t="inlineStr">
        <is>
          <t>Advanced Hydroponics Dutch Formula MICRO mikroelemes alaptáp 5 liter</t>
        </is>
      </c>
      <c r="C404" s="17" t="inlineStr">
        <is>
          <t>–</t>
        </is>
      </c>
      <c r="D404" s="17" t="inlineStr"/>
      <c r="E404" s="17" t="inlineStr">
        <is>
          <t>Nem tartozik ide</t>
        </is>
      </c>
      <c r="F404" s="17" t="inlineStr">
        <is>
          <t>az elmúlt 30 napban</t>
        </is>
      </c>
      <c r="G404" s="17" t="inlineStr">
        <is>
          <t>Más főkategória terméke</t>
        </is>
      </c>
    </row>
    <row r="405">
      <c r="A405" s="17" t="inlineStr">
        <is>
          <t>GRO0759</t>
        </is>
      </c>
      <c r="B405" s="17" t="inlineStr">
        <is>
          <t>Advanced Hydroponics Natural Power Final Solution öblítő szer 1 liter</t>
        </is>
      </c>
      <c r="C405" s="17" t="inlineStr">
        <is>
          <t>–</t>
        </is>
      </c>
      <c r="D405" s="17" t="inlineStr"/>
      <c r="E405" s="17" t="inlineStr">
        <is>
          <t>Nem tartozik ide</t>
        </is>
      </c>
      <c r="F405" s="17" t="inlineStr">
        <is>
          <t>az elmúlt 30 napban</t>
        </is>
      </c>
      <c r="G405" s="17" t="inlineStr">
        <is>
          <t>Más főkategória terméke</t>
        </is>
      </c>
    </row>
    <row r="406">
      <c r="A406" s="17" t="inlineStr">
        <is>
          <t>GRO0770</t>
        </is>
      </c>
      <c r="B406" s="17" t="inlineStr">
        <is>
          <t>Rope Ratchet racsnis reflektor felfüggesztő pár karabinerekkel</t>
        </is>
      </c>
      <c r="C406" s="17" t="inlineStr">
        <is>
          <t>–</t>
        </is>
      </c>
      <c r="D406" s="17" t="inlineStr"/>
      <c r="E406" s="17" t="inlineStr">
        <is>
          <t>Nem tartozik ide</t>
        </is>
      </c>
      <c r="F406" s="17" t="inlineStr">
        <is>
          <t>az elmúlt 30 napban</t>
        </is>
      </c>
      <c r="G406" s="17" t="inlineStr">
        <is>
          <t>Más főkategória terméke</t>
        </is>
      </c>
    </row>
    <row r="407">
      <c r="A407" s="17" t="inlineStr">
        <is>
          <t>GRO0774</t>
        </is>
      </c>
      <c r="B407" s="17" t="inlineStr">
        <is>
          <t>Csíptetős ventilátor 15 W, 19 cm, bilinccsel és támasztékkal</t>
        </is>
      </c>
      <c r="C407" s="17" t="inlineStr">
        <is>
          <t>–</t>
        </is>
      </c>
      <c r="D407" s="17" t="inlineStr"/>
      <c r="E407" s="17" t="inlineStr">
        <is>
          <t>Nem tartozik ide</t>
        </is>
      </c>
      <c r="F407" s="17" t="inlineStr">
        <is>
          <t>az elmúlt 30 napban</t>
        </is>
      </c>
      <c r="G407" s="17" t="inlineStr">
        <is>
          <t>Más főkategória terméke</t>
        </is>
      </c>
    </row>
    <row r="408">
      <c r="A408" s="17" t="inlineStr">
        <is>
          <t>GRO0776</t>
        </is>
      </c>
      <c r="B408" s="17" t="inlineStr">
        <is>
          <t>Vents 100 VKO csőbe szerelhető axiális ventilátor 100 mm, 105 m3/h</t>
        </is>
      </c>
      <c r="C408" s="17" t="inlineStr">
        <is>
          <t>–</t>
        </is>
      </c>
      <c r="D408" s="17" t="inlineStr"/>
      <c r="E408" s="17" t="inlineStr">
        <is>
          <t>Nem tartozik ide</t>
        </is>
      </c>
      <c r="F408" s="17" t="inlineStr">
        <is>
          <t>az elmúlt 30 napban</t>
        </is>
      </c>
      <c r="G408" s="17" t="inlineStr">
        <is>
          <t>Más főkategória terméke</t>
        </is>
      </c>
    </row>
    <row r="409">
      <c r="A409" s="17" t="inlineStr">
        <is>
          <t>GRO0777</t>
        </is>
      </c>
      <c r="B409" s="17" t="inlineStr">
        <is>
          <t>Vents 125 VKO csőbe szerelhető axiális ventilátor 125 mm, 185 m3/h</t>
        </is>
      </c>
      <c r="C409" s="17" t="inlineStr">
        <is>
          <t>–</t>
        </is>
      </c>
      <c r="D409" s="17" t="inlineStr"/>
      <c r="E409" s="17" t="inlineStr">
        <is>
          <t>Nem tartozik ide</t>
        </is>
      </c>
      <c r="F409" s="17" t="inlineStr">
        <is>
          <t>az elmúlt 30 napban</t>
        </is>
      </c>
      <c r="G409" s="17" t="inlineStr">
        <is>
          <t>Más főkategória terméke</t>
        </is>
      </c>
    </row>
    <row r="410">
      <c r="A410" s="17" t="inlineStr">
        <is>
          <t>GRO0778</t>
        </is>
      </c>
      <c r="B410" s="17" t="inlineStr">
        <is>
          <t>Vents 150 VKO csőbe szerelhető axiális ventilátor 150 mm, 298 m3/h</t>
        </is>
      </c>
      <c r="C410" s="17" t="inlineStr">
        <is>
          <t>–</t>
        </is>
      </c>
      <c r="D410" s="17" t="inlineStr"/>
      <c r="E410" s="17" t="inlineStr">
        <is>
          <t>Nem tartozik ide</t>
        </is>
      </c>
      <c r="F410" s="17" t="inlineStr">
        <is>
          <t>az elmúlt 30 napban</t>
        </is>
      </c>
      <c r="G410" s="17" t="inlineStr">
        <is>
          <t>Más főkategória terméke</t>
        </is>
      </c>
    </row>
    <row r="411">
      <c r="A411" s="17" t="inlineStr">
        <is>
          <t>GRO0779</t>
        </is>
      </c>
      <c r="B411" s="17" t="inlineStr">
        <is>
          <t>Vents VK csatornaventilátor VK100 250m3</t>
        </is>
      </c>
      <c r="C411" s="17" t="inlineStr">
        <is>
          <t>–</t>
        </is>
      </c>
      <c r="D411" s="17" t="inlineStr"/>
      <c r="E411" s="17" t="inlineStr">
        <is>
          <t>Nem tartozik ide</t>
        </is>
      </c>
      <c r="F411" s="17" t="inlineStr">
        <is>
          <t>az elmúlt 30 napban</t>
        </is>
      </c>
      <c r="G411" s="17" t="inlineStr">
        <is>
          <t>Más főkategória terméke</t>
        </is>
      </c>
    </row>
    <row r="412">
      <c r="A412" s="17" t="inlineStr">
        <is>
          <t>GRO0780</t>
        </is>
      </c>
      <c r="B412" s="17" t="inlineStr">
        <is>
          <t>Vents VK 125 centrifugális csatornaventilátor 125 mm</t>
        </is>
      </c>
      <c r="C412" s="17" t="inlineStr">
        <is>
          <t>–</t>
        </is>
      </c>
      <c r="D412" s="17" t="inlineStr"/>
      <c r="E412" s="17" t="inlineStr">
        <is>
          <t>Nem tartozik ide</t>
        </is>
      </c>
      <c r="F412" s="17" t="inlineStr">
        <is>
          <t>az elmúlt 30 napban</t>
        </is>
      </c>
      <c r="G412" s="17" t="inlineStr">
        <is>
          <t>Más főkategória terméke</t>
        </is>
      </c>
    </row>
    <row r="413">
      <c r="A413" s="17" t="inlineStr">
        <is>
          <t>GRO0781</t>
        </is>
      </c>
      <c r="B413" s="17" t="inlineStr">
        <is>
          <t>Vents VK 200 centrifugális csatornaventilátor 200 mm, 780 m3/h</t>
        </is>
      </c>
      <c r="C413" s="17" t="inlineStr">
        <is>
          <t>–</t>
        </is>
      </c>
      <c r="D413" s="17" t="inlineStr"/>
      <c r="E413" s="17" t="inlineStr">
        <is>
          <t>Nem tartozik ide</t>
        </is>
      </c>
      <c r="F413" s="17" t="inlineStr">
        <is>
          <t>az elmúlt 30 napban</t>
        </is>
      </c>
      <c r="G413" s="17" t="inlineStr">
        <is>
          <t>Más főkategória terméke</t>
        </is>
      </c>
    </row>
    <row r="414">
      <c r="A414" s="17" t="inlineStr">
        <is>
          <t>GRO0787</t>
        </is>
      </c>
      <c r="B414" s="17" t="inlineStr">
        <is>
          <t>Digitális időkapcsoló 16 programmal, RANDOM és nyári idő funkcióval</t>
        </is>
      </c>
      <c r="C414" s="17" t="inlineStr">
        <is>
          <t>–</t>
        </is>
      </c>
      <c r="D414" s="17" t="inlineStr"/>
      <c r="E414" s="17" t="inlineStr">
        <is>
          <t>Nem tartozik ide</t>
        </is>
      </c>
      <c r="F414" s="17" t="inlineStr">
        <is>
          <t>az elmúlt 30 napban</t>
        </is>
      </c>
      <c r="G414" s="17" t="inlineStr">
        <is>
          <t>Más főkategória terméke</t>
        </is>
      </c>
    </row>
    <row r="415">
      <c r="A415" s="17" t="inlineStr">
        <is>
          <t>GRO0788</t>
        </is>
      </c>
      <c r="B415" s="17" t="inlineStr">
        <is>
          <t>Dimmerkapcsoló ventilátorokhoz és elszívókhoz 0-300 W, konnektorba dugható</t>
        </is>
      </c>
      <c r="C415" s="17" t="inlineStr">
        <is>
          <t>–</t>
        </is>
      </c>
      <c r="D415" s="17" t="inlineStr"/>
      <c r="E415" s="17" t="inlineStr">
        <is>
          <t>Nem tartozik ide</t>
        </is>
      </c>
      <c r="F415" s="17" t="inlineStr">
        <is>
          <t>az elmúlt 30 napban</t>
        </is>
      </c>
      <c r="G415" s="17" t="inlineStr">
        <is>
          <t>Más főkategória terméke</t>
        </is>
      </c>
    </row>
    <row r="416">
      <c r="A416" s="17" t="inlineStr">
        <is>
          <t>GRO0789</t>
        </is>
      </c>
      <c r="B416" s="17" t="inlineStr">
        <is>
          <t>Digitális hőmérséklet-szabályozó termosztát fűtéshez és hűtéshez 3600 W-ig</t>
        </is>
      </c>
      <c r="C416" s="17" t="inlineStr">
        <is>
          <t>–</t>
        </is>
      </c>
      <c r="D416" s="17" t="inlineStr"/>
      <c r="E416" s="17" t="inlineStr">
        <is>
          <t>Nem tartozik ide</t>
        </is>
      </c>
      <c r="F416" s="17" t="inlineStr">
        <is>
          <t>az elmúlt 30 napban</t>
        </is>
      </c>
      <c r="G416" s="17" t="inlineStr">
        <is>
          <t>Más főkategória terméke</t>
        </is>
      </c>
    </row>
    <row r="417">
      <c r="A417" s="17" t="inlineStr">
        <is>
          <t>GRO0790</t>
        </is>
      </c>
      <c r="B417" s="17" t="inlineStr">
        <is>
          <t>Digitális páratartalom-szabályozó párásításhoz és párátlanításhoz 30-90%</t>
        </is>
      </c>
      <c r="C417" s="17" t="inlineStr">
        <is>
          <t>–</t>
        </is>
      </c>
      <c r="D417" s="17" t="inlineStr"/>
      <c r="E417" s="17" t="inlineStr">
        <is>
          <t>Nem tartozik ide</t>
        </is>
      </c>
      <c r="F417" s="17" t="inlineStr">
        <is>
          <t>az elmúlt 30 napban</t>
        </is>
      </c>
      <c r="G417" s="17" t="inlineStr">
        <is>
          <t>Más főkategória terméke</t>
        </is>
      </c>
    </row>
    <row r="418">
      <c r="A418" s="17" t="inlineStr">
        <is>
          <t>GRO0791</t>
        </is>
      </c>
      <c r="B418" s="17" t="inlineStr">
        <is>
          <t>Peltier páramentesítő 250 ml/nap, 500 ml víztartály, kompakt méret</t>
        </is>
      </c>
      <c r="C418" s="17" t="inlineStr">
        <is>
          <t>–</t>
        </is>
      </c>
      <c r="D418" s="17" t="inlineStr"/>
      <c r="E418" s="17" t="inlineStr">
        <is>
          <t>Nem tartozik ide</t>
        </is>
      </c>
      <c r="F418" s="17" t="inlineStr">
        <is>
          <t>az elmúlt 30 napban</t>
        </is>
      </c>
      <c r="G418" s="17" t="inlineStr">
        <is>
          <t>Más főkategória terméke</t>
        </is>
      </c>
    </row>
    <row r="419">
      <c r="A419" s="17" t="inlineStr">
        <is>
          <t>GRO0795</t>
        </is>
      </c>
      <c r="B419" s="17" t="inlineStr">
        <is>
          <t>Digitális hőmérséklet- és páratartalom-mérő kábel nélkül, minimum és maximum kijelzéssel</t>
        </is>
      </c>
      <c r="C419" s="17" t="inlineStr">
        <is>
          <t>–</t>
        </is>
      </c>
      <c r="D419" s="17" t="inlineStr"/>
      <c r="E419" s="17" t="inlineStr">
        <is>
          <t>Nem tartozik ide</t>
        </is>
      </c>
      <c r="F419" s="17" t="inlineStr">
        <is>
          <t>az elmúlt 30 napban</t>
        </is>
      </c>
      <c r="G419" s="17" t="inlineStr">
        <is>
          <t>Más főkategória terméke</t>
        </is>
      </c>
    </row>
    <row r="420">
      <c r="A420" s="17" t="inlineStr">
        <is>
          <t>GRO0796</t>
        </is>
      </c>
      <c r="B420" s="17" t="inlineStr">
        <is>
          <t>Digitális hőmérséklet- és páratartalom-mérő kábellel, minimum és maximum kijelzéssel</t>
        </is>
      </c>
      <c r="C420" s="17" t="inlineStr">
        <is>
          <t>–</t>
        </is>
      </c>
      <c r="D420" s="17" t="inlineStr"/>
      <c r="E420" s="17" t="inlineStr">
        <is>
          <t>Nem tartozik ide</t>
        </is>
      </c>
      <c r="F420" s="17" t="inlineStr">
        <is>
          <t>az elmúlt 30 napban</t>
        </is>
      </c>
      <c r="G420" s="17" t="inlineStr">
        <is>
          <t>Más főkategória terméke</t>
        </is>
      </c>
    </row>
    <row r="421">
      <c r="A421" s="17" t="inlineStr">
        <is>
          <t>GRO0797</t>
        </is>
      </c>
      <c r="B421" s="17" t="inlineStr">
        <is>
          <t>Ozonizátor, ózongenerátor szagtalanításhoz 200 mg/h, 7 W, időzítővel</t>
        </is>
      </c>
      <c r="C421" s="17" t="inlineStr">
        <is>
          <t>–</t>
        </is>
      </c>
      <c r="D421" s="17" t="inlineStr"/>
      <c r="E421" s="17" t="inlineStr">
        <is>
          <t>Nem tartozik ide</t>
        </is>
      </c>
      <c r="F421" s="17" t="inlineStr">
        <is>
          <t>az elmúlt 30 napban</t>
        </is>
      </c>
      <c r="G421" s="17" t="inlineStr">
        <is>
          <t>Más főkategória terméke</t>
        </is>
      </c>
    </row>
    <row r="422">
      <c r="A422" s="17" t="inlineStr">
        <is>
          <t>GRO0798</t>
        </is>
      </c>
      <c r="B422" s="17" t="inlineStr">
        <is>
          <t>OsmoTech fordított ozmózisos vízszűrő 190 l/nap, csapra szerelhető</t>
        </is>
      </c>
      <c r="C422" s="17" t="inlineStr">
        <is>
          <t>–</t>
        </is>
      </c>
      <c r="D422" s="17" t="inlineStr"/>
      <c r="E422" s="17" t="inlineStr">
        <is>
          <t>Nem tartozik ide</t>
        </is>
      </c>
      <c r="F422" s="17" t="inlineStr">
        <is>
          <t>az elmúlt 30 napban</t>
        </is>
      </c>
      <c r="G422" s="17" t="inlineStr">
        <is>
          <t>Más főkategória terméke</t>
        </is>
      </c>
    </row>
    <row r="423">
      <c r="A423" s="17" t="inlineStr">
        <is>
          <t>GRO0799</t>
        </is>
      </c>
      <c r="B423" s="17" t="inlineStr">
        <is>
          <t>Neoprén tartókorong fekete 50 mm</t>
        </is>
      </c>
      <c r="C423" s="17" t="inlineStr">
        <is>
          <t>–</t>
        </is>
      </c>
      <c r="D423" s="17" t="inlineStr"/>
      <c r="E423" s="17" t="inlineStr">
        <is>
          <t>Nem tartozik ide</t>
        </is>
      </c>
      <c r="F423" s="17" t="inlineStr">
        <is>
          <t>2024-10 – 2025-09 (lehet, hogy már nem aktív)</t>
        </is>
      </c>
      <c r="G423" s="17" t="inlineStr">
        <is>
          <t>Más főkategória terméke</t>
        </is>
      </c>
    </row>
    <row r="424">
      <c r="A424" s="17" t="inlineStr">
        <is>
          <t>GRO0801</t>
        </is>
      </c>
      <c r="B424" s="17" t="inlineStr">
        <is>
          <t>Neoprén tartókorong színes 50 mm aeropóniás rendszerekhez</t>
        </is>
      </c>
      <c r="C424" s="17" t="inlineStr">
        <is>
          <t>–</t>
        </is>
      </c>
      <c r="D424" s="17" t="inlineStr"/>
      <c r="E424" s="17" t="inlineStr">
        <is>
          <t>Nem tartozik ide</t>
        </is>
      </c>
      <c r="F424" s="17" t="inlineStr">
        <is>
          <t>az elmúlt 30 napban</t>
        </is>
      </c>
      <c r="G424" s="17" t="inlineStr">
        <is>
          <t>Más főkategória terméke</t>
        </is>
      </c>
    </row>
    <row r="425">
      <c r="A425" s="17" t="inlineStr">
        <is>
          <t>GRO0804</t>
        </is>
      </c>
      <c r="B425" s="17" t="inlineStr">
        <is>
          <t>Propagátor 38x24x19 cm dugványok gyökereztetéséhez és magok csíráztatásához</t>
        </is>
      </c>
      <c r="C425" s="17" t="inlineStr">
        <is>
          <t>–</t>
        </is>
      </c>
      <c r="D425" s="17" t="inlineStr"/>
      <c r="E425" s="17" t="inlineStr">
        <is>
          <t>Nem tartozik ide</t>
        </is>
      </c>
      <c r="F425" s="17" t="inlineStr">
        <is>
          <t>az elmúlt 30 napban</t>
        </is>
      </c>
      <c r="G425" s="17" t="inlineStr">
        <is>
          <t>Más főkategória terméke</t>
        </is>
      </c>
    </row>
    <row r="426">
      <c r="A426" s="17" t="inlineStr">
        <is>
          <t>GRO0807</t>
        </is>
      </c>
      <c r="B426" s="17" t="inlineStr">
        <is>
          <t>Fűthető propagátor 38x24x20 cm beépített fűtéssel, 17–23 °C, klónozáshoz</t>
        </is>
      </c>
      <c r="C426" s="17" t="inlineStr">
        <is>
          <t>–</t>
        </is>
      </c>
      <c r="D426" s="17" t="inlineStr"/>
      <c r="E426" s="17" t="inlineStr">
        <is>
          <t>Nem tartozik ide</t>
        </is>
      </c>
      <c r="F426" s="17" t="inlineStr">
        <is>
          <t>az elmúlt 30 napban</t>
        </is>
      </c>
      <c r="G426" s="17" t="inlineStr">
        <is>
          <t>Más főkategória terméke</t>
        </is>
      </c>
    </row>
    <row r="427">
      <c r="A427" s="17" t="inlineStr">
        <is>
          <t>GRO0810</t>
        </is>
      </c>
      <c r="B427" s="17" t="inlineStr">
        <is>
          <t>Automata öntözőrendszer 10 növényhez, időzítővel és szivattyúval</t>
        </is>
      </c>
      <c r="C427" s="17" t="inlineStr">
        <is>
          <t>–</t>
        </is>
      </c>
      <c r="D427" s="17" t="inlineStr"/>
      <c r="E427" s="17" t="inlineStr">
        <is>
          <t>Nem tartozik ide</t>
        </is>
      </c>
      <c r="F427" s="17" t="inlineStr">
        <is>
          <t>az elmúlt 30 napban</t>
        </is>
      </c>
      <c r="G427" s="17" t="inlineStr">
        <is>
          <t>Más főkategória terméke</t>
        </is>
      </c>
    </row>
    <row r="428">
      <c r="A428" s="17" t="inlineStr">
        <is>
          <t>GRO0811</t>
        </is>
      </c>
      <c r="B428" s="17" t="inlineStr">
        <is>
          <t>Kézi permetező 1 literes műanyag szórófejes flakon növényekhez</t>
        </is>
      </c>
      <c r="C428" s="17" t="inlineStr">
        <is>
          <t>–</t>
        </is>
      </c>
      <c r="D428" s="17" t="inlineStr"/>
      <c r="E428" s="17" t="inlineStr">
        <is>
          <t>Nem tartozik ide</t>
        </is>
      </c>
      <c r="F428" s="17" t="inlineStr">
        <is>
          <t>az elmúlt 30 napban</t>
        </is>
      </c>
      <c r="G428" s="17" t="inlineStr">
        <is>
          <t>Más főkategória terméke</t>
        </is>
      </c>
    </row>
    <row r="429">
      <c r="A429" s="17" t="inlineStr">
        <is>
          <t>GRO0812</t>
        </is>
      </c>
      <c r="B429" s="17" t="inlineStr">
        <is>
          <t>Pumpás permetező 2 literes, tápoldathoz és növényvédő szerekhez</t>
        </is>
      </c>
      <c r="C429" s="17" t="inlineStr">
        <is>
          <t>–</t>
        </is>
      </c>
      <c r="D429" s="17" t="inlineStr"/>
      <c r="E429" s="17" t="inlineStr">
        <is>
          <t>Nem tartozik ide</t>
        </is>
      </c>
      <c r="F429" s="17" t="inlineStr">
        <is>
          <t>az elmúlt 30 napban</t>
        </is>
      </c>
      <c r="G429" s="17" t="inlineStr">
        <is>
          <t>Más főkategória terméke</t>
        </is>
      </c>
    </row>
    <row r="430">
      <c r="A430" s="17" t="inlineStr">
        <is>
          <t>GRO0813</t>
        </is>
      </c>
      <c r="B430" s="17" t="inlineStr">
        <is>
          <t>Pumpás permetező 5 literes állítható szórófejjel, biztonsági szeleppel, hordpánttal</t>
        </is>
      </c>
      <c r="C430" s="17" t="inlineStr">
        <is>
          <t>–</t>
        </is>
      </c>
      <c r="D430" s="17" t="inlineStr"/>
      <c r="E430" s="17" t="inlineStr">
        <is>
          <t>Nem tartozik ide</t>
        </is>
      </c>
      <c r="F430" s="17" t="inlineStr">
        <is>
          <t>az elmúlt 30 napban</t>
        </is>
      </c>
      <c r="G430" s="17" t="inlineStr">
        <is>
          <t>Más főkategória terméke</t>
        </is>
      </c>
    </row>
    <row r="431">
      <c r="A431" s="17" t="inlineStr">
        <is>
          <t>GRO0814</t>
        </is>
      </c>
      <c r="B431" s="17" t="inlineStr">
        <is>
          <t>Alumínium keret dán tálcához 101x111x47 cm, L szelvényes állvány</t>
        </is>
      </c>
      <c r="C431" s="17" t="inlineStr">
        <is>
          <t>–</t>
        </is>
      </c>
      <c r="D431" s="17" t="inlineStr"/>
      <c r="E431" s="17" t="inlineStr">
        <is>
          <t>Nem tartozik ide</t>
        </is>
      </c>
      <c r="F431" s="17" t="inlineStr">
        <is>
          <t>az elmúlt 30 napban</t>
        </is>
      </c>
      <c r="G431" s="17" t="inlineStr">
        <is>
          <t>Más főkategória terméke</t>
        </is>
      </c>
    </row>
    <row r="432">
      <c r="A432" s="17" t="inlineStr">
        <is>
          <t>GRO0815</t>
        </is>
      </c>
      <c r="B432" s="17" t="inlineStr">
        <is>
          <t>Alumínium keret dán tálcához 101x204x47 cm, L szelvényes állvány</t>
        </is>
      </c>
      <c r="C432" s="17" t="inlineStr">
        <is>
          <t>–</t>
        </is>
      </c>
      <c r="D432" s="17" t="inlineStr"/>
      <c r="E432" s="17" t="inlineStr">
        <is>
          <t>Nem tartozik ide</t>
        </is>
      </c>
      <c r="F432" s="17" t="inlineStr">
        <is>
          <t>az elmúlt 30 napban</t>
        </is>
      </c>
      <c r="G432" s="17" t="inlineStr">
        <is>
          <t>Más főkategória terméke</t>
        </is>
      </c>
    </row>
    <row r="433">
      <c r="A433" s="17" t="inlineStr">
        <is>
          <t>GRO0816</t>
        </is>
      </c>
      <c r="B433" s="17" t="inlineStr">
        <is>
          <t>Cultibox Combi termesztősátor 120 x 120 x 200 cm, moduláris, összekapcsolható grow box</t>
        </is>
      </c>
      <c r="C433" s="17" t="inlineStr">
        <is>
          <t>–</t>
        </is>
      </c>
      <c r="D433" s="17" t="inlineStr"/>
      <c r="E433" s="17" t="inlineStr">
        <is>
          <t>Nem tartozik ide</t>
        </is>
      </c>
      <c r="F433" s="17" t="inlineStr">
        <is>
          <t>az elmúlt 30 napban</t>
        </is>
      </c>
      <c r="G433" s="17" t="inlineStr">
        <is>
          <t>Más főkategória terméke</t>
        </is>
      </c>
    </row>
    <row r="434">
      <c r="A434" s="17" t="inlineStr">
        <is>
          <t>GRO0817</t>
        </is>
      </c>
      <c r="B434" s="17" t="inlineStr">
        <is>
          <t>Cultibox Combi termesztősátor 80 x 80 x 160 cm, moduláris, összekapcsolható grow box</t>
        </is>
      </c>
      <c r="C434" s="17" t="inlineStr">
        <is>
          <t>–</t>
        </is>
      </c>
      <c r="D434" s="17" t="inlineStr"/>
      <c r="E434" s="17" t="inlineStr">
        <is>
          <t>Nem tartozik ide</t>
        </is>
      </c>
      <c r="F434" s="17" t="inlineStr">
        <is>
          <t>az elmúlt 30 napban</t>
        </is>
      </c>
      <c r="G434" s="17" t="inlineStr">
        <is>
          <t>Más főkategória terméke</t>
        </is>
      </c>
    </row>
    <row r="435">
      <c r="A435" s="17" t="inlineStr">
        <is>
          <t>GRO0821</t>
        </is>
      </c>
      <c r="B435" s="17" t="inlineStr">
        <is>
          <t>Mikroszkóp mini 100x LED</t>
        </is>
      </c>
      <c r="C435" s="17" t="inlineStr">
        <is>
          <t>–</t>
        </is>
      </c>
      <c r="D435" s="17" t="inlineStr"/>
      <c r="E435" s="17" t="inlineStr">
        <is>
          <t>Nem tartozik ide</t>
        </is>
      </c>
      <c r="F435" s="17" t="inlineStr">
        <is>
          <t>az elmúlt 30 napban</t>
        </is>
      </c>
      <c r="G435" s="17" t="inlineStr">
        <is>
          <t>Más főkategória terméke</t>
        </is>
      </c>
    </row>
    <row r="436">
      <c r="A436" s="17" t="inlineStr">
        <is>
          <t>GRO0825</t>
        </is>
      </c>
      <c r="B436" s="17" t="inlineStr">
        <is>
          <t>Fekete-ezüst fényvisszaverő fólia gyémántmintás, 110 μm, 1,20 m széles, méterre</t>
        </is>
      </c>
      <c r="C436" s="17" t="inlineStr">
        <is>
          <t>–</t>
        </is>
      </c>
      <c r="D436" s="17" t="inlineStr"/>
      <c r="E436" s="17" t="inlineStr">
        <is>
          <t>Nem tartozik ide</t>
        </is>
      </c>
      <c r="F436" s="17" t="inlineStr">
        <is>
          <t>az elmúlt 30 napban</t>
        </is>
      </c>
      <c r="G436" s="17" t="inlineStr">
        <is>
          <t>Más főkategória terméke</t>
        </is>
      </c>
    </row>
    <row r="437">
      <c r="A437" s="17" t="inlineStr">
        <is>
          <t>GRO0826</t>
        </is>
      </c>
      <c r="B437" s="17" t="inlineStr">
        <is>
          <t>Szárítóháló 55 cm termés és növényi részek szárításához</t>
        </is>
      </c>
      <c r="C437" s="17" t="inlineStr">
        <is>
          <t>–</t>
        </is>
      </c>
      <c r="D437" s="17" t="inlineStr"/>
      <c r="E437" s="17" t="inlineStr">
        <is>
          <t>Nem tartozik ide</t>
        </is>
      </c>
      <c r="F437" s="17" t="inlineStr">
        <is>
          <t>az elmúlt 30 napban</t>
        </is>
      </c>
      <c r="G437" s="17" t="inlineStr">
        <is>
          <t>Más főkategória terméke</t>
        </is>
      </c>
    </row>
    <row r="438">
      <c r="A438" s="17" t="inlineStr">
        <is>
          <t>GRO0827</t>
        </is>
      </c>
      <c r="B438" s="17" t="inlineStr">
        <is>
          <t>Szárítóháló 90 cm termés és növényi részek szárításához</t>
        </is>
      </c>
      <c r="C438" s="17" t="inlineStr">
        <is>
          <t>–</t>
        </is>
      </c>
      <c r="D438" s="17" t="inlineStr"/>
      <c r="E438" s="17" t="inlineStr">
        <is>
          <t>Nem tartozik ide</t>
        </is>
      </c>
      <c r="F438" s="17" t="inlineStr">
        <is>
          <t>az elmúlt 30 napban</t>
        </is>
      </c>
      <c r="G438" s="17" t="inlineStr">
        <is>
          <t>Más főkategória terméke</t>
        </is>
      </c>
    </row>
    <row r="439">
      <c r="A439" s="17" t="inlineStr">
        <is>
          <t>GRO0828</t>
        </is>
      </c>
      <c r="B439" s="17" t="inlineStr">
        <is>
          <t>CANNA PK 13/14 foszfor-kálium virágzásserkentő 250 ml</t>
        </is>
      </c>
      <c r="C439" s="17" t="inlineStr">
        <is>
          <t>–</t>
        </is>
      </c>
      <c r="D439" s="17" t="inlineStr"/>
      <c r="E439" s="17" t="inlineStr">
        <is>
          <t>Nem tartozik ide</t>
        </is>
      </c>
      <c r="F439" s="17" t="inlineStr">
        <is>
          <t>az elmúlt 30 napban</t>
        </is>
      </c>
      <c r="G439" s="17" t="inlineStr">
        <is>
          <t>Más főkategória terméke</t>
        </is>
      </c>
    </row>
    <row r="440">
      <c r="A440" s="17" t="inlineStr">
        <is>
          <t>GRO0829</t>
        </is>
      </c>
      <c r="B440" s="17" t="inlineStr">
        <is>
          <t>CANNA Terra Vega ásványi növekedési táp földhöz 10 liter</t>
        </is>
      </c>
      <c r="C440" s="17" t="inlineStr">
        <is>
          <t>–</t>
        </is>
      </c>
      <c r="D440" s="17" t="inlineStr"/>
      <c r="E440" s="17" t="inlineStr">
        <is>
          <t>Nem tartozik ide</t>
        </is>
      </c>
      <c r="F440" s="17" t="inlineStr">
        <is>
          <t>az elmúlt 30 napban</t>
        </is>
      </c>
      <c r="G440" s="17" t="inlineStr">
        <is>
          <t>Más főkategória terméke</t>
        </is>
      </c>
    </row>
    <row r="441">
      <c r="A441" s="17" t="inlineStr">
        <is>
          <t>GRO0835</t>
        </is>
      </c>
      <c r="B441" s="17" t="inlineStr">
        <is>
          <t>Adjust-A-Wing kiegészítő E40 foglalat Medium és Large reflektorhoz</t>
        </is>
      </c>
      <c r="C441" s="17" t="inlineStr">
        <is>
          <t>–</t>
        </is>
      </c>
      <c r="D441" s="17" t="inlineStr"/>
      <c r="E441" s="17" t="inlineStr">
        <is>
          <t>Nem tartozik ide</t>
        </is>
      </c>
      <c r="F441" s="17" t="inlineStr">
        <is>
          <t>az elmúlt 30 napban</t>
        </is>
      </c>
      <c r="G441" s="17" t="inlineStr">
        <is>
          <t>Más főkategória terméke</t>
        </is>
      </c>
    </row>
    <row r="442">
      <c r="A442" s="17" t="inlineStr">
        <is>
          <t>GRO0847</t>
        </is>
      </c>
      <c r="B442" s="17" t="inlineStr">
        <is>
          <t>CANNA Rhizotonic tengeri alga alapú gyökérserkentő 500 ml</t>
        </is>
      </c>
      <c r="C442" s="17" t="inlineStr">
        <is>
          <t>–</t>
        </is>
      </c>
      <c r="D442" s="17" t="inlineStr"/>
      <c r="E442" s="17" t="inlineStr">
        <is>
          <t>Nem tartozik ide</t>
        </is>
      </c>
      <c r="F442" s="17" t="inlineStr">
        <is>
          <t>az elmúlt 30 napban</t>
        </is>
      </c>
      <c r="G442" s="17" t="inlineStr">
        <is>
          <t>Más főkategória terméke</t>
        </is>
      </c>
    </row>
    <row r="443">
      <c r="A443" s="17" t="inlineStr">
        <is>
          <t>GRO0848</t>
        </is>
      </c>
      <c r="B443" s="17" t="inlineStr">
        <is>
          <t>Kókusztégla mosott 650 g</t>
        </is>
      </c>
      <c r="C443" s="17" t="inlineStr">
        <is>
          <t>–</t>
        </is>
      </c>
      <c r="D443" s="17" t="inlineStr"/>
      <c r="E443" s="17" t="inlineStr">
        <is>
          <t>Nem tartozik ide</t>
        </is>
      </c>
      <c r="F443" s="17" t="inlineStr">
        <is>
          <t>az elmúlt 6 hónapban</t>
        </is>
      </c>
      <c r="G443" s="17" t="inlineStr">
        <is>
          <t>Más főkategória terméke</t>
        </is>
      </c>
    </row>
    <row r="444">
      <c r="A444" s="17" t="inlineStr">
        <is>
          <t>GRO0852</t>
        </is>
      </c>
      <c r="B444" s="17" t="inlineStr">
        <is>
          <t>Plagron Alga Bloom algás bio virágzási táp földhöz 500 ml</t>
        </is>
      </c>
      <c r="C444" s="17" t="inlineStr">
        <is>
          <t>–</t>
        </is>
      </c>
      <c r="D444" s="17" t="inlineStr"/>
      <c r="E444" s="17" t="inlineStr">
        <is>
          <t>Nem tartozik ide</t>
        </is>
      </c>
      <c r="F444" s="17" t="inlineStr">
        <is>
          <t>az elmúlt 30 napban</t>
        </is>
      </c>
      <c r="G444" s="17" t="inlineStr">
        <is>
          <t>Más főkategória terméke</t>
        </is>
      </c>
    </row>
    <row r="445">
      <c r="A445" s="17" t="inlineStr">
        <is>
          <t>GRO0853</t>
        </is>
      </c>
      <c r="B445" s="17" t="inlineStr">
        <is>
          <t>Plagron Alga Bloom algás bio virágzási táp földhöz 1 liter</t>
        </is>
      </c>
      <c r="C445" s="17" t="inlineStr">
        <is>
          <t>–</t>
        </is>
      </c>
      <c r="D445" s="17" t="inlineStr"/>
      <c r="E445" s="17" t="inlineStr">
        <is>
          <t>Nem tartozik ide</t>
        </is>
      </c>
      <c r="F445" s="17" t="inlineStr">
        <is>
          <t>az elmúlt 30 napban</t>
        </is>
      </c>
      <c r="G445" s="17" t="inlineStr">
        <is>
          <t>Más főkategória terméke</t>
        </is>
      </c>
    </row>
    <row r="446">
      <c r="A446" s="17" t="inlineStr">
        <is>
          <t>GRO0854</t>
        </is>
      </c>
      <c r="B446" s="17" t="inlineStr">
        <is>
          <t>Plagron Alga Bloom algás bio virágzási táp földhöz 5 liter</t>
        </is>
      </c>
      <c r="C446" s="17" t="inlineStr">
        <is>
          <t>–</t>
        </is>
      </c>
      <c r="D446" s="17" t="inlineStr"/>
      <c r="E446" s="17" t="inlineStr">
        <is>
          <t>Nem tartozik ide</t>
        </is>
      </c>
      <c r="F446" s="17" t="inlineStr">
        <is>
          <t>az elmúlt 30 napban</t>
        </is>
      </c>
      <c r="G446" s="17" t="inlineStr">
        <is>
          <t>Más főkategória terméke</t>
        </is>
      </c>
    </row>
    <row r="447">
      <c r="A447" s="17" t="inlineStr">
        <is>
          <t>GRO0856</t>
        </is>
      </c>
      <c r="B447" s="17" t="inlineStr">
        <is>
          <t>Plagron Alga Grow algás bio növekedési táp földhöz 0,5 liter</t>
        </is>
      </c>
      <c r="C447" s="17" t="inlineStr">
        <is>
          <t>–</t>
        </is>
      </c>
      <c r="D447" s="17" t="inlineStr"/>
      <c r="E447" s="17" t="inlineStr">
        <is>
          <t>Nem tartozik ide</t>
        </is>
      </c>
      <c r="F447" s="17" t="inlineStr">
        <is>
          <t>az elmúlt 30 napban</t>
        </is>
      </c>
      <c r="G447" s="17" t="inlineStr">
        <is>
          <t>Más főkategória terméke</t>
        </is>
      </c>
    </row>
    <row r="448">
      <c r="A448" s="17" t="inlineStr">
        <is>
          <t>GRO0857</t>
        </is>
      </c>
      <c r="B448" s="17" t="inlineStr">
        <is>
          <t>Plagron Alga Grow algás bio növekedési táp földhöz 1 liter</t>
        </is>
      </c>
      <c r="C448" s="17" t="inlineStr">
        <is>
          <t>–</t>
        </is>
      </c>
      <c r="D448" s="17" t="inlineStr"/>
      <c r="E448" s="17" t="inlineStr">
        <is>
          <t>Nem tartozik ide</t>
        </is>
      </c>
      <c r="F448" s="17" t="inlineStr">
        <is>
          <t>az elmúlt 30 napban</t>
        </is>
      </c>
      <c r="G448" s="17" t="inlineStr">
        <is>
          <t>Más főkategória terméke</t>
        </is>
      </c>
    </row>
    <row r="449">
      <c r="A449" s="17" t="inlineStr">
        <is>
          <t>GRO0858</t>
        </is>
      </c>
      <c r="B449" s="17" t="inlineStr">
        <is>
          <t>Plagron Alga Grow algás bio növekedési táp földhöz 5 liter</t>
        </is>
      </c>
      <c r="C449" s="17" t="inlineStr">
        <is>
          <t>–</t>
        </is>
      </c>
      <c r="D449" s="17" t="inlineStr"/>
      <c r="E449" s="17" t="inlineStr">
        <is>
          <t>Nem tartozik ide</t>
        </is>
      </c>
      <c r="F449" s="17" t="inlineStr">
        <is>
          <t>az elmúlt 30 napban</t>
        </is>
      </c>
      <c r="G449" s="17" t="inlineStr">
        <is>
          <t>Más főkategória terméke</t>
        </is>
      </c>
    </row>
    <row r="450">
      <c r="A450" s="17" t="inlineStr">
        <is>
          <t>GRO0859</t>
        </is>
      </c>
      <c r="B450" s="17" t="inlineStr">
        <is>
          <t>Plagron Green Sensation booster virágzásfokozó 100 ml</t>
        </is>
      </c>
      <c r="C450" s="17" t="inlineStr">
        <is>
          <t>–</t>
        </is>
      </c>
      <c r="D450" s="17" t="inlineStr"/>
      <c r="E450" s="17" t="inlineStr">
        <is>
          <t>Nem tartozik ide</t>
        </is>
      </c>
      <c r="F450" s="17" t="inlineStr">
        <is>
          <t>az elmúlt 30 napban</t>
        </is>
      </c>
      <c r="G450" s="17" t="inlineStr">
        <is>
          <t>Más főkategória terméke</t>
        </is>
      </c>
    </row>
    <row r="451">
      <c r="A451" s="17" t="inlineStr">
        <is>
          <t>GRO0860</t>
        </is>
      </c>
      <c r="B451" s="17" t="inlineStr">
        <is>
          <t>Plagron Green Sensation booster virágzásfokozó 250 ml</t>
        </is>
      </c>
      <c r="C451" s="17" t="inlineStr">
        <is>
          <t>–</t>
        </is>
      </c>
      <c r="D451" s="17" t="inlineStr"/>
      <c r="E451" s="17" t="inlineStr">
        <is>
          <t>Nem tartozik ide</t>
        </is>
      </c>
      <c r="F451" s="17" t="inlineStr">
        <is>
          <t>az elmúlt 30 napban</t>
        </is>
      </c>
      <c r="G451" s="17" t="inlineStr">
        <is>
          <t>Más főkategória terméke</t>
        </is>
      </c>
    </row>
    <row r="452">
      <c r="A452" s="17" t="inlineStr">
        <is>
          <t>GRO0861</t>
        </is>
      </c>
      <c r="B452" s="17" t="inlineStr">
        <is>
          <t>Plagron Green Sensation booster virágzásfokozó 1 liter</t>
        </is>
      </c>
      <c r="C452" s="17" t="inlineStr">
        <is>
          <t>–</t>
        </is>
      </c>
      <c r="D452" s="17" t="inlineStr"/>
      <c r="E452" s="17" t="inlineStr">
        <is>
          <t>Nem tartozik ide</t>
        </is>
      </c>
      <c r="F452" s="17" t="inlineStr">
        <is>
          <t>az elmúlt 30 napban</t>
        </is>
      </c>
      <c r="G452" s="17" t="inlineStr">
        <is>
          <t>Más főkategória terméke</t>
        </is>
      </c>
    </row>
    <row r="453">
      <c r="A453" s="17" t="inlineStr">
        <is>
          <t>GRO0862</t>
        </is>
      </c>
      <c r="B453" s="17" t="inlineStr">
        <is>
          <t>Plagron Green Sensation booster virágzásfokozó 5 liter</t>
        </is>
      </c>
      <c r="C453" s="17" t="inlineStr">
        <is>
          <t>–</t>
        </is>
      </c>
      <c r="D453" s="17" t="inlineStr"/>
      <c r="E453" s="17" t="inlineStr">
        <is>
          <t>Nem tartozik ide</t>
        </is>
      </c>
      <c r="F453" s="17" t="inlineStr">
        <is>
          <t>az elmúlt 30 napban</t>
        </is>
      </c>
      <c r="G453" s="17" t="inlineStr">
        <is>
          <t>Más főkategória terméke</t>
        </is>
      </c>
    </row>
    <row r="454">
      <c r="A454" s="17" t="inlineStr">
        <is>
          <t>GRO0865</t>
        </is>
      </c>
      <c r="B454" s="17" t="inlineStr">
        <is>
          <t>Plagron Vita Race vasas levélpermet 1 liter</t>
        </is>
      </c>
      <c r="C454" s="17" t="inlineStr">
        <is>
          <t>–</t>
        </is>
      </c>
      <c r="D454" s="17" t="inlineStr"/>
      <c r="E454" s="17" t="inlineStr">
        <is>
          <t>Nem tartozik ide</t>
        </is>
      </c>
      <c r="F454" s="17" t="inlineStr">
        <is>
          <t>az elmúlt 30 napban</t>
        </is>
      </c>
      <c r="G454" s="17" t="inlineStr">
        <is>
          <t>Más főkategória terméke</t>
        </is>
      </c>
    </row>
    <row r="455">
      <c r="A455" s="17" t="inlineStr">
        <is>
          <t>GRO0866</t>
        </is>
      </c>
      <c r="B455" s="17" t="inlineStr">
        <is>
          <t>Plagron Power Roots gyökérerősítő adalék 1 liter</t>
        </is>
      </c>
      <c r="C455" s="17" t="inlineStr">
        <is>
          <t>–</t>
        </is>
      </c>
      <c r="D455" s="17" t="inlineStr"/>
      <c r="E455" s="17" t="inlineStr">
        <is>
          <t>Nem tartozik ide</t>
        </is>
      </c>
      <c r="F455" s="17" t="inlineStr">
        <is>
          <t>az elmúlt 30 napban</t>
        </is>
      </c>
      <c r="G455" s="17" t="inlineStr">
        <is>
          <t>Más főkategória terméke</t>
        </is>
      </c>
    </row>
    <row r="456">
      <c r="A456" s="17" t="inlineStr">
        <is>
          <t>GRO0867</t>
        </is>
      </c>
      <c r="B456" s="17" t="inlineStr">
        <is>
          <t>Plagron Terra Grow ásványi növekedési táp földhöz 100 ml</t>
        </is>
      </c>
      <c r="C456" s="17" t="inlineStr">
        <is>
          <t>–</t>
        </is>
      </c>
      <c r="D456" s="17" t="inlineStr"/>
      <c r="E456" s="17" t="inlineStr">
        <is>
          <t>Nem tartozik ide</t>
        </is>
      </c>
      <c r="F456" s="17" t="inlineStr">
        <is>
          <t>az elmúlt 30 napban</t>
        </is>
      </c>
      <c r="G456" s="17" t="inlineStr">
        <is>
          <t>Más főkategória terméke</t>
        </is>
      </c>
    </row>
    <row r="457">
      <c r="A457" s="17" t="inlineStr">
        <is>
          <t>GRO0868</t>
        </is>
      </c>
      <c r="B457" s="17" t="inlineStr">
        <is>
          <t>Plagron Pure Zym enzimes talajjavító 250 ml</t>
        </is>
      </c>
      <c r="C457" s="17" t="inlineStr">
        <is>
          <t>–</t>
        </is>
      </c>
      <c r="D457" s="17" t="inlineStr"/>
      <c r="E457" s="17" t="inlineStr">
        <is>
          <t>Nem tartozik ide</t>
        </is>
      </c>
      <c r="F457" s="17" t="inlineStr">
        <is>
          <t>az elmúlt 30 napban</t>
        </is>
      </c>
      <c r="G457" s="17" t="inlineStr">
        <is>
          <t>Más főkategória terméke</t>
        </is>
      </c>
    </row>
    <row r="458">
      <c r="A458" s="17" t="inlineStr">
        <is>
          <t>GRO0869</t>
        </is>
      </c>
      <c r="B458" s="17" t="inlineStr">
        <is>
          <t>Plagron Pure Zym 100 ml</t>
        </is>
      </c>
      <c r="C458" s="17" t="inlineStr">
        <is>
          <t>–</t>
        </is>
      </c>
      <c r="D458" s="17" t="inlineStr"/>
      <c r="E458" s="17" t="inlineStr">
        <is>
          <t>Nem tartozik ide</t>
        </is>
      </c>
      <c r="F458" s="17" t="inlineStr">
        <is>
          <t>2024-10 – 2025-09 (lehet, hogy már nem aktív)</t>
        </is>
      </c>
      <c r="G458" s="17" t="inlineStr">
        <is>
          <t>Más főkategória terméke</t>
        </is>
      </c>
    </row>
    <row r="459">
      <c r="A459" s="17" t="inlineStr">
        <is>
          <t>GRO0870</t>
        </is>
      </c>
      <c r="B459" s="17" t="inlineStr">
        <is>
          <t>Plagron Pure Zym enzimes talajjavító 5 liter</t>
        </is>
      </c>
      <c r="C459" s="17" t="inlineStr">
        <is>
          <t>–</t>
        </is>
      </c>
      <c r="D459" s="17" t="inlineStr"/>
      <c r="E459" s="17" t="inlineStr">
        <is>
          <t>Nem tartozik ide</t>
        </is>
      </c>
      <c r="F459" s="17" t="inlineStr">
        <is>
          <t>az elmúlt 30 napban</t>
        </is>
      </c>
      <c r="G459" s="17" t="inlineStr">
        <is>
          <t>Más főkategória terméke</t>
        </is>
      </c>
    </row>
    <row r="460">
      <c r="A460" s="17" t="inlineStr">
        <is>
          <t>GRO0871</t>
        </is>
      </c>
      <c r="B460" s="17" t="inlineStr">
        <is>
          <t>Plagron Terra Bloom ásványi virágzási táp földhöz 10 liter</t>
        </is>
      </c>
      <c r="C460" s="17" t="inlineStr">
        <is>
          <t>–</t>
        </is>
      </c>
      <c r="D460" s="17" t="inlineStr"/>
      <c r="E460" s="17" t="inlineStr">
        <is>
          <t>Nem tartozik ide</t>
        </is>
      </c>
      <c r="F460" s="17" t="inlineStr">
        <is>
          <t>az elmúlt 30 napban</t>
        </is>
      </c>
      <c r="G460" s="17" t="inlineStr">
        <is>
          <t>Más főkategória terméke</t>
        </is>
      </c>
    </row>
    <row r="461">
      <c r="A461" s="17" t="inlineStr">
        <is>
          <t>GRO0872</t>
        </is>
      </c>
      <c r="B461" s="17" t="inlineStr">
        <is>
          <t>Plagron Terra Grow ásványi növekedési táp földhöz 10 liter</t>
        </is>
      </c>
      <c r="C461" s="17" t="inlineStr">
        <is>
          <t>–</t>
        </is>
      </c>
      <c r="D461" s="17" t="inlineStr"/>
      <c r="E461" s="17" t="inlineStr">
        <is>
          <t>Nem tartozik ide</t>
        </is>
      </c>
      <c r="F461" s="17" t="inlineStr">
        <is>
          <t>az elmúlt 30 napban</t>
        </is>
      </c>
      <c r="G461" s="17" t="inlineStr">
        <is>
          <t>Más főkategória terméke</t>
        </is>
      </c>
    </row>
    <row r="462">
      <c r="A462" s="17" t="inlineStr">
        <is>
          <t>GRO0874</t>
        </is>
      </c>
      <c r="B462" s="17" t="inlineStr">
        <is>
          <t>Plagron Cocos A/B kétkomponensű ásványi alaptáp kókuszhoz 1 liter</t>
        </is>
      </c>
      <c r="C462" s="17" t="inlineStr">
        <is>
          <t>–</t>
        </is>
      </c>
      <c r="D462" s="17" t="inlineStr"/>
      <c r="E462" s="17" t="inlineStr">
        <is>
          <t>Nem tartozik ide</t>
        </is>
      </c>
      <c r="F462" s="17" t="inlineStr">
        <is>
          <t>az elmúlt 30 napban</t>
        </is>
      </c>
      <c r="G462" s="17" t="inlineStr">
        <is>
          <t>Más főkategória terméke</t>
        </is>
      </c>
    </row>
    <row r="463">
      <c r="A463" s="17" t="inlineStr">
        <is>
          <t>GRO0879</t>
        </is>
      </c>
      <c r="B463" s="17" t="inlineStr">
        <is>
          <t>Plagron Sugar Royal aminosavas booster az ízért és illatért 100 ml</t>
        </is>
      </c>
      <c r="C463" s="17" t="inlineStr">
        <is>
          <t>–</t>
        </is>
      </c>
      <c r="D463" s="17" t="inlineStr"/>
      <c r="E463" s="17" t="inlineStr">
        <is>
          <t>Nem tartozik ide</t>
        </is>
      </c>
      <c r="F463" s="17" t="inlineStr">
        <is>
          <t>az elmúlt 30 napban</t>
        </is>
      </c>
      <c r="G463" s="17" t="inlineStr">
        <is>
          <t>Más főkategória terméke</t>
        </is>
      </c>
    </row>
    <row r="464">
      <c r="A464" s="17" t="inlineStr">
        <is>
          <t>GRO0880</t>
        </is>
      </c>
      <c r="B464" s="17" t="inlineStr">
        <is>
          <t>Plagron Sugar Royal aminosavas booster az ízért és illatért 250 ml</t>
        </is>
      </c>
      <c r="C464" s="17" t="inlineStr">
        <is>
          <t>–</t>
        </is>
      </c>
      <c r="D464" s="17" t="inlineStr"/>
      <c r="E464" s="17" t="inlineStr">
        <is>
          <t>Nem tartozik ide</t>
        </is>
      </c>
      <c r="F464" s="17" t="inlineStr">
        <is>
          <t>az elmúlt 30 napban</t>
        </is>
      </c>
      <c r="G464" s="17" t="inlineStr">
        <is>
          <t>Más főkategória terméke</t>
        </is>
      </c>
    </row>
    <row r="465">
      <c r="A465" s="17" t="inlineStr">
        <is>
          <t>GRO0881</t>
        </is>
      </c>
      <c r="B465" s="17" t="inlineStr">
        <is>
          <t>Plagron Sugar Royal aminosavas booster az ízért és illatért 1 liter</t>
        </is>
      </c>
      <c r="C465" s="17" t="inlineStr">
        <is>
          <t>–</t>
        </is>
      </c>
      <c r="D465" s="17" t="inlineStr"/>
      <c r="E465" s="17" t="inlineStr">
        <is>
          <t>Nem tartozik ide</t>
        </is>
      </c>
      <c r="F465" s="17" t="inlineStr">
        <is>
          <t>az elmúlt 30 napban</t>
        </is>
      </c>
      <c r="G465" s="17" t="inlineStr">
        <is>
          <t>Más főkategória terméke</t>
        </is>
      </c>
    </row>
    <row r="466">
      <c r="A466" s="17" t="inlineStr">
        <is>
          <t>GRO0882</t>
        </is>
      </c>
      <c r="B466" s="17" t="inlineStr">
        <is>
          <t>Plagron Sugar Royal aminosavas booster az ízért és illatért 0,5 liter</t>
        </is>
      </c>
      <c r="C466" s="17" t="inlineStr">
        <is>
          <t>–</t>
        </is>
      </c>
      <c r="D466" s="17" t="inlineStr"/>
      <c r="E466" s="17" t="inlineStr">
        <is>
          <t>Nem tartozik ide</t>
        </is>
      </c>
      <c r="F466" s="17" t="inlineStr">
        <is>
          <t>az elmúlt 30 napban</t>
        </is>
      </c>
      <c r="G466" s="17" t="inlineStr">
        <is>
          <t>Más főkategória terméke</t>
        </is>
      </c>
    </row>
    <row r="467">
      <c r="A467" s="17" t="inlineStr">
        <is>
          <t>GRO0888</t>
        </is>
      </c>
      <c r="B467" s="17" t="inlineStr">
        <is>
          <t>CANNA Terra Flores ásványi virágzási táp földhöz 10 liter</t>
        </is>
      </c>
      <c r="C467" s="17" t="inlineStr">
        <is>
          <t>–</t>
        </is>
      </c>
      <c r="D467" s="17" t="inlineStr"/>
      <c r="E467" s="17" t="inlineStr">
        <is>
          <t>Nem tartozik ide</t>
        </is>
      </c>
      <c r="F467" s="17" t="inlineStr">
        <is>
          <t>az elmúlt 30 napban</t>
        </is>
      </c>
      <c r="G467" s="17" t="inlineStr">
        <is>
          <t>Más főkategória terméke</t>
        </is>
      </c>
    </row>
    <row r="468">
      <c r="A468" s="17" t="inlineStr">
        <is>
          <t>GRO0891</t>
        </is>
      </c>
      <c r="B468" s="17" t="inlineStr">
        <is>
          <t>Plagron Start up 1 liter</t>
        </is>
      </c>
      <c r="C468" s="17" t="inlineStr">
        <is>
          <t>–</t>
        </is>
      </c>
      <c r="D468" s="17" t="inlineStr"/>
      <c r="E468" s="17" t="inlineStr">
        <is>
          <t>Nem tartozik ide</t>
        </is>
      </c>
      <c r="F468" s="17" t="inlineStr">
        <is>
          <t>2024-10 – 2025-09 (lehet, hogy már nem aktív)</t>
        </is>
      </c>
      <c r="G468" s="17" t="inlineStr">
        <is>
          <t>Más főkategória terméke</t>
        </is>
      </c>
    </row>
    <row r="469">
      <c r="A469" s="17" t="inlineStr">
        <is>
          <t>GRO0892</t>
        </is>
      </c>
      <c r="B469" s="17" t="inlineStr">
        <is>
          <t>Plagron Lightmix föld, könnyű, gyengén előtrágyázott tőzeges közeg 50 liter</t>
        </is>
      </c>
      <c r="C469" s="17" t="inlineStr">
        <is>
          <t>–</t>
        </is>
      </c>
      <c r="D469" s="17" t="inlineStr"/>
      <c r="E469" s="17" t="inlineStr">
        <is>
          <t>Nem tartozik ide</t>
        </is>
      </c>
      <c r="F469" s="17" t="inlineStr">
        <is>
          <t>az elmúlt 30 napban</t>
        </is>
      </c>
      <c r="G469" s="17" t="inlineStr">
        <is>
          <t>Más főkategória terméke</t>
        </is>
      </c>
    </row>
    <row r="470">
      <c r="A470" s="17" t="inlineStr">
        <is>
          <t>GRO0920</t>
        </is>
      </c>
      <c r="B470" s="17" t="inlineStr">
        <is>
          <t>Hesi Pro-Line PK 10 liter</t>
        </is>
      </c>
      <c r="C470" s="17" t="inlineStr">
        <is>
          <t>–</t>
        </is>
      </c>
      <c r="D470" s="17" t="inlineStr"/>
      <c r="E470" s="17" t="inlineStr">
        <is>
          <t>Nem tartozik ide</t>
        </is>
      </c>
      <c r="F470" s="17" t="inlineStr">
        <is>
          <t>az elmúlt 6 hónapban</t>
        </is>
      </c>
      <c r="G470" s="17" t="inlineStr">
        <is>
          <t>Más főkategória terméke</t>
        </is>
      </c>
    </row>
    <row r="471">
      <c r="A471" s="17" t="inlineStr">
        <is>
          <t>GRO0922</t>
        </is>
      </c>
      <c r="B471" s="17" t="inlineStr">
        <is>
          <t>Advanced Hydroponics Dutch Formula BLOOM ásványi virágzási alaptáp 10 liter</t>
        </is>
      </c>
      <c r="C471" s="17" t="inlineStr">
        <is>
          <t>–</t>
        </is>
      </c>
      <c r="D471" s="17" t="inlineStr"/>
      <c r="E471" s="17" t="inlineStr">
        <is>
          <t>Nem tartozik ide</t>
        </is>
      </c>
      <c r="F471" s="17" t="inlineStr">
        <is>
          <t>az elmúlt 30 napban</t>
        </is>
      </c>
      <c r="G471" s="17" t="inlineStr">
        <is>
          <t>Más főkategória terméke</t>
        </is>
      </c>
    </row>
    <row r="472">
      <c r="A472" s="17" t="inlineStr">
        <is>
          <t>GRO0923</t>
        </is>
      </c>
      <c r="B472" s="17" t="inlineStr">
        <is>
          <t>Advanced Hydroponics Dutch Formula BLOOM 25 liter</t>
        </is>
      </c>
      <c r="C472" s="17" t="inlineStr">
        <is>
          <t>–</t>
        </is>
      </c>
      <c r="D472" s="17" t="inlineStr"/>
      <c r="E472" s="17" t="inlineStr">
        <is>
          <t>Nem tartozik ide</t>
        </is>
      </c>
      <c r="F472" s="17" t="inlineStr">
        <is>
          <t>az elmúlt 30 napban</t>
        </is>
      </c>
      <c r="G472" s="17" t="inlineStr">
        <is>
          <t>Más főkategória terméke</t>
        </is>
      </c>
    </row>
    <row r="473">
      <c r="A473" s="17" t="inlineStr">
        <is>
          <t>GRO0925</t>
        </is>
      </c>
      <c r="B473" s="17" t="inlineStr">
        <is>
          <t>Advanced Hydroponics Enzymes+ 5 liter</t>
        </is>
      </c>
      <c r="C473" s="17" t="inlineStr">
        <is>
          <t>–</t>
        </is>
      </c>
      <c r="D473" s="17" t="inlineStr"/>
      <c r="E473" s="17" t="inlineStr">
        <is>
          <t>Nem tartozik ide</t>
        </is>
      </c>
      <c r="F473" s="17" t="inlineStr">
        <is>
          <t>az elmúlt 6 hónapban</t>
        </is>
      </c>
      <c r="G473" s="17" t="inlineStr">
        <is>
          <t>Más főkategória terméke</t>
        </is>
      </c>
    </row>
    <row r="474">
      <c r="A474" s="17" t="inlineStr">
        <is>
          <t>GRO0927</t>
        </is>
      </c>
      <c r="B474" s="17" t="inlineStr">
        <is>
          <t>Advanced Hydroponics Natural Power Final Solution öblítő szer 5 liter</t>
        </is>
      </c>
      <c r="C474" s="17" t="inlineStr">
        <is>
          <t>–</t>
        </is>
      </c>
      <c r="D474" s="17" t="inlineStr"/>
      <c r="E474" s="17" t="inlineStr">
        <is>
          <t>Nem tartozik ide</t>
        </is>
      </c>
      <c r="F474" s="17" t="inlineStr">
        <is>
          <t>az elmúlt 30 napban</t>
        </is>
      </c>
      <c r="G474" s="17" t="inlineStr">
        <is>
          <t>Más főkategória terméke</t>
        </is>
      </c>
    </row>
    <row r="475">
      <c r="A475" s="17" t="inlineStr">
        <is>
          <t>GRO0928</t>
        </is>
      </c>
      <c r="B475" s="17" t="inlineStr">
        <is>
          <t>Advanced Hydroponics Dutch Formula GROW ásványi növekedési alaptáp 10 liter</t>
        </is>
      </c>
      <c r="C475" s="17" t="inlineStr">
        <is>
          <t>–</t>
        </is>
      </c>
      <c r="D475" s="17" t="inlineStr"/>
      <c r="E475" s="17" t="inlineStr">
        <is>
          <t>Nem tartozik ide</t>
        </is>
      </c>
      <c r="F475" s="17" t="inlineStr">
        <is>
          <t>az elmúlt 30 napban</t>
        </is>
      </c>
      <c r="G475" s="17" t="inlineStr">
        <is>
          <t>Más főkategória terméke</t>
        </is>
      </c>
    </row>
    <row r="476">
      <c r="A476" s="17" t="inlineStr">
        <is>
          <t>GRO0929</t>
        </is>
      </c>
      <c r="B476" s="17" t="inlineStr">
        <is>
          <t>Advanced Hydroponics Dutch Formula GROW ásványi növekedési alaptáp 25 liter</t>
        </is>
      </c>
      <c r="C476" s="17" t="inlineStr">
        <is>
          <t>–</t>
        </is>
      </c>
      <c r="D476" s="17" t="inlineStr"/>
      <c r="E476" s="17" t="inlineStr">
        <is>
          <t>Nem tartozik ide</t>
        </is>
      </c>
      <c r="F476" s="17" t="inlineStr">
        <is>
          <t>az elmúlt 30 napban</t>
        </is>
      </c>
      <c r="G476" s="17" t="inlineStr">
        <is>
          <t>Más főkategória terméke</t>
        </is>
      </c>
    </row>
    <row r="477">
      <c r="A477" s="17" t="inlineStr">
        <is>
          <t>GRO0931</t>
        </is>
      </c>
      <c r="B477" s="17" t="inlineStr">
        <is>
          <t>Advanced Hydroponics Grow-Bloom Excellerator 5 liter</t>
        </is>
      </c>
      <c r="C477" s="17" t="inlineStr">
        <is>
          <t>–</t>
        </is>
      </c>
      <c r="D477" s="17" t="inlineStr"/>
      <c r="E477" s="17" t="inlineStr">
        <is>
          <t>Nem tartozik ide</t>
        </is>
      </c>
      <c r="F477" s="17" t="inlineStr">
        <is>
          <t>2024-10 – 2025-09 (lehet, hogy már nem aktív)</t>
        </is>
      </c>
      <c r="G477" s="17" t="inlineStr">
        <is>
          <t>Más főkategória terméke</t>
        </is>
      </c>
    </row>
    <row r="478">
      <c r="A478" s="17" t="inlineStr">
        <is>
          <t>GRO0933</t>
        </is>
      </c>
      <c r="B478" s="17" t="inlineStr">
        <is>
          <t>Advanced Hydroponics Dutch Formula MICRO mikroelemes alaptáp 10 liter</t>
        </is>
      </c>
      <c r="C478" s="17" t="inlineStr">
        <is>
          <t>–</t>
        </is>
      </c>
      <c r="D478" s="17" t="inlineStr"/>
      <c r="E478" s="17" t="inlineStr">
        <is>
          <t>Nem tartozik ide</t>
        </is>
      </c>
      <c r="F478" s="17" t="inlineStr">
        <is>
          <t>az elmúlt 30 napban</t>
        </is>
      </c>
      <c r="G478" s="17" t="inlineStr">
        <is>
          <t>Más főkategória terméke</t>
        </is>
      </c>
    </row>
    <row r="479">
      <c r="A479" s="17" t="inlineStr">
        <is>
          <t>GRO0934</t>
        </is>
      </c>
      <c r="B479" s="17" t="inlineStr">
        <is>
          <t>Advanced Hydroponics Dutch Formula MICRO 25 liter</t>
        </is>
      </c>
      <c r="C479" s="17" t="inlineStr">
        <is>
          <t>–</t>
        </is>
      </c>
      <c r="D479" s="17" t="inlineStr"/>
      <c r="E479" s="17" t="inlineStr">
        <is>
          <t>Nem tartozik ide</t>
        </is>
      </c>
      <c r="F479" s="17" t="inlineStr">
        <is>
          <t>az elmúlt 6 hónapban</t>
        </is>
      </c>
      <c r="G479" s="17" t="inlineStr">
        <is>
          <t>Más főkategória terméke</t>
        </is>
      </c>
    </row>
    <row r="480">
      <c r="A480" s="17" t="inlineStr">
        <is>
          <t>GRO0941</t>
        </is>
      </c>
      <c r="B480" s="17" t="inlineStr">
        <is>
          <t>Advanced Hydroponics Natural Power Root Stimulator gyökérserkentő 5 liter</t>
        </is>
      </c>
      <c r="C480" s="17" t="inlineStr">
        <is>
          <t>–</t>
        </is>
      </c>
      <c r="D480" s="17" t="inlineStr"/>
      <c r="E480" s="17" t="inlineStr">
        <is>
          <t>Nem tartozik ide</t>
        </is>
      </c>
      <c r="F480" s="17" t="inlineStr">
        <is>
          <t>az elmúlt 30 napban</t>
        </is>
      </c>
      <c r="G480" s="17" t="inlineStr">
        <is>
          <t>Más főkategória terméke</t>
        </is>
      </c>
    </row>
    <row r="481">
      <c r="A481" s="17" t="inlineStr">
        <is>
          <t>GRO0963</t>
        </is>
      </c>
      <c r="B481" s="17" t="inlineStr">
        <is>
          <t>Cultibox Combi termesztősátor 100 x 100 x 200 cm, moduláris, összekapcsolható grow box</t>
        </is>
      </c>
      <c r="C481" s="17" t="inlineStr">
        <is>
          <t>–</t>
        </is>
      </c>
      <c r="D481" s="17" t="inlineStr"/>
      <c r="E481" s="17" t="inlineStr">
        <is>
          <t>Nem tartozik ide</t>
        </is>
      </c>
      <c r="F481" s="17" t="inlineStr">
        <is>
          <t>az elmúlt 30 napban</t>
        </is>
      </c>
      <c r="G481" s="17" t="inlineStr">
        <is>
          <t>Más főkategória terméke</t>
        </is>
      </c>
    </row>
    <row r="482">
      <c r="A482" s="17" t="inlineStr">
        <is>
          <t>GRO0968</t>
        </is>
      </c>
      <c r="B482" s="17" t="inlineStr">
        <is>
          <t>CANNA PK 13/14 foszfor-kálium virágzásserkentő 500 ml</t>
        </is>
      </c>
      <c r="C482" s="17" t="inlineStr">
        <is>
          <t>–</t>
        </is>
      </c>
      <c r="D482" s="17" t="inlineStr"/>
      <c r="E482" s="17" t="inlineStr">
        <is>
          <t>Nem tartozik ide</t>
        </is>
      </c>
      <c r="F482" s="17" t="inlineStr">
        <is>
          <t>az elmúlt 30 napban</t>
        </is>
      </c>
      <c r="G482" s="17" t="inlineStr">
        <is>
          <t>Más főkategória terméke</t>
        </is>
      </c>
    </row>
    <row r="483">
      <c r="A483" s="17" t="inlineStr">
        <is>
          <t>GRO0969</t>
        </is>
      </c>
      <c r="B483" s="17" t="inlineStr">
        <is>
          <t>CANNA Rhizotonic tengeri alga alapú gyökérserkentő 1 liter</t>
        </is>
      </c>
      <c r="C483" s="17" t="inlineStr">
        <is>
          <t>–</t>
        </is>
      </c>
      <c r="D483" s="17" t="inlineStr"/>
      <c r="E483" s="17" t="inlineStr">
        <is>
          <t>Nem tartozik ide</t>
        </is>
      </c>
      <c r="F483" s="17" t="inlineStr">
        <is>
          <t>az elmúlt 30 napban</t>
        </is>
      </c>
      <c r="G483" s="17" t="inlineStr">
        <is>
          <t>Más főkategória terméke</t>
        </is>
      </c>
    </row>
    <row r="484">
      <c r="A484" s="17" t="inlineStr">
        <is>
          <t>GRO0971</t>
        </is>
      </c>
      <c r="B484" s="17" t="inlineStr">
        <is>
          <t>CANNABOOST Accelerator virágzásserkentő adalék 10 liter</t>
        </is>
      </c>
      <c r="C484" s="17" t="inlineStr">
        <is>
          <t>–</t>
        </is>
      </c>
      <c r="D484" s="17" t="inlineStr"/>
      <c r="E484" s="17" t="inlineStr">
        <is>
          <t>Nem tartozik ide</t>
        </is>
      </c>
      <c r="F484" s="17" t="inlineStr">
        <is>
          <t>az elmúlt 30 napban</t>
        </is>
      </c>
      <c r="G484" s="17" t="inlineStr">
        <is>
          <t>Más főkategória terméke</t>
        </is>
      </c>
    </row>
    <row r="485">
      <c r="A485" s="17" t="inlineStr">
        <is>
          <t>GRO0981</t>
        </is>
      </c>
      <c r="B485" s="17" t="inlineStr">
        <is>
          <t>Hesi Pro-Line TNT 500 ml</t>
        </is>
      </c>
      <c r="C485" s="17" t="inlineStr">
        <is>
          <t>–</t>
        </is>
      </c>
      <c r="D485" s="17" t="inlineStr"/>
      <c r="E485" s="17" t="inlineStr">
        <is>
          <t>Nem tartozik ide</t>
        </is>
      </c>
      <c r="F485" s="17" t="inlineStr">
        <is>
          <t>az elmúlt 6 hónapban</t>
        </is>
      </c>
      <c r="G485" s="17" t="inlineStr">
        <is>
          <t>Más főkategória terméke</t>
        </is>
      </c>
    </row>
    <row r="486">
      <c r="A486" s="17" t="inlineStr">
        <is>
          <t>GRO0983</t>
        </is>
      </c>
      <c r="B486" s="17" t="inlineStr">
        <is>
          <t>Hesi Pro-Line Phosphor 0,5 liter</t>
        </is>
      </c>
      <c r="C486" s="17" t="inlineStr">
        <is>
          <t>–</t>
        </is>
      </c>
      <c r="D486" s="17" t="inlineStr"/>
      <c r="E486" s="17" t="inlineStr">
        <is>
          <t>Nem tartozik ide</t>
        </is>
      </c>
      <c r="F486" s="17" t="inlineStr">
        <is>
          <t>2024-10 – 2025-09 (lehet, hogy már nem aktív)</t>
        </is>
      </c>
      <c r="G486" s="17" t="inlineStr">
        <is>
          <t>Más főkategória terméke</t>
        </is>
      </c>
    </row>
    <row r="487">
      <c r="A487" s="17" t="inlineStr">
        <is>
          <t>GRO1008</t>
        </is>
      </c>
      <c r="B487" s="17" t="inlineStr">
        <is>
          <t>Growth Technology SMC Spidermite Control atka elleni koncentrátum 100 ml</t>
        </is>
      </c>
      <c r="C487" s="17" t="inlineStr">
        <is>
          <t>–</t>
        </is>
      </c>
      <c r="D487" s="17" t="inlineStr"/>
      <c r="E487" s="17" t="inlineStr">
        <is>
          <t>Nem tartozik ide</t>
        </is>
      </c>
      <c r="F487" s="17" t="inlineStr">
        <is>
          <t>az elmúlt 30 napban</t>
        </is>
      </c>
      <c r="G487" s="17" t="inlineStr">
        <is>
          <t>Más főkategória terméke</t>
        </is>
      </c>
    </row>
    <row r="488">
      <c r="A488" s="17" t="inlineStr">
        <is>
          <t>GRO1012</t>
        </is>
      </c>
      <c r="B488" s="17" t="inlineStr">
        <is>
          <t>Advanced Hydroponics pH- Bloom pH-csökkentő a virágzási szakaszra 5 liter</t>
        </is>
      </c>
      <c r="C488" s="17" t="inlineStr">
        <is>
          <t>–</t>
        </is>
      </c>
      <c r="D488" s="17" t="inlineStr"/>
      <c r="E488" s="17" t="inlineStr">
        <is>
          <t>Nem tartozik ide</t>
        </is>
      </c>
      <c r="F488" s="17" t="inlineStr">
        <is>
          <t>az elmúlt 30 napban</t>
        </is>
      </c>
      <c r="G488" s="17" t="inlineStr">
        <is>
          <t>Más főkategória terméke</t>
        </is>
      </c>
    </row>
    <row r="489">
      <c r="A489" s="17" t="inlineStr">
        <is>
          <t>GRO1013</t>
        </is>
      </c>
      <c r="B489" s="17" t="inlineStr">
        <is>
          <t>Pipetta 3 ml átlátszó műanyag, külső skálával, tápok adagolásához</t>
        </is>
      </c>
      <c r="C489" s="17" t="inlineStr">
        <is>
          <t>–</t>
        </is>
      </c>
      <c r="D489" s="17" t="inlineStr"/>
      <c r="E489" s="17" t="inlineStr">
        <is>
          <t>Nem tartozik ide</t>
        </is>
      </c>
      <c r="F489" s="17" t="inlineStr">
        <is>
          <t>az elmúlt 30 napban</t>
        </is>
      </c>
      <c r="G489" s="17" t="inlineStr">
        <is>
          <t>Más főkategória terméke</t>
        </is>
      </c>
    </row>
    <row r="490">
      <c r="A490" s="17" t="inlineStr">
        <is>
          <t>GRO1015</t>
        </is>
      </c>
      <c r="B490" s="17" t="inlineStr">
        <is>
          <t>ADWA ECO209 digitális pH monitor folyamatos méréshez, 0–14 pH</t>
        </is>
      </c>
      <c r="C490" s="17" t="inlineStr">
        <is>
          <t>–</t>
        </is>
      </c>
      <c r="D490" s="17" t="inlineStr"/>
      <c r="E490" s="17" t="inlineStr">
        <is>
          <t>Nem tartozik ide</t>
        </is>
      </c>
      <c r="F490" s="17" t="inlineStr">
        <is>
          <t>az elmúlt 30 napban</t>
        </is>
      </c>
      <c r="G490" s="17" t="inlineStr">
        <is>
          <t>Más főkategória terméke</t>
        </is>
      </c>
    </row>
    <row r="491">
      <c r="A491" s="17" t="inlineStr">
        <is>
          <t>GRO1016</t>
        </is>
      </c>
      <c r="B491" s="17" t="inlineStr">
        <is>
          <t>ADWA AD12 digitális pH és hőmérséklet mérő cserélhető szondával</t>
        </is>
      </c>
      <c r="C491" s="17" t="inlineStr">
        <is>
          <t>–</t>
        </is>
      </c>
      <c r="D491" s="17" t="inlineStr"/>
      <c r="E491" s="17" t="inlineStr">
        <is>
          <t>Nem tartozik ide</t>
        </is>
      </c>
      <c r="F491" s="17" t="inlineStr">
        <is>
          <t>az elmúlt 30 napban</t>
        </is>
      </c>
      <c r="G491" s="17" t="inlineStr">
        <is>
          <t>Más főkategória terméke</t>
        </is>
      </c>
    </row>
    <row r="492">
      <c r="A492" s="17" t="inlineStr">
        <is>
          <t>GRO1021</t>
        </is>
      </c>
      <c r="B492" s="17" t="inlineStr">
        <is>
          <t>Plagron Growmix föld gilisztahumusszal, 3 hétre előtrágyázva 50 liter</t>
        </is>
      </c>
      <c r="C492" s="17" t="inlineStr">
        <is>
          <t>–</t>
        </is>
      </c>
      <c r="D492" s="17" t="inlineStr"/>
      <c r="E492" s="17" t="inlineStr">
        <is>
          <t>Nem tartozik ide</t>
        </is>
      </c>
      <c r="F492" s="17" t="inlineStr">
        <is>
          <t>az elmúlt 30 napban</t>
        </is>
      </c>
      <c r="G492" s="17" t="inlineStr">
        <is>
          <t>Más főkategória terméke</t>
        </is>
      </c>
    </row>
    <row r="493">
      <c r="A493" s="17" t="inlineStr">
        <is>
          <t>GRO1022</t>
        </is>
      </c>
      <c r="B493" s="17" t="inlineStr">
        <is>
          <t>Plagron Batmix föld denevérguanóval, bio minősítésű 50 liter</t>
        </is>
      </c>
      <c r="C493" s="17" t="inlineStr">
        <is>
          <t>–</t>
        </is>
      </c>
      <c r="D493" s="17" t="inlineStr"/>
      <c r="E493" s="17" t="inlineStr">
        <is>
          <t>Nem tartozik ide</t>
        </is>
      </c>
      <c r="F493" s="17" t="inlineStr">
        <is>
          <t>az elmúlt 30 napban</t>
        </is>
      </c>
      <c r="G493" s="17" t="inlineStr">
        <is>
          <t>Más főkategória terméke</t>
        </is>
      </c>
    </row>
    <row r="494">
      <c r="A494" s="17" t="inlineStr">
        <is>
          <t>GRO1023</t>
        </is>
      </c>
      <c r="B494" s="17" t="inlineStr">
        <is>
          <t>Hajlékony elektromos kábel 3 x 0,75 mm², fehér, 300/500 V, méterre</t>
        </is>
      </c>
      <c r="C494" s="17" t="inlineStr">
        <is>
          <t>–</t>
        </is>
      </c>
      <c r="D494" s="17" t="inlineStr"/>
      <c r="E494" s="17" t="inlineStr">
        <is>
          <t>Nem tartozik ide</t>
        </is>
      </c>
      <c r="F494" s="17" t="inlineStr">
        <is>
          <t>az elmúlt 30 napban</t>
        </is>
      </c>
      <c r="G494" s="17" t="inlineStr">
        <is>
          <t>Más főkategória terméke</t>
        </is>
      </c>
    </row>
    <row r="495">
      <c r="A495" s="17" t="inlineStr">
        <is>
          <t>GRO1026</t>
        </is>
      </c>
      <c r="B495" s="17" t="inlineStr">
        <is>
          <t>ADWA ECO406 digitális EC monitor folyamatos méréshez, 0–9,99 mS/cm</t>
        </is>
      </c>
      <c r="C495" s="17" t="inlineStr">
        <is>
          <t>–</t>
        </is>
      </c>
      <c r="D495" s="17" t="inlineStr"/>
      <c r="E495" s="17" t="inlineStr">
        <is>
          <t>Nem tartozik ide</t>
        </is>
      </c>
      <c r="F495" s="17" t="inlineStr">
        <is>
          <t>az elmúlt 30 napban</t>
        </is>
      </c>
      <c r="G495" s="17" t="inlineStr">
        <is>
          <t>Más főkategória terméke</t>
        </is>
      </c>
    </row>
    <row r="496">
      <c r="A496" s="17" t="inlineStr">
        <is>
          <t>GRO1032</t>
        </is>
      </c>
      <c r="B496" s="17" t="inlineStr">
        <is>
          <t>Canna Hydro Flores A/B 10 liter</t>
        </is>
      </c>
      <c r="C496" s="17" t="inlineStr">
        <is>
          <t>–</t>
        </is>
      </c>
      <c r="D496" s="17" t="inlineStr"/>
      <c r="E496" s="17" t="inlineStr">
        <is>
          <t>Nem tartozik ide</t>
        </is>
      </c>
      <c r="F496" s="17" t="inlineStr">
        <is>
          <t>az elmúlt 6 hónapban</t>
        </is>
      </c>
      <c r="G496" s="17" t="inlineStr">
        <is>
          <t>Más főkategória terméke</t>
        </is>
      </c>
    </row>
    <row r="497">
      <c r="A497" s="17" t="inlineStr">
        <is>
          <t>GRO1044</t>
        </is>
      </c>
      <c r="B497" s="17" t="inlineStr">
        <is>
          <t>Can Filters Can-Lite 1500 aktív szénszűrő acél házzal, 1500 m3/h, 250 mm szűrővég</t>
        </is>
      </c>
      <c r="C497" s="17" t="inlineStr">
        <is>
          <t>–</t>
        </is>
      </c>
      <c r="D497" s="17" t="inlineStr"/>
      <c r="E497" s="17" t="inlineStr">
        <is>
          <t>Nem tartozik ide</t>
        </is>
      </c>
      <c r="F497" s="17" t="inlineStr">
        <is>
          <t>az elmúlt 30 napban</t>
        </is>
      </c>
      <c r="G497" s="17" t="inlineStr">
        <is>
          <t>Más főkategória terméke</t>
        </is>
      </c>
    </row>
    <row r="498">
      <c r="A498" s="17" t="inlineStr">
        <is>
          <t>GRO1055</t>
        </is>
      </c>
      <c r="B498" s="17" t="inlineStr">
        <is>
          <t>CANNA PK 13/14 foszfor-kálium virágzásserkentő 10 liter</t>
        </is>
      </c>
      <c r="C498" s="17" t="inlineStr">
        <is>
          <t>–</t>
        </is>
      </c>
      <c r="D498" s="17" t="inlineStr"/>
      <c r="E498" s="17" t="inlineStr">
        <is>
          <t>Nem tartozik ide</t>
        </is>
      </c>
      <c r="F498" s="17" t="inlineStr">
        <is>
          <t>az elmúlt 30 napban</t>
        </is>
      </c>
      <c r="G498" s="17" t="inlineStr">
        <is>
          <t>Más főkategória terméke</t>
        </is>
      </c>
    </row>
    <row r="499">
      <c r="A499" s="17" t="inlineStr">
        <is>
          <t>GRO1056</t>
        </is>
      </c>
      <c r="B499" s="17" t="inlineStr">
        <is>
          <t>Bővítő cső 250–315 mm légcsatornához, szellőzőrendszerekhez</t>
        </is>
      </c>
      <c r="C499" s="17" t="inlineStr">
        <is>
          <t>–</t>
        </is>
      </c>
      <c r="D499" s="17" t="inlineStr"/>
      <c r="E499" s="17" t="inlineStr">
        <is>
          <t>Nem tartozik ide</t>
        </is>
      </c>
      <c r="F499" s="17" t="inlineStr">
        <is>
          <t>az elmúlt 30 napban</t>
        </is>
      </c>
      <c r="G499" s="17" t="inlineStr">
        <is>
          <t>Más főkategória terméke</t>
        </is>
      </c>
    </row>
    <row r="500">
      <c r="A500" s="17" t="inlineStr">
        <is>
          <t>GRO1060</t>
        </is>
      </c>
      <c r="B500" s="17" t="inlineStr">
        <is>
          <t>Bővítő cső 200–250 mm légcsatornához, szellőzőrendszerekhez</t>
        </is>
      </c>
      <c r="C500" s="17" t="inlineStr">
        <is>
          <t>–</t>
        </is>
      </c>
      <c r="D500" s="17" t="inlineStr"/>
      <c r="E500" s="17" t="inlineStr">
        <is>
          <t>Nem tartozik ide</t>
        </is>
      </c>
      <c r="F500" s="17" t="inlineStr">
        <is>
          <t>az elmúlt 30 napban</t>
        </is>
      </c>
      <c r="G500" s="17" t="inlineStr">
        <is>
          <t>Más főkategória terméke</t>
        </is>
      </c>
    </row>
    <row r="501">
      <c r="A501" s="17" t="inlineStr">
        <is>
          <t>GRO1062</t>
        </is>
      </c>
      <c r="B501" s="17" t="inlineStr">
        <is>
          <t>Bővítő cső 150–160 mm légcsatornához, szellőzőrendszerekhez</t>
        </is>
      </c>
      <c r="C501" s="17" t="inlineStr">
        <is>
          <t>–</t>
        </is>
      </c>
      <c r="D501" s="17" t="inlineStr"/>
      <c r="E501" s="17" t="inlineStr">
        <is>
          <t>Nem tartozik ide</t>
        </is>
      </c>
      <c r="F501" s="17" t="inlineStr">
        <is>
          <t>az elmúlt 30 napban</t>
        </is>
      </c>
      <c r="G501" s="17" t="inlineStr">
        <is>
          <t>Más főkategória terméke</t>
        </is>
      </c>
    </row>
    <row r="502">
      <c r="A502" s="17" t="inlineStr">
        <is>
          <t>GRO1063</t>
        </is>
      </c>
      <c r="B502" s="17" t="inlineStr">
        <is>
          <t>House &amp; Garden Shooting Powder PK virágzásfokozó por 65 g tasak</t>
        </is>
      </c>
      <c r="C502" s="17" t="inlineStr">
        <is>
          <t>–</t>
        </is>
      </c>
      <c r="D502" s="17" t="inlineStr"/>
      <c r="E502" s="17" t="inlineStr">
        <is>
          <t>Nem tartozik ide</t>
        </is>
      </c>
      <c r="F502" s="17" t="inlineStr">
        <is>
          <t>az elmúlt 30 napban</t>
        </is>
      </c>
      <c r="G502" s="17" t="inlineStr">
        <is>
          <t>Más főkategória terméke</t>
        </is>
      </c>
    </row>
    <row r="503">
      <c r="A503" s="17" t="inlineStr">
        <is>
          <t>GRO1074</t>
        </is>
      </c>
      <c r="B503" s="17" t="inlineStr">
        <is>
          <t>Kábel 1,5 mm 1m</t>
        </is>
      </c>
      <c r="C503" s="17" t="inlineStr">
        <is>
          <t>–</t>
        </is>
      </c>
      <c r="D503" s="17" t="inlineStr"/>
      <c r="E503" s="17" t="inlineStr">
        <is>
          <t>Nem tartozik ide</t>
        </is>
      </c>
      <c r="F503" s="17" t="inlineStr">
        <is>
          <t>az elmúlt 6 hónapban</t>
        </is>
      </c>
      <c r="G503" s="17" t="inlineStr">
        <is>
          <t>Más főkategória terméke</t>
        </is>
      </c>
    </row>
    <row r="504">
      <c r="A504" s="17" t="inlineStr">
        <is>
          <t>GRO1075</t>
        </is>
      </c>
      <c r="B504" s="17" t="inlineStr">
        <is>
          <t>Can Filters Can-Lite 2500 aktív szénszűrő acél házzal, 2500 m3/h, 250 mm szűrővég</t>
        </is>
      </c>
      <c r="C504" s="17" t="inlineStr">
        <is>
          <t>–</t>
        </is>
      </c>
      <c r="D504" s="17" t="inlineStr"/>
      <c r="E504" s="17" t="inlineStr">
        <is>
          <t>Nem tartozik ide</t>
        </is>
      </c>
      <c r="F504" s="17" t="inlineStr">
        <is>
          <t>az elmúlt 30 napban</t>
        </is>
      </c>
      <c r="G504" s="17" t="inlineStr">
        <is>
          <t>Más főkategória terméke</t>
        </is>
      </c>
    </row>
    <row r="505">
      <c r="A505" s="17" t="inlineStr">
        <is>
          <t>GRO1076</t>
        </is>
      </c>
      <c r="B505" s="17" t="inlineStr">
        <is>
          <t>Can Filter Can Lite Szénszűrő (acél) 2000 m3/h szűrővég: 250 mm</t>
        </is>
      </c>
      <c r="C505" s="17" t="inlineStr">
        <is>
          <t>–</t>
        </is>
      </c>
      <c r="D505" s="17" t="inlineStr"/>
      <c r="E505" s="17" t="inlineStr">
        <is>
          <t>Nem tartozik ide</t>
        </is>
      </c>
      <c r="F505" s="17" t="inlineStr">
        <is>
          <t>az elmúlt 6 hónapban</t>
        </is>
      </c>
      <c r="G505" s="17" t="inlineStr">
        <is>
          <t>Más főkategória terméke</t>
        </is>
      </c>
    </row>
    <row r="506">
      <c r="A506" s="17" t="inlineStr">
        <is>
          <t>GRO1077</t>
        </is>
      </c>
      <c r="B506" s="17" t="inlineStr">
        <is>
          <t>Can Filters Can-Lite 1000 aktív szénszűrő acél házzal, 1000 m3/h, 250 mm szűrővég</t>
        </is>
      </c>
      <c r="C506" s="17" t="inlineStr">
        <is>
          <t>–</t>
        </is>
      </c>
      <c r="D506" s="17" t="inlineStr"/>
      <c r="E506" s="17" t="inlineStr">
        <is>
          <t>Nem tartozik ide</t>
        </is>
      </c>
      <c r="F506" s="17" t="inlineStr">
        <is>
          <t>az elmúlt 30 napban</t>
        </is>
      </c>
      <c r="G506" s="17" t="inlineStr">
        <is>
          <t>Más főkategória terméke</t>
        </is>
      </c>
    </row>
    <row r="507">
      <c r="A507" s="17" t="inlineStr">
        <is>
          <t>GRO1078</t>
        </is>
      </c>
      <c r="B507" s="17" t="inlineStr">
        <is>
          <t>Can Filters Can-Lite 600 aktív szénszűrő acél házzal, 600 m3/h, 150 mm szűrővég</t>
        </is>
      </c>
      <c r="C507" s="17" t="inlineStr">
        <is>
          <t>–</t>
        </is>
      </c>
      <c r="D507" s="17" t="inlineStr"/>
      <c r="E507" s="17" t="inlineStr">
        <is>
          <t>Nem tartozik ide</t>
        </is>
      </c>
      <c r="F507" s="17" t="inlineStr">
        <is>
          <t>az elmúlt 30 napban</t>
        </is>
      </c>
      <c r="G507" s="17" t="inlineStr">
        <is>
          <t>Más főkategória terméke</t>
        </is>
      </c>
    </row>
    <row r="508">
      <c r="A508" s="17" t="inlineStr">
        <is>
          <t>GRO1079</t>
        </is>
      </c>
      <c r="B508" s="17" t="inlineStr">
        <is>
          <t>Can Filters Can-Lite 300 aktív szénszűrő műanyag házzal, 300 m3/h</t>
        </is>
      </c>
      <c r="C508" s="17" t="inlineStr">
        <is>
          <t>–</t>
        </is>
      </c>
      <c r="D508" s="17" t="inlineStr"/>
      <c r="E508" s="17" t="inlineStr">
        <is>
          <t>Nem tartozik ide</t>
        </is>
      </c>
      <c r="F508" s="17" t="inlineStr">
        <is>
          <t>az elmúlt 30 napban</t>
        </is>
      </c>
      <c r="G508" s="17" t="inlineStr">
        <is>
          <t>Más főkategória terméke</t>
        </is>
      </c>
    </row>
    <row r="509">
      <c r="A509" s="17" t="inlineStr">
        <is>
          <t>GRO1080</t>
        </is>
      </c>
      <c r="B509" s="17" t="inlineStr">
        <is>
          <t>Can Filters Can-Lite 150 aktív szénszűrő műanyag házzal, 150 m3/h</t>
        </is>
      </c>
      <c r="C509" s="17" t="inlineStr">
        <is>
          <t>–</t>
        </is>
      </c>
      <c r="D509" s="17" t="inlineStr"/>
      <c r="E509" s="17" t="inlineStr">
        <is>
          <t>Nem tartozik ide</t>
        </is>
      </c>
      <c r="F509" s="17" t="inlineStr">
        <is>
          <t>az elmúlt 30 napban</t>
        </is>
      </c>
      <c r="G509" s="17" t="inlineStr">
        <is>
          <t>Más főkategória terméke</t>
        </is>
      </c>
    </row>
    <row r="510">
      <c r="A510" s="17" t="inlineStr">
        <is>
          <t>GRO1081</t>
        </is>
      </c>
      <c r="B510" s="17" t="inlineStr">
        <is>
          <t>Can Filters Can-Lite 425 aktív szénszűrő műanyag házzal, 425 m3/h</t>
        </is>
      </c>
      <c r="C510" s="17" t="inlineStr">
        <is>
          <t>–</t>
        </is>
      </c>
      <c r="D510" s="17" t="inlineStr"/>
      <c r="E510" s="17" t="inlineStr">
        <is>
          <t>Nem tartozik ide</t>
        </is>
      </c>
      <c r="F510" s="17" t="inlineStr">
        <is>
          <t>az elmúlt 30 napban</t>
        </is>
      </c>
      <c r="G510" s="17" t="inlineStr">
        <is>
          <t>Más főkategória terméke</t>
        </is>
      </c>
    </row>
    <row r="511">
      <c r="A511" s="17" t="inlineStr">
        <is>
          <t>GRO1084</t>
        </is>
      </c>
      <c r="B511" s="17" t="inlineStr">
        <is>
          <t>Levegőztető cső 6x4 mm átlátszó, akváriumhoz és hidropóniához, méterre</t>
        </is>
      </c>
      <c r="C511" s="17" t="inlineStr">
        <is>
          <t>–</t>
        </is>
      </c>
      <c r="D511" s="17" t="inlineStr"/>
      <c r="E511" s="17" t="inlineStr">
        <is>
          <t>Nem tartozik ide</t>
        </is>
      </c>
      <c r="F511" s="17" t="inlineStr">
        <is>
          <t>az elmúlt 30 napban</t>
        </is>
      </c>
      <c r="G511" s="17" t="inlineStr">
        <is>
          <t>Más főkategória terméke</t>
        </is>
      </c>
    </row>
    <row r="512">
      <c r="A512" s="17" t="inlineStr">
        <is>
          <t>GRO1086</t>
        </is>
      </c>
      <c r="B512" s="17" t="inlineStr">
        <is>
          <t>Hesi Pro-Line Phosphor 10 liter</t>
        </is>
      </c>
      <c r="C512" s="17" t="inlineStr">
        <is>
          <t>–</t>
        </is>
      </c>
      <c r="D512" s="17" t="inlineStr"/>
      <c r="E512" s="17" t="inlineStr">
        <is>
          <t>Nem tartozik ide</t>
        </is>
      </c>
      <c r="F512" s="17" t="inlineStr">
        <is>
          <t>2024-10 – 2025-09 (lehet, hogy már nem aktív)</t>
        </is>
      </c>
      <c r="G512" s="17" t="inlineStr">
        <is>
          <t>Más főkategória terméke</t>
        </is>
      </c>
    </row>
    <row r="513">
      <c r="A513" s="17" t="inlineStr">
        <is>
          <t>GRO1089</t>
        </is>
      </c>
      <c r="B513" s="17" t="inlineStr">
        <is>
          <t>CANNA Aqua Flores A/B virágzási táp recirkulációs rendszerhez 5 liter</t>
        </is>
      </c>
      <c r="C513" s="17" t="inlineStr">
        <is>
          <t>–</t>
        </is>
      </c>
      <c r="D513" s="17" t="inlineStr"/>
      <c r="E513" s="17" t="inlineStr">
        <is>
          <t>Nem tartozik ide</t>
        </is>
      </c>
      <c r="F513" s="17" t="inlineStr">
        <is>
          <t>az elmúlt 30 napban</t>
        </is>
      </c>
      <c r="G513" s="17" t="inlineStr">
        <is>
          <t>Más főkategória terméke</t>
        </is>
      </c>
    </row>
    <row r="514">
      <c r="A514" s="17" t="inlineStr">
        <is>
          <t>GRO1090</t>
        </is>
      </c>
      <c r="B514" s="17" t="inlineStr">
        <is>
          <t>Atami Bloombastic PK 14-15 virágzásserkentő, 1,25 liter</t>
        </is>
      </c>
      <c r="C514" s="17" t="inlineStr">
        <is>
          <t>–</t>
        </is>
      </c>
      <c r="D514" s="17" t="inlineStr"/>
      <c r="E514" s="17" t="inlineStr">
        <is>
          <t>Nem tartozik ide</t>
        </is>
      </c>
      <c r="F514" s="17" t="inlineStr">
        <is>
          <t>az elmúlt 30 napban</t>
        </is>
      </c>
      <c r="G514" s="17" t="inlineStr">
        <is>
          <t>Más főkategória terméke</t>
        </is>
      </c>
    </row>
    <row r="515">
      <c r="A515" s="17" t="inlineStr">
        <is>
          <t>GRO1105</t>
        </is>
      </c>
      <c r="B515" s="17" t="inlineStr">
        <is>
          <t>Mechanikus időkapcsoló stiftes órakoronggal, 230 V, max. 3680 W, 16 A</t>
        </is>
      </c>
      <c r="C515" s="17" t="inlineStr">
        <is>
          <t>–</t>
        </is>
      </c>
      <c r="D515" s="17" t="inlineStr"/>
      <c r="E515" s="17" t="inlineStr">
        <is>
          <t>Nem tartozik ide</t>
        </is>
      </c>
      <c r="F515" s="17" t="inlineStr">
        <is>
          <t>az elmúlt 30 napban</t>
        </is>
      </c>
      <c r="G515" s="17" t="inlineStr">
        <is>
          <t>Más főkategória terméke</t>
        </is>
      </c>
    </row>
    <row r="516">
      <c r="A516" s="17" t="inlineStr">
        <is>
          <t>GRO1106</t>
        </is>
      </c>
      <c r="B516" s="17" t="inlineStr">
        <is>
          <t>Neptune Hydroponics DWC mélyvizes termesztőedény 25 literes tartállyal</t>
        </is>
      </c>
      <c r="C516" s="17" t="inlineStr">
        <is>
          <t>–</t>
        </is>
      </c>
      <c r="D516" s="17" t="inlineStr"/>
      <c r="E516" s="17" t="inlineStr">
        <is>
          <t>Nem tartozik ide</t>
        </is>
      </c>
      <c r="F516" s="17" t="inlineStr">
        <is>
          <t>az elmúlt 30 napban</t>
        </is>
      </c>
      <c r="G516" s="17" t="inlineStr">
        <is>
          <t>Más főkategória terméke</t>
        </is>
      </c>
    </row>
    <row r="517">
      <c r="A517" s="17" t="inlineStr">
        <is>
          <t>GRO1108</t>
        </is>
      </c>
      <c r="B517" s="17" t="inlineStr">
        <is>
          <t>Vents VK 150 centrifugális csatornaventilátor 150 mm, 460 m3/h</t>
        </is>
      </c>
      <c r="C517" s="17" t="inlineStr">
        <is>
          <t>–</t>
        </is>
      </c>
      <c r="D517" s="17" t="inlineStr"/>
      <c r="E517" s="17" t="inlineStr">
        <is>
          <t>Nem tartozik ide</t>
        </is>
      </c>
      <c r="F517" s="17" t="inlineStr">
        <is>
          <t>az elmúlt 30 napban</t>
        </is>
      </c>
      <c r="G517" s="17" t="inlineStr">
        <is>
          <t>Más főkategória terméke</t>
        </is>
      </c>
    </row>
    <row r="518">
      <c r="A518" s="17" t="inlineStr">
        <is>
          <t>GRO1109</t>
        </is>
      </c>
      <c r="B518" s="17" t="inlineStr">
        <is>
          <t>Trimmelőolló 165 mm egyenes acél pengékkel, csúszásmentes markolattal</t>
        </is>
      </c>
      <c r="C518" s="17" t="inlineStr">
        <is>
          <t>–</t>
        </is>
      </c>
      <c r="D518" s="17" t="inlineStr"/>
      <c r="E518" s="17" t="inlineStr">
        <is>
          <t>Nem tartozik ide</t>
        </is>
      </c>
      <c r="F518" s="17" t="inlineStr">
        <is>
          <t>az elmúlt 30 napban</t>
        </is>
      </c>
      <c r="G518" s="17" t="inlineStr">
        <is>
          <t>Más főkategória terméke</t>
        </is>
      </c>
    </row>
    <row r="519">
      <c r="A519" s="17" t="inlineStr">
        <is>
          <t>GRO1112</t>
        </is>
      </c>
      <c r="B519" s="17" t="inlineStr">
        <is>
          <t>Yoyo függesztő ágak felfüggesztésére letörés ellen</t>
        </is>
      </c>
      <c r="C519" s="17" t="inlineStr">
        <is>
          <t>–</t>
        </is>
      </c>
      <c r="D519" s="17" t="inlineStr"/>
      <c r="E519" s="17" t="inlineStr">
        <is>
          <t>Nem tartozik ide</t>
        </is>
      </c>
      <c r="F519" s="17" t="inlineStr">
        <is>
          <t>2025-10 – 2026-04</t>
        </is>
      </c>
      <c r="G519" s="17" t="inlineStr">
        <is>
          <t>Más főkategória terméke</t>
        </is>
      </c>
    </row>
    <row r="520">
      <c r="A520" s="17" t="inlineStr">
        <is>
          <t>GRO1140</t>
        </is>
      </c>
      <c r="B520" s="17" t="inlineStr">
        <is>
          <t>Trimmelő olló kicsi, rugós visszatérítésű acél pengékkel, ergonomikus fogantyúval</t>
        </is>
      </c>
      <c r="C520" s="17" t="inlineStr">
        <is>
          <t>–</t>
        </is>
      </c>
      <c r="D520" s="17" t="inlineStr"/>
      <c r="E520" s="17" t="inlineStr">
        <is>
          <t>Nem tartozik ide</t>
        </is>
      </c>
      <c r="F520" s="17" t="inlineStr">
        <is>
          <t>az elmúlt 30 napban</t>
        </is>
      </c>
      <c r="G520" s="17" t="inlineStr">
        <is>
          <t>Más főkategória terméke</t>
        </is>
      </c>
    </row>
    <row r="521">
      <c r="A521" s="17" t="inlineStr">
        <is>
          <t>GRO1145</t>
        </is>
      </c>
      <c r="B521" s="17" t="inlineStr">
        <is>
          <t>Milwaukee EC kalibráló folyadék 12880 μS/cm, 20 ml, EC és TDS mérőkhöz</t>
        </is>
      </c>
      <c r="C521" s="17" t="inlineStr">
        <is>
          <t>–</t>
        </is>
      </c>
      <c r="D521" s="17" t="inlineStr"/>
      <c r="E521" s="17" t="inlineStr">
        <is>
          <t>Nem tartozik ide</t>
        </is>
      </c>
      <c r="F521" s="17" t="inlineStr">
        <is>
          <t>az elmúlt 30 napban</t>
        </is>
      </c>
      <c r="G521" s="17" t="inlineStr">
        <is>
          <t>Más főkategória terméke</t>
        </is>
      </c>
    </row>
    <row r="522">
      <c r="A522" s="17" t="inlineStr">
        <is>
          <t>GRO1148</t>
        </is>
      </c>
      <c r="B522" s="17" t="inlineStr">
        <is>
          <t>BioNova The Missing Link (TML) bio stimulátor fulvosavval 1 liter</t>
        </is>
      </c>
      <c r="C522" s="17" t="inlineStr">
        <is>
          <t>–</t>
        </is>
      </c>
      <c r="D522" s="17" t="inlineStr"/>
      <c r="E522" s="17" t="inlineStr">
        <is>
          <t>Nem tartozik ide</t>
        </is>
      </c>
      <c r="F522" s="17" t="inlineStr">
        <is>
          <t>az elmúlt 30 napban</t>
        </is>
      </c>
      <c r="G522" s="17" t="inlineStr">
        <is>
          <t>Más főkategória terméke</t>
        </is>
      </c>
    </row>
    <row r="523">
      <c r="A523" s="17" t="inlineStr">
        <is>
          <t>GRO1157</t>
        </is>
      </c>
      <c r="B523" s="17" t="inlineStr">
        <is>
          <t>Metrop MAM 250 ml</t>
        </is>
      </c>
      <c r="C523" s="17" t="inlineStr">
        <is>
          <t>–</t>
        </is>
      </c>
      <c r="D523" s="17" t="inlineStr"/>
      <c r="E523" s="17" t="inlineStr">
        <is>
          <t>Nem tartozik ide</t>
        </is>
      </c>
      <c r="F523" s="17" t="inlineStr">
        <is>
          <t>2024-10 – 2025-09 (lehet, hogy már nem aktív)</t>
        </is>
      </c>
      <c r="G523" s="17" t="inlineStr">
        <is>
          <t>Más főkategória terméke</t>
        </is>
      </c>
    </row>
    <row r="524">
      <c r="A524" s="17" t="inlineStr">
        <is>
          <t>GRO1158</t>
        </is>
      </c>
      <c r="B524" s="17" t="inlineStr">
        <is>
          <t>Metrop MAM 1 liter</t>
        </is>
      </c>
      <c r="C524" s="17" t="inlineStr">
        <is>
          <t>–</t>
        </is>
      </c>
      <c r="D524" s="17" t="inlineStr"/>
      <c r="E524" s="17" t="inlineStr">
        <is>
          <t>Nem tartozik ide</t>
        </is>
      </c>
      <c r="F524" s="17" t="inlineStr">
        <is>
          <t>2024-10 – 2025-09 (lehet, hogy már nem aktív)</t>
        </is>
      </c>
      <c r="G524" s="17" t="inlineStr">
        <is>
          <t>Más főkategória terméke</t>
        </is>
      </c>
    </row>
    <row r="525">
      <c r="A525" s="17" t="inlineStr">
        <is>
          <t>GRO1163</t>
        </is>
      </c>
      <c r="B525" s="17" t="inlineStr">
        <is>
          <t>Metrop MR1 250 ml</t>
        </is>
      </c>
      <c r="C525" s="17" t="inlineStr">
        <is>
          <t>–</t>
        </is>
      </c>
      <c r="D525" s="17" t="inlineStr"/>
      <c r="E525" s="17" t="inlineStr">
        <is>
          <t>Nem tartozik ide</t>
        </is>
      </c>
      <c r="F525" s="17" t="inlineStr">
        <is>
          <t>2024-10 – 2025-09 (lehet, hogy már nem aktív)</t>
        </is>
      </c>
      <c r="G525" s="17" t="inlineStr">
        <is>
          <t>Más főkategória terméke</t>
        </is>
      </c>
    </row>
    <row r="526">
      <c r="A526" s="17" t="inlineStr">
        <is>
          <t>GRO1164</t>
        </is>
      </c>
      <c r="B526" s="17" t="inlineStr">
        <is>
          <t>Metrop MR1 1 liter</t>
        </is>
      </c>
      <c r="C526" s="17" t="inlineStr">
        <is>
          <t>–</t>
        </is>
      </c>
      <c r="D526" s="17" t="inlineStr"/>
      <c r="E526" s="17" t="inlineStr">
        <is>
          <t>Nem tartozik ide</t>
        </is>
      </c>
      <c r="F526" s="17" t="inlineStr">
        <is>
          <t>az elmúlt 6 hónapban</t>
        </is>
      </c>
      <c r="G526" s="17" t="inlineStr">
        <is>
          <t>Más főkategória terméke</t>
        </is>
      </c>
    </row>
    <row r="527">
      <c r="A527" s="17" t="inlineStr">
        <is>
          <t>GRO1165</t>
        </is>
      </c>
      <c r="B527" s="17" t="inlineStr">
        <is>
          <t>Metrop MR2 250 ml</t>
        </is>
      </c>
      <c r="C527" s="17" t="inlineStr">
        <is>
          <t>–</t>
        </is>
      </c>
      <c r="D527" s="17" t="inlineStr"/>
      <c r="E527" s="17" t="inlineStr">
        <is>
          <t>Nem tartozik ide</t>
        </is>
      </c>
      <c r="F527" s="17" t="inlineStr">
        <is>
          <t>2024-10 – 2025-09 (lehet, hogy már nem aktív)</t>
        </is>
      </c>
      <c r="G527" s="17" t="inlineStr">
        <is>
          <t>Más főkategória terméke</t>
        </is>
      </c>
    </row>
    <row r="528">
      <c r="A528" s="17" t="inlineStr">
        <is>
          <t>GRO1166</t>
        </is>
      </c>
      <c r="B528" s="17" t="inlineStr">
        <is>
          <t>Metrop MR2 1 liter</t>
        </is>
      </c>
      <c r="C528" s="17" t="inlineStr">
        <is>
          <t>–</t>
        </is>
      </c>
      <c r="D528" s="17" t="inlineStr"/>
      <c r="E528" s="17" t="inlineStr">
        <is>
          <t>Nem tartozik ide</t>
        </is>
      </c>
      <c r="F528" s="17" t="inlineStr">
        <is>
          <t>az elmúlt 6 hónapban</t>
        </is>
      </c>
      <c r="G528" s="17" t="inlineStr">
        <is>
          <t>Más főkategória terméke</t>
        </is>
      </c>
    </row>
    <row r="529">
      <c r="A529" s="17" t="inlineStr">
        <is>
          <t>GRO1167</t>
        </is>
      </c>
      <c r="B529" s="17" t="inlineStr">
        <is>
          <t>Metrop Amino Root 250 ml</t>
        </is>
      </c>
      <c r="C529" s="17" t="inlineStr">
        <is>
          <t>–</t>
        </is>
      </c>
      <c r="D529" s="17" t="inlineStr"/>
      <c r="E529" s="17" t="inlineStr">
        <is>
          <t>Nem tartozik ide</t>
        </is>
      </c>
      <c r="F529" s="17" t="inlineStr">
        <is>
          <t>2024-10 – 2025-09 (lehet, hogy már nem aktív)</t>
        </is>
      </c>
      <c r="G529" s="17" t="inlineStr">
        <is>
          <t>Más főkategória terméke</t>
        </is>
      </c>
    </row>
    <row r="530">
      <c r="A530" s="17" t="inlineStr">
        <is>
          <t>GRO1168</t>
        </is>
      </c>
      <c r="B530" s="17" t="inlineStr">
        <is>
          <t>Metrop Amino Root 1 liter</t>
        </is>
      </c>
      <c r="C530" s="17" t="inlineStr">
        <is>
          <t>–</t>
        </is>
      </c>
      <c r="D530" s="17" t="inlineStr"/>
      <c r="E530" s="17" t="inlineStr">
        <is>
          <t>Nem tartozik ide</t>
        </is>
      </c>
      <c r="F530" s="17" t="inlineStr">
        <is>
          <t>2024-10 – 2025-09 (lehet, hogy már nem aktív)</t>
        </is>
      </c>
      <c r="G530" s="17" t="inlineStr">
        <is>
          <t>Más főkategória terméke</t>
        </is>
      </c>
    </row>
    <row r="531">
      <c r="A531" s="17" t="inlineStr">
        <is>
          <t>GRO1169</t>
        </is>
      </c>
      <c r="B531" s="17" t="inlineStr">
        <is>
          <t>Metrop AminoXtreme 250 ml</t>
        </is>
      </c>
      <c r="C531" s="17" t="inlineStr">
        <is>
          <t>–</t>
        </is>
      </c>
      <c r="D531" s="17" t="inlineStr"/>
      <c r="E531" s="17" t="inlineStr">
        <is>
          <t>Nem tartozik ide</t>
        </is>
      </c>
      <c r="F531" s="17" t="inlineStr">
        <is>
          <t>2024-10 – 2025-09 (lehet, hogy már nem aktív)</t>
        </is>
      </c>
      <c r="G531" s="17" t="inlineStr">
        <is>
          <t>Más főkategória terméke</t>
        </is>
      </c>
    </row>
    <row r="532">
      <c r="A532" s="17" t="inlineStr">
        <is>
          <t>GRO1170</t>
        </is>
      </c>
      <c r="B532" s="17" t="inlineStr">
        <is>
          <t>Metrop AminoXtreme 1 liter</t>
        </is>
      </c>
      <c r="C532" s="17" t="inlineStr">
        <is>
          <t>–</t>
        </is>
      </c>
      <c r="D532" s="17" t="inlineStr"/>
      <c r="E532" s="17" t="inlineStr">
        <is>
          <t>Nem tartozik ide</t>
        </is>
      </c>
      <c r="F532" s="17" t="inlineStr">
        <is>
          <t>az elmúlt 6 hónapban</t>
        </is>
      </c>
      <c r="G532" s="17" t="inlineStr">
        <is>
          <t>Más főkategória terméke</t>
        </is>
      </c>
    </row>
    <row r="533">
      <c r="A533" s="17" t="inlineStr">
        <is>
          <t>GRO1171</t>
        </is>
      </c>
      <c r="B533" s="17" t="inlineStr">
        <is>
          <t>Metrop Cal Green 250 ml</t>
        </is>
      </c>
      <c r="C533" s="17" t="inlineStr">
        <is>
          <t>–</t>
        </is>
      </c>
      <c r="D533" s="17" t="inlineStr"/>
      <c r="E533" s="17" t="inlineStr">
        <is>
          <t>Nem tartozik ide</t>
        </is>
      </c>
      <c r="F533" s="17" t="inlineStr">
        <is>
          <t>2024-10 – 2025-09 (lehet, hogy már nem aktív)</t>
        </is>
      </c>
      <c r="G533" s="17" t="inlineStr">
        <is>
          <t>Más főkategória terméke</t>
        </is>
      </c>
    </row>
    <row r="534">
      <c r="A534" s="17" t="inlineStr">
        <is>
          <t>GRO1172</t>
        </is>
      </c>
      <c r="B534" s="17" t="inlineStr">
        <is>
          <t>Metrop Cal Green 1 liter</t>
        </is>
      </c>
      <c r="C534" s="17" t="inlineStr">
        <is>
          <t>–</t>
        </is>
      </c>
      <c r="D534" s="17" t="inlineStr"/>
      <c r="E534" s="17" t="inlineStr">
        <is>
          <t>Nem tartozik ide</t>
        </is>
      </c>
      <c r="F534" s="17" t="inlineStr">
        <is>
          <t>2025-10 – 2026-04</t>
        </is>
      </c>
      <c r="G534" s="17" t="inlineStr">
        <is>
          <t>Más főkategória terméke</t>
        </is>
      </c>
    </row>
    <row r="535">
      <c r="A535" s="17" t="inlineStr">
        <is>
          <t>GRO1173</t>
        </is>
      </c>
      <c r="B535" s="17" t="inlineStr">
        <is>
          <t>Plagron Allmix szerves föld gilisztahumusszal, bio minősítésű 50 liter</t>
        </is>
      </c>
      <c r="C535" s="17" t="inlineStr">
        <is>
          <t>–</t>
        </is>
      </c>
      <c r="D535" s="17" t="inlineStr"/>
      <c r="E535" s="17" t="inlineStr">
        <is>
          <t>Nem tartozik ide</t>
        </is>
      </c>
      <c r="F535" s="17" t="inlineStr">
        <is>
          <t>az elmúlt 30 napban</t>
        </is>
      </c>
      <c r="G535" s="17" t="inlineStr">
        <is>
          <t>Más főkategória terméke</t>
        </is>
      </c>
    </row>
    <row r="536">
      <c r="A536" s="17" t="inlineStr">
        <is>
          <t>GRO1174</t>
        </is>
      </c>
      <c r="B536" s="17" t="inlineStr">
        <is>
          <t>Plagron Mega Worm talajjavító 25 liter</t>
        </is>
      </c>
      <c r="C536" s="17" t="inlineStr">
        <is>
          <t>–</t>
        </is>
      </c>
      <c r="D536" s="17" t="inlineStr"/>
      <c r="E536" s="17" t="inlineStr">
        <is>
          <t>Nem tartozik ide</t>
        </is>
      </c>
      <c r="F536" s="17" t="inlineStr">
        <is>
          <t>az elmúlt 6 hónapban</t>
        </is>
      </c>
      <c r="G536" s="17" t="inlineStr">
        <is>
          <t>Más főkategória terméke</t>
        </is>
      </c>
    </row>
    <row r="537">
      <c r="A537" s="17" t="inlineStr">
        <is>
          <t>GRO1175</t>
        </is>
      </c>
      <c r="B537" s="17" t="inlineStr">
        <is>
          <t>Philips SON-T PIA GreenPower 600 W HPS nátriumlámpa izzó, E40</t>
        </is>
      </c>
      <c r="C537" s="17" t="inlineStr">
        <is>
          <t>–</t>
        </is>
      </c>
      <c r="D537" s="17" t="inlineStr"/>
      <c r="E537" s="17" t="inlineStr">
        <is>
          <t>Nem tartozik ide</t>
        </is>
      </c>
      <c r="F537" s="17" t="inlineStr">
        <is>
          <t>az elmúlt 30 napban</t>
        </is>
      </c>
      <c r="G537" s="17" t="inlineStr">
        <is>
          <t>Más főkategória terméke</t>
        </is>
      </c>
    </row>
    <row r="538">
      <c r="A538" s="17" t="inlineStr">
        <is>
          <t>GRO1176</t>
        </is>
      </c>
      <c r="B538" s="17" t="inlineStr">
        <is>
          <t>Philips Son-T Pia Green Power 400 W</t>
        </is>
      </c>
      <c r="C538" s="17" t="inlineStr">
        <is>
          <t>–</t>
        </is>
      </c>
      <c r="D538" s="17" t="inlineStr"/>
      <c r="E538" s="17" t="inlineStr">
        <is>
          <t>Nem tartozik ide</t>
        </is>
      </c>
      <c r="F538" s="17" t="inlineStr">
        <is>
          <t>2025-10 – 2026-04</t>
        </is>
      </c>
      <c r="G538" s="17" t="inlineStr">
        <is>
          <t>Más főkategória terméke</t>
        </is>
      </c>
    </row>
    <row r="539">
      <c r="A539" s="17" t="inlineStr">
        <is>
          <t>GRO1192</t>
        </is>
      </c>
      <c r="B539" s="17" t="inlineStr">
        <is>
          <t>Cool Tube 125 x 400 hűtött lámpabúra keményüveg csővel és E40 kerámiafoglalattal</t>
        </is>
      </c>
      <c r="C539" s="17" t="inlineStr">
        <is>
          <t>–</t>
        </is>
      </c>
      <c r="D539" s="17" t="inlineStr"/>
      <c r="E539" s="17" t="inlineStr">
        <is>
          <t>Nem tartozik ide</t>
        </is>
      </c>
      <c r="F539" s="17" t="inlineStr">
        <is>
          <t>az elmúlt 30 napban</t>
        </is>
      </c>
      <c r="G539" s="17" t="inlineStr">
        <is>
          <t>Más főkategória terméke</t>
        </is>
      </c>
    </row>
    <row r="540">
      <c r="A540" s="17" t="inlineStr">
        <is>
          <t>GRO1194</t>
        </is>
      </c>
      <c r="B540" s="17" t="inlineStr">
        <is>
          <t>Háromeres elektromos kábel 2,5 mm nagy teljesítményű trafókhoz és lámpákhoz, méterre</t>
        </is>
      </c>
      <c r="C540" s="17" t="inlineStr">
        <is>
          <t>–</t>
        </is>
      </c>
      <c r="D540" s="17" t="inlineStr"/>
      <c r="E540" s="17" t="inlineStr">
        <is>
          <t>Nem tartozik ide</t>
        </is>
      </c>
      <c r="F540" s="17" t="inlineStr">
        <is>
          <t>az elmúlt 30 napban</t>
        </is>
      </c>
      <c r="G540" s="17" t="inlineStr">
        <is>
          <t>Más főkategória terméke</t>
        </is>
      </c>
    </row>
    <row r="541">
      <c r="A541" s="17" t="inlineStr">
        <is>
          <t>GRO1201</t>
        </is>
      </c>
      <c r="B541" s="17" t="inlineStr">
        <is>
          <t>GSE időzítő kapcsolódoboz 12 x 600 W-os lámpákhoz, beépített 24 órás időzítővel</t>
        </is>
      </c>
      <c r="C541" s="17" t="inlineStr">
        <is>
          <t>–</t>
        </is>
      </c>
      <c r="D541" s="17" t="inlineStr"/>
      <c r="E541" s="17" t="inlineStr">
        <is>
          <t>Nem tartozik ide</t>
        </is>
      </c>
      <c r="F541" s="17" t="inlineStr">
        <is>
          <t>az elmúlt 30 napban</t>
        </is>
      </c>
      <c r="G541" s="17" t="inlineStr">
        <is>
          <t>Más főkategória terméke</t>
        </is>
      </c>
    </row>
    <row r="542">
      <c r="A542" s="17" t="inlineStr">
        <is>
          <t>GRO1205</t>
        </is>
      </c>
      <c r="B542" s="17" t="inlineStr">
        <is>
          <t>Advanced Nutrients CarboLoad Liquid szénhidrát adalék 1 liter</t>
        </is>
      </c>
      <c r="C542" s="17" t="inlineStr">
        <is>
          <t>–</t>
        </is>
      </c>
      <c r="D542" s="17" t="inlineStr"/>
      <c r="E542" s="17" t="inlineStr">
        <is>
          <t>Nem tartozik ide</t>
        </is>
      </c>
      <c r="F542" s="17" t="inlineStr">
        <is>
          <t>az elmúlt 30 napban</t>
        </is>
      </c>
      <c r="G542" s="17" t="inlineStr">
        <is>
          <t>Más főkategória terméke</t>
        </is>
      </c>
    </row>
    <row r="543">
      <c r="A543" s="17" t="inlineStr">
        <is>
          <t>GRO1210</t>
        </is>
      </c>
      <c r="B543" s="17" t="inlineStr">
        <is>
          <t>Advanced Nutrients Big Bud Liquid virágzásfokozó PK 0-1-3, 1 liter</t>
        </is>
      </c>
      <c r="C543" s="17" t="inlineStr">
        <is>
          <t>–</t>
        </is>
      </c>
      <c r="D543" s="17" t="inlineStr"/>
      <c r="E543" s="17" t="inlineStr">
        <is>
          <t>Nem tartozik ide</t>
        </is>
      </c>
      <c r="F543" s="17" t="inlineStr">
        <is>
          <t>az elmúlt 30 napban</t>
        </is>
      </c>
      <c r="G543" s="17" t="inlineStr">
        <is>
          <t>Más főkategória terméke</t>
        </is>
      </c>
    </row>
    <row r="544">
      <c r="A544" s="17" t="inlineStr">
        <is>
          <t>GRO1219</t>
        </is>
      </c>
      <c r="B544" s="17" t="inlineStr">
        <is>
          <t>Nutriculture Amazon Twin 32 aeropóniás termesztő rendszer 32 növényhez</t>
        </is>
      </c>
      <c r="C544" s="17" t="inlineStr">
        <is>
          <t>–</t>
        </is>
      </c>
      <c r="D544" s="17" t="inlineStr"/>
      <c r="E544" s="17" t="inlineStr">
        <is>
          <t>Nem tartozik ide</t>
        </is>
      </c>
      <c r="F544" s="17" t="inlineStr">
        <is>
          <t>az elmúlt 30 napban</t>
        </is>
      </c>
      <c r="G544" s="17" t="inlineStr">
        <is>
          <t>Más főkategória terméke</t>
        </is>
      </c>
    </row>
    <row r="545">
      <c r="A545" s="17" t="inlineStr">
        <is>
          <t>GRO1221</t>
        </is>
      </c>
      <c r="B545" s="17" t="inlineStr">
        <is>
          <t>NutriCulture Propagator X-stream Clone Master PT200</t>
        </is>
      </c>
      <c r="C545" s="17" t="inlineStr">
        <is>
          <t>–</t>
        </is>
      </c>
      <c r="D545" s="17" t="inlineStr"/>
      <c r="E545" s="17" t="inlineStr">
        <is>
          <t>Nem tartozik ide</t>
        </is>
      </c>
      <c r="F545" s="17" t="inlineStr">
        <is>
          <t>az elmúlt 6 hónapban</t>
        </is>
      </c>
      <c r="G545" s="17" t="inlineStr">
        <is>
          <t>Más főkategória terméke</t>
        </is>
      </c>
    </row>
    <row r="546">
      <c r="A546" s="17" t="inlineStr">
        <is>
          <t>GRO1222</t>
        </is>
      </c>
      <c r="B546" s="17" t="inlineStr">
        <is>
          <t>Nutriculture X-Stream Clone Master PT300 aeropóniás propagátor 40 dugványhoz</t>
        </is>
      </c>
      <c r="C546" s="17" t="inlineStr">
        <is>
          <t>–</t>
        </is>
      </c>
      <c r="D546" s="17" t="inlineStr"/>
      <c r="E546" s="17" t="inlineStr">
        <is>
          <t>Nem tartozik ide</t>
        </is>
      </c>
      <c r="F546" s="17" t="inlineStr">
        <is>
          <t>az elmúlt 30 napban</t>
        </is>
      </c>
      <c r="G546" s="17" t="inlineStr">
        <is>
          <t>Más főkategória terméke</t>
        </is>
      </c>
    </row>
    <row r="547">
      <c r="A547" s="17" t="inlineStr">
        <is>
          <t>GRO1237</t>
        </is>
      </c>
      <c r="B547" s="17" t="inlineStr">
        <is>
          <t>Digitális ventilátorszabályzó páratartalom, hőmérséklet és negatív nyomás szerint, 230 V</t>
        </is>
      </c>
      <c r="C547" s="17" t="inlineStr">
        <is>
          <t>–</t>
        </is>
      </c>
      <c r="D547" s="17" t="inlineStr"/>
      <c r="E547" s="17" t="inlineStr">
        <is>
          <t>Nem tartozik ide</t>
        </is>
      </c>
      <c r="F547" s="17" t="inlineStr">
        <is>
          <t>az elmúlt 30 napban</t>
        </is>
      </c>
      <c r="G547" s="17" t="inlineStr">
        <is>
          <t>Más főkategória terméke</t>
        </is>
      </c>
    </row>
    <row r="548">
      <c r="A548" s="17" t="inlineStr">
        <is>
          <t>GRO1239</t>
        </is>
      </c>
      <c r="B548" s="17" t="inlineStr">
        <is>
          <t>Digitális hőmérséklet és minimum sebesség szabályzó ventilátorokhoz, 230 V, 600 W</t>
        </is>
      </c>
      <c r="C548" s="17" t="inlineStr">
        <is>
          <t>–</t>
        </is>
      </c>
      <c r="D548" s="17" t="inlineStr"/>
      <c r="E548" s="17" t="inlineStr">
        <is>
          <t>Nem tartozik ide</t>
        </is>
      </c>
      <c r="F548" s="17" t="inlineStr">
        <is>
          <t>az elmúlt 30 napban</t>
        </is>
      </c>
      <c r="G548" s="17" t="inlineStr">
        <is>
          <t>Más főkategória terméke</t>
        </is>
      </c>
    </row>
    <row r="549">
      <c r="A549" s="17" t="inlineStr">
        <is>
          <t>GRO1241</t>
        </is>
      </c>
      <c r="B549" s="17" t="inlineStr">
        <is>
          <t>Elektromos kábel IEC C14 lengődugóval, háromeres, 1,5 mm, 2,5 m, 10 A, 250 V</t>
        </is>
      </c>
      <c r="C549" s="17" t="inlineStr">
        <is>
          <t>–</t>
        </is>
      </c>
      <c r="D549" s="17" t="inlineStr"/>
      <c r="E549" s="17" t="inlineStr">
        <is>
          <t>Nem tartozik ide</t>
        </is>
      </c>
      <c r="F549" s="17" t="inlineStr">
        <is>
          <t>az elmúlt 30 napban</t>
        </is>
      </c>
      <c r="G549" s="17" t="inlineStr">
        <is>
          <t>Más főkategória terméke</t>
        </is>
      </c>
    </row>
    <row r="550">
      <c r="A550" s="17" t="inlineStr">
        <is>
          <t>GRO1247</t>
        </is>
      </c>
      <c r="B550" s="17" t="inlineStr">
        <is>
          <t>Agrolite CFL (energiatakarékos) izzó növénytermesztéshez 250W Virágzáshoz</t>
        </is>
      </c>
      <c r="C550" s="17" t="inlineStr">
        <is>
          <t>–</t>
        </is>
      </c>
      <c r="D550" s="17" t="inlineStr"/>
      <c r="E550" s="17" t="inlineStr">
        <is>
          <t>Nem tartozik ide</t>
        </is>
      </c>
      <c r="F550" s="17" t="inlineStr">
        <is>
          <t>2024-10 – 2025-09 (lehet, hogy már nem aktív)</t>
        </is>
      </c>
      <c r="G550" s="17" t="inlineStr">
        <is>
          <t>Más főkategória terméke</t>
        </is>
      </c>
    </row>
    <row r="551">
      <c r="A551" s="17" t="inlineStr">
        <is>
          <t>GRO1248</t>
        </is>
      </c>
      <c r="B551" s="17" t="inlineStr">
        <is>
          <t>5 fokozatú ozmózis szűrő (pH, EC szabályozás)</t>
        </is>
      </c>
      <c r="C551" s="17" t="inlineStr">
        <is>
          <t>–</t>
        </is>
      </c>
      <c r="D551" s="17" t="inlineStr"/>
      <c r="E551" s="17" t="inlineStr">
        <is>
          <t>Nem tartozik ide</t>
        </is>
      </c>
      <c r="F551" s="17" t="inlineStr">
        <is>
          <t>2024-10 – 2025-09 (lehet, hogy már nem aktív)</t>
        </is>
      </c>
      <c r="G551" s="17" t="inlineStr">
        <is>
          <t>Más főkategória terméke</t>
        </is>
      </c>
    </row>
    <row r="552">
      <c r="A552" s="17" t="inlineStr">
        <is>
          <t>GRO1249</t>
        </is>
      </c>
      <c r="B552" s="17" t="inlineStr">
        <is>
          <t>Inline üledékszűrő előszűrő patron víztisztítóhoz</t>
        </is>
      </c>
      <c r="C552" s="17" t="inlineStr">
        <is>
          <t>–</t>
        </is>
      </c>
      <c r="D552" s="17" t="inlineStr"/>
      <c r="E552" s="17" t="inlineStr">
        <is>
          <t>Nem tartozik ide</t>
        </is>
      </c>
      <c r="F552" s="17" t="inlineStr">
        <is>
          <t>az elmúlt 30 napban</t>
        </is>
      </c>
      <c r="G552" s="17" t="inlineStr">
        <is>
          <t>Más főkategória terméke</t>
        </is>
      </c>
    </row>
    <row r="553">
      <c r="A553" s="17" t="inlineStr">
        <is>
          <t>GRO1250</t>
        </is>
      </c>
      <c r="B553" s="17" t="inlineStr">
        <is>
          <t>T33 aktív szénszűrő patron víztisztítóhoz, kókuszhéj szénnel</t>
        </is>
      </c>
      <c r="C553" s="17" t="inlineStr">
        <is>
          <t>–</t>
        </is>
      </c>
      <c r="D553" s="17" t="inlineStr"/>
      <c r="E553" s="17" t="inlineStr">
        <is>
          <t>Nem tartozik ide</t>
        </is>
      </c>
      <c r="F553" s="17" t="inlineStr">
        <is>
          <t>az elmúlt 30 napban</t>
        </is>
      </c>
      <c r="G553" s="17" t="inlineStr">
        <is>
          <t>Más főkategória terméke</t>
        </is>
      </c>
    </row>
    <row r="554">
      <c r="A554" s="17" t="inlineStr">
        <is>
          <t>GRO1252</t>
        </is>
      </c>
      <c r="B554" s="17" t="inlineStr">
        <is>
          <t>Neptune Hydroponics keringető vízpumpa 4500 l/h</t>
        </is>
      </c>
      <c r="C554" s="17" t="inlineStr">
        <is>
          <t>–</t>
        </is>
      </c>
      <c r="D554" s="17" t="inlineStr"/>
      <c r="E554" s="17" t="inlineStr">
        <is>
          <t>Nem tartozik ide</t>
        </is>
      </c>
      <c r="F554" s="17" t="inlineStr">
        <is>
          <t>az elmúlt 6 hónapban</t>
        </is>
      </c>
      <c r="G554" s="17" t="inlineStr">
        <is>
          <t>Más főkategória terméke</t>
        </is>
      </c>
    </row>
    <row r="555">
      <c r="A555" s="17" t="inlineStr">
        <is>
          <t>GRO1253</t>
        </is>
      </c>
      <c r="B555" s="17" t="inlineStr">
        <is>
          <t>Secret Icer hideg kivonatoló zsák Secret Icer 3 db</t>
        </is>
      </c>
      <c r="C555" s="17" t="inlineStr">
        <is>
          <t>–</t>
        </is>
      </c>
      <c r="D555" s="17" t="inlineStr"/>
      <c r="E555" s="17" t="inlineStr">
        <is>
          <t>Nem tartozik ide</t>
        </is>
      </c>
      <c r="F555" s="17" t="inlineStr">
        <is>
          <t>az elmúlt 6 hónapban</t>
        </is>
      </c>
      <c r="G555" s="17" t="inlineStr">
        <is>
          <t>Más főkategória terméke</t>
        </is>
      </c>
    </row>
    <row r="556">
      <c r="A556" s="17" t="inlineStr">
        <is>
          <t>GRO1254</t>
        </is>
      </c>
      <c r="B556" s="17" t="inlineStr">
        <is>
          <t>Secret Icer hideg kivonatoló zsák készlet, 5 db szűrőzsák 25–190 mikron</t>
        </is>
      </c>
      <c r="C556" s="17" t="inlineStr">
        <is>
          <t>–</t>
        </is>
      </c>
      <c r="D556" s="17" t="inlineStr"/>
      <c r="E556" s="17" t="inlineStr">
        <is>
          <t>Nem tartozik ide</t>
        </is>
      </c>
      <c r="F556" s="17" t="inlineStr">
        <is>
          <t>az elmúlt 30 napban</t>
        </is>
      </c>
      <c r="G556" s="17" t="inlineStr">
        <is>
          <t>Más főkategória terméke</t>
        </is>
      </c>
    </row>
    <row r="557">
      <c r="A557" s="17" t="inlineStr">
        <is>
          <t>GRO1265</t>
        </is>
      </c>
      <c r="B557" s="17" t="inlineStr">
        <is>
          <t>BioBizz Alg-A-Mic tengeri alga vitalitásserkentő 5 liter</t>
        </is>
      </c>
      <c r="C557" s="17" t="inlineStr">
        <is>
          <t>–</t>
        </is>
      </c>
      <c r="D557" s="17" t="inlineStr"/>
      <c r="E557" s="17" t="inlineStr">
        <is>
          <t>Nem tartozik ide</t>
        </is>
      </c>
      <c r="F557" s="17" t="inlineStr">
        <is>
          <t>az elmúlt 30 napban</t>
        </is>
      </c>
      <c r="G557" s="17" t="inlineStr">
        <is>
          <t>Más főkategória terméke</t>
        </is>
      </c>
    </row>
    <row r="558">
      <c r="A558" s="17" t="inlineStr">
        <is>
          <t>GRO1267</t>
        </is>
      </c>
      <c r="B558" s="17" t="inlineStr">
        <is>
          <t>Can-Fan RK 160L centrifugális csőventilátor 160 mm, 780 m3/h</t>
        </is>
      </c>
      <c r="C558" s="17" t="inlineStr">
        <is>
          <t>–</t>
        </is>
      </c>
      <c r="D558" s="17" t="inlineStr"/>
      <c r="E558" s="17" t="inlineStr">
        <is>
          <t>Nem tartozik ide</t>
        </is>
      </c>
      <c r="F558" s="17" t="inlineStr">
        <is>
          <t>az elmúlt 30 napban</t>
        </is>
      </c>
      <c r="G558" s="17" t="inlineStr">
        <is>
          <t>Más főkategória terméke</t>
        </is>
      </c>
    </row>
    <row r="559">
      <c r="A559" s="17" t="inlineStr">
        <is>
          <t>GRO1268</t>
        </is>
      </c>
      <c r="B559" s="17" t="inlineStr">
        <is>
          <t>Can-Fan RK 200 centrifugális csőventilátor 200 mm, 820 m3/h</t>
        </is>
      </c>
      <c r="C559" s="17" t="inlineStr">
        <is>
          <t>–</t>
        </is>
      </c>
      <c r="D559" s="17" t="inlineStr"/>
      <c r="E559" s="17" t="inlineStr">
        <is>
          <t>Nem tartozik ide</t>
        </is>
      </c>
      <c r="F559" s="17" t="inlineStr">
        <is>
          <t>az elmúlt 30 napban</t>
        </is>
      </c>
      <c r="G559" s="17" t="inlineStr">
        <is>
          <t>Más főkategória terméke</t>
        </is>
      </c>
    </row>
    <row r="560">
      <c r="A560" s="17" t="inlineStr">
        <is>
          <t>GRO1279</t>
        </is>
      </c>
      <c r="B560" s="17" t="inlineStr">
        <is>
          <t>Sylvania SHP-TS Super nátriumlámpa izzó 150 W, E40, virágzáshoz</t>
        </is>
      </c>
      <c r="C560" s="17" t="inlineStr">
        <is>
          <t>–</t>
        </is>
      </c>
      <c r="D560" s="17" t="inlineStr"/>
      <c r="E560" s="17" t="inlineStr">
        <is>
          <t>Nem tartozik ide</t>
        </is>
      </c>
      <c r="F560" s="17" t="inlineStr">
        <is>
          <t>az elmúlt 30 napban</t>
        </is>
      </c>
      <c r="G560" s="17" t="inlineStr">
        <is>
          <t>Más főkategória terméke</t>
        </is>
      </c>
    </row>
    <row r="561">
      <c r="A561" s="17" t="inlineStr">
        <is>
          <t>GRO1324</t>
        </is>
      </c>
      <c r="B561" s="17" t="inlineStr">
        <is>
          <t>CANNABOOST Accelerator virágzásserkentő adalék 1 liter</t>
        </is>
      </c>
      <c r="C561" s="17" t="inlineStr">
        <is>
          <t>–</t>
        </is>
      </c>
      <c r="D561" s="17" t="inlineStr"/>
      <c r="E561" s="17" t="inlineStr">
        <is>
          <t>Nem tartozik ide</t>
        </is>
      </c>
      <c r="F561" s="17" t="inlineStr">
        <is>
          <t>az elmúlt 30 napban</t>
        </is>
      </c>
      <c r="G561" s="17" t="inlineStr">
        <is>
          <t>Más főkategória terméke</t>
        </is>
      </c>
    </row>
    <row r="562">
      <c r="A562" s="17" t="inlineStr">
        <is>
          <t>GRO1325</t>
        </is>
      </c>
      <c r="B562" s="17" t="inlineStr">
        <is>
          <t>Grodan AO kőzetgyapot magvető kocka 36x36x40 mm, 98 darabos lap</t>
        </is>
      </c>
      <c r="C562" s="17" t="inlineStr">
        <is>
          <t>–</t>
        </is>
      </c>
      <c r="D562" s="17" t="inlineStr"/>
      <c r="E562" s="17" t="inlineStr">
        <is>
          <t>Nem tartozik ide</t>
        </is>
      </c>
      <c r="F562" s="17" t="inlineStr">
        <is>
          <t>az elmúlt 30 napban</t>
        </is>
      </c>
      <c r="G562" s="17" t="inlineStr">
        <is>
          <t>Más főkategória terméke</t>
        </is>
      </c>
    </row>
    <row r="563">
      <c r="A563" s="17" t="inlineStr">
        <is>
          <t>GRO1326</t>
        </is>
      </c>
      <c r="B563" s="17" t="inlineStr">
        <is>
          <t>Grodan AO kőzetgyapot magvető kocka 25x25x40 mm, 200 darabos lap</t>
        </is>
      </c>
      <c r="C563" s="17" t="inlineStr">
        <is>
          <t>–</t>
        </is>
      </c>
      <c r="D563" s="17" t="inlineStr"/>
      <c r="E563" s="17" t="inlineStr">
        <is>
          <t>Nem tartozik ide</t>
        </is>
      </c>
      <c r="F563" s="17" t="inlineStr">
        <is>
          <t>az elmúlt 30 napban</t>
        </is>
      </c>
      <c r="G563" s="17" t="inlineStr">
        <is>
          <t>Más főkategória terméke</t>
        </is>
      </c>
    </row>
    <row r="564">
      <c r="A564" s="17" t="inlineStr">
        <is>
          <t>GRO1327</t>
        </is>
      </c>
      <c r="B564" s="17" t="inlineStr">
        <is>
          <t>Grodan Delta 4G kőzetgyapot nevelőkocka 75x75x65 mm, kis lyukú</t>
        </is>
      </c>
      <c r="C564" s="17" t="inlineStr">
        <is>
          <t>–</t>
        </is>
      </c>
      <c r="D564" s="17" t="inlineStr"/>
      <c r="E564" s="17" t="inlineStr">
        <is>
          <t>Nem tartozik ide</t>
        </is>
      </c>
      <c r="F564" s="17" t="inlineStr">
        <is>
          <t>az elmúlt 30 napban</t>
        </is>
      </c>
      <c r="G564" s="17" t="inlineStr">
        <is>
          <t>Más főkategória terméke</t>
        </is>
      </c>
    </row>
    <row r="565">
      <c r="A565" s="17" t="inlineStr">
        <is>
          <t>GRO1328</t>
        </is>
      </c>
      <c r="B565" s="17" t="inlineStr">
        <is>
          <t>Merülő keringető szivattyú Neptune Hydroponics 600 l/h, 10 W</t>
        </is>
      </c>
      <c r="C565" s="17" t="inlineStr">
        <is>
          <t>–</t>
        </is>
      </c>
      <c r="D565" s="17" t="inlineStr"/>
      <c r="E565" s="17" t="inlineStr">
        <is>
          <t>Nem tartozik ide</t>
        </is>
      </c>
      <c r="F565" s="17" t="inlineStr">
        <is>
          <t>az elmúlt 30 napban</t>
        </is>
      </c>
      <c r="G565" s="17" t="inlineStr">
        <is>
          <t>Más főkategória terméke</t>
        </is>
      </c>
    </row>
    <row r="566">
      <c r="A566" s="17" t="inlineStr">
        <is>
          <t>GRO1329</t>
        </is>
      </c>
      <c r="B566" s="17" t="inlineStr">
        <is>
          <t>Neptune Hydroponics keringető vízpumpa 800 l/h</t>
        </is>
      </c>
      <c r="C566" s="17" t="inlineStr">
        <is>
          <t>–</t>
        </is>
      </c>
      <c r="D566" s="17" t="inlineStr"/>
      <c r="E566" s="17" t="inlineStr">
        <is>
          <t>Nem tartozik ide</t>
        </is>
      </c>
      <c r="F566" s="17" t="inlineStr">
        <is>
          <t>2025-10 – 2026-04</t>
        </is>
      </c>
      <c r="G566" s="17" t="inlineStr">
        <is>
          <t>Más főkategória terméke</t>
        </is>
      </c>
    </row>
    <row r="567">
      <c r="A567" s="17" t="inlineStr">
        <is>
          <t>GRO1330</t>
        </is>
      </c>
      <c r="B567" s="17" t="inlineStr">
        <is>
          <t>Neptune Hydroponics keringető vízpumpa 1000 l/h</t>
        </is>
      </c>
      <c r="C567" s="17" t="inlineStr">
        <is>
          <t>–</t>
        </is>
      </c>
      <c r="D567" s="17" t="inlineStr"/>
      <c r="E567" s="17" t="inlineStr">
        <is>
          <t>Nem tartozik ide</t>
        </is>
      </c>
      <c r="F567" s="17" t="inlineStr">
        <is>
          <t>az elmúlt 6 hónapban</t>
        </is>
      </c>
      <c r="G567" s="17" t="inlineStr">
        <is>
          <t>Más főkategória terméke</t>
        </is>
      </c>
    </row>
    <row r="568">
      <c r="A568" s="17" t="inlineStr">
        <is>
          <t>GRO1331</t>
        </is>
      </c>
      <c r="B568" s="17" t="inlineStr">
        <is>
          <t>Merülő keringető szivattyú Neptune Hydroponics 2000 l/h, 55 W</t>
        </is>
      </c>
      <c r="C568" s="17" t="inlineStr">
        <is>
          <t>–</t>
        </is>
      </c>
      <c r="D568" s="17" t="inlineStr"/>
      <c r="E568" s="17" t="inlineStr">
        <is>
          <t>Nem tartozik ide</t>
        </is>
      </c>
      <c r="F568" s="17" t="inlineStr">
        <is>
          <t>az elmúlt 30 napban</t>
        </is>
      </c>
      <c r="G568" s="17" t="inlineStr">
        <is>
          <t>Más főkategória terméke</t>
        </is>
      </c>
    </row>
    <row r="569">
      <c r="A569" s="17" t="inlineStr">
        <is>
          <t>GRO1332</t>
        </is>
      </c>
      <c r="B569" s="17" t="inlineStr">
        <is>
          <t>Merülő keringető szivattyú Neptune Hydroponics 3000 l/h, 85 W</t>
        </is>
      </c>
      <c r="C569" s="17" t="inlineStr">
        <is>
          <t>–</t>
        </is>
      </c>
      <c r="D569" s="17" t="inlineStr"/>
      <c r="E569" s="17" t="inlineStr">
        <is>
          <t>Nem tartozik ide</t>
        </is>
      </c>
      <c r="F569" s="17" t="inlineStr">
        <is>
          <t>az elmúlt 30 napban</t>
        </is>
      </c>
      <c r="G569" s="17" t="inlineStr">
        <is>
          <t>Más főkategória terméke</t>
        </is>
      </c>
    </row>
    <row r="570">
      <c r="A570" s="17" t="inlineStr">
        <is>
          <t>GRO1333</t>
        </is>
      </c>
      <c r="B570" s="17" t="inlineStr">
        <is>
          <t>BioNova Zym 5 liter</t>
        </is>
      </c>
      <c r="C570" s="17" t="inlineStr">
        <is>
          <t>–</t>
        </is>
      </c>
      <c r="D570" s="17" t="inlineStr"/>
      <c r="E570" s="17" t="inlineStr">
        <is>
          <t>Nem tartozik ide</t>
        </is>
      </c>
      <c r="F570" s="17" t="inlineStr">
        <is>
          <t>az elmúlt 6 hónapban</t>
        </is>
      </c>
      <c r="G570" s="17" t="inlineStr">
        <is>
          <t>Más főkategória terméke</t>
        </is>
      </c>
    </row>
    <row r="571">
      <c r="A571" s="17" t="inlineStr">
        <is>
          <t>GRO1342</t>
        </is>
      </c>
      <c r="B571" s="17" t="inlineStr">
        <is>
          <t>Plagron Seedbooster Plus csíráztató tápoldat magvetéshez, NPK 5-4-7, 10 ml</t>
        </is>
      </c>
      <c r="C571" s="17" t="inlineStr">
        <is>
          <t>–</t>
        </is>
      </c>
      <c r="D571" s="17" t="inlineStr"/>
      <c r="E571" s="17" t="inlineStr">
        <is>
          <t>Nem tartozik ide</t>
        </is>
      </c>
      <c r="F571" s="17" t="inlineStr">
        <is>
          <t>az elmúlt 30 napban</t>
        </is>
      </c>
      <c r="G571" s="17" t="inlineStr">
        <is>
          <t>Más főkategória terméke</t>
        </is>
      </c>
    </row>
    <row r="572">
      <c r="A572" s="17" t="inlineStr">
        <is>
          <t>GRO1343</t>
        </is>
      </c>
      <c r="B572" s="17" t="inlineStr">
        <is>
          <t>Grodan Delta 6,5G kőzetgyapot nevelőkocka 100x100x65 mm</t>
        </is>
      </c>
      <c r="C572" s="17" t="inlineStr">
        <is>
          <t>–</t>
        </is>
      </c>
      <c r="D572" s="17" t="inlineStr"/>
      <c r="E572" s="17" t="inlineStr">
        <is>
          <t>Nem tartozik ide</t>
        </is>
      </c>
      <c r="F572" s="17" t="inlineStr">
        <is>
          <t>az elmúlt 30 napban</t>
        </is>
      </c>
      <c r="G572" s="17" t="inlineStr">
        <is>
          <t>Más főkategória terméke</t>
        </is>
      </c>
    </row>
    <row r="573">
      <c r="A573" s="17" t="inlineStr">
        <is>
          <t>GRO1348</t>
        </is>
      </c>
      <c r="B573" s="17" t="inlineStr">
        <is>
          <t>Grodan SBS kőzetgyapot kocka tálcában 36x36x40 mm, 77 darab</t>
        </is>
      </c>
      <c r="C573" s="17" t="inlineStr">
        <is>
          <t>–</t>
        </is>
      </c>
      <c r="D573" s="17" t="inlineStr"/>
      <c r="E573" s="17" t="inlineStr">
        <is>
          <t>Nem tartozik ide</t>
        </is>
      </c>
      <c r="F573" s="17" t="inlineStr">
        <is>
          <t>az elmúlt 30 napban</t>
        </is>
      </c>
      <c r="G573" s="17" t="inlineStr">
        <is>
          <t>Más főkategória terméke</t>
        </is>
      </c>
    </row>
    <row r="574">
      <c r="A574" s="17" t="inlineStr">
        <is>
          <t>GRO1350</t>
        </is>
      </c>
      <c r="B574" s="17" t="inlineStr">
        <is>
          <t>GSE Időzítő Doboz 4x600W</t>
        </is>
      </c>
      <c r="C574" s="17" t="inlineStr">
        <is>
          <t>–</t>
        </is>
      </c>
      <c r="D574" s="17" t="inlineStr"/>
      <c r="E574" s="17" t="inlineStr">
        <is>
          <t>Nem tartozik ide</t>
        </is>
      </c>
      <c r="F574" s="17" t="inlineStr">
        <is>
          <t>2024-10 – 2025-09 (lehet, hogy már nem aktív)</t>
        </is>
      </c>
      <c r="G574" s="17" t="inlineStr">
        <is>
          <t>Más főkategória terméke</t>
        </is>
      </c>
    </row>
    <row r="575">
      <c r="A575" s="17" t="inlineStr">
        <is>
          <t>GRO1352</t>
        </is>
      </c>
      <c r="B575" s="17" t="inlineStr">
        <is>
          <t>GSE hőmérséklet- és negatív nyomásszabályzó</t>
        </is>
      </c>
      <c r="C575" s="17" t="inlineStr">
        <is>
          <t>–</t>
        </is>
      </c>
      <c r="D575" s="17" t="inlineStr"/>
      <c r="E575" s="17" t="inlineStr">
        <is>
          <t>Nem tartozik ide</t>
        </is>
      </c>
      <c r="F575" s="17" t="inlineStr">
        <is>
          <t>2024-10 – 2025-09 (lehet, hogy már nem aktív)</t>
        </is>
      </c>
      <c r="G575" s="17" t="inlineStr">
        <is>
          <t>Más főkategória terméke</t>
        </is>
      </c>
    </row>
    <row r="576">
      <c r="A576" s="17" t="inlineStr">
        <is>
          <t>GRO1353</t>
        </is>
      </c>
      <c r="B576" s="17" t="inlineStr">
        <is>
          <t>Mérőedény 1000 ml műanyag, milliliter beosztással, folyadékok kiméréséhez</t>
        </is>
      </c>
      <c r="C576" s="17" t="inlineStr">
        <is>
          <t>–</t>
        </is>
      </c>
      <c r="D576" s="17" t="inlineStr"/>
      <c r="E576" s="17" t="inlineStr">
        <is>
          <t>Nem tartozik ide</t>
        </is>
      </c>
      <c r="F576" s="17" t="inlineStr">
        <is>
          <t>az elmúlt 30 napban</t>
        </is>
      </c>
      <c r="G576" s="17" t="inlineStr">
        <is>
          <t>Más főkategória terméke</t>
        </is>
      </c>
    </row>
    <row r="577">
      <c r="A577" s="17" t="inlineStr">
        <is>
          <t>GRO1359</t>
        </is>
      </c>
      <c r="B577" s="17" t="inlineStr">
        <is>
          <t>Advanced Nutrients CarboLoad Liquid szénhidrát adalék 500 ml</t>
        </is>
      </c>
      <c r="C577" s="17" t="inlineStr">
        <is>
          <t>–</t>
        </is>
      </c>
      <c r="D577" s="17" t="inlineStr"/>
      <c r="E577" s="17" t="inlineStr">
        <is>
          <t>Nem tartozik ide</t>
        </is>
      </c>
      <c r="F577" s="17" t="inlineStr">
        <is>
          <t>az elmúlt 30 napban</t>
        </is>
      </c>
      <c r="G577" s="17" t="inlineStr">
        <is>
          <t>Más főkategória terméke</t>
        </is>
      </c>
    </row>
    <row r="578">
      <c r="A578" s="17" t="inlineStr">
        <is>
          <t>GRO1362</t>
        </is>
      </c>
      <c r="B578" s="17" t="inlineStr">
        <is>
          <t>CANNABOOST Accelerator virágzásserkentő adalék 5 liter</t>
        </is>
      </c>
      <c r="C578" s="17" t="inlineStr">
        <is>
          <t>–</t>
        </is>
      </c>
      <c r="D578" s="17" t="inlineStr"/>
      <c r="E578" s="17" t="inlineStr">
        <is>
          <t>Nem tartozik ide</t>
        </is>
      </c>
      <c r="F578" s="17" t="inlineStr">
        <is>
          <t>az elmúlt 30 napban</t>
        </is>
      </c>
      <c r="G578" s="17" t="inlineStr">
        <is>
          <t>Más főkategória terméke</t>
        </is>
      </c>
    </row>
    <row r="579">
      <c r="A579" s="17" t="inlineStr">
        <is>
          <t>GRO1387</t>
        </is>
      </c>
      <c r="B579" s="17" t="inlineStr">
        <is>
          <t>BioBizz Bio-Bloom szerves virágzási táp 10 liter</t>
        </is>
      </c>
      <c r="C579" s="17" t="inlineStr">
        <is>
          <t>–</t>
        </is>
      </c>
      <c r="D579" s="17" t="inlineStr"/>
      <c r="E579" s="17" t="inlineStr">
        <is>
          <t>Nem tartozik ide</t>
        </is>
      </c>
      <c r="F579" s="17" t="inlineStr">
        <is>
          <t>az elmúlt 30 napban</t>
        </is>
      </c>
      <c r="G579" s="17" t="inlineStr">
        <is>
          <t>Más főkategória terméke</t>
        </is>
      </c>
    </row>
    <row r="580">
      <c r="A580" s="17" t="inlineStr">
        <is>
          <t>GRO1399</t>
        </is>
      </c>
      <c r="B580" s="17" t="inlineStr">
        <is>
          <t>Plagron Promix föld gilisztahumusszal, előtrágyázás nélkül 50 liter</t>
        </is>
      </c>
      <c r="C580" s="17" t="inlineStr">
        <is>
          <t>–</t>
        </is>
      </c>
      <c r="D580" s="17" t="inlineStr"/>
      <c r="E580" s="17" t="inlineStr">
        <is>
          <t>Nem tartozik ide</t>
        </is>
      </c>
      <c r="F580" s="17" t="inlineStr">
        <is>
          <t>az elmúlt 30 napban</t>
        </is>
      </c>
      <c r="G580" s="17" t="inlineStr">
        <is>
          <t>Más főkategória terméke</t>
        </is>
      </c>
    </row>
    <row r="581">
      <c r="A581" s="17" t="inlineStr">
        <is>
          <t>GRO1400</t>
        </is>
      </c>
      <c r="B581" s="17" t="inlineStr">
        <is>
          <t>Plagron Lightmix föld, könnyű, gyengén előtrágyázott tőzeges közeg 25 liter</t>
        </is>
      </c>
      <c r="C581" s="17" t="inlineStr">
        <is>
          <t>–</t>
        </is>
      </c>
      <c r="D581" s="17" t="inlineStr"/>
      <c r="E581" s="17" t="inlineStr">
        <is>
          <t>Nem tartozik ide</t>
        </is>
      </c>
      <c r="F581" s="17" t="inlineStr">
        <is>
          <t>az elmúlt 30 napban</t>
        </is>
      </c>
      <c r="G581" s="17" t="inlineStr">
        <is>
          <t>Más főkategória terméke</t>
        </is>
      </c>
    </row>
    <row r="582">
      <c r="A582" s="17" t="inlineStr">
        <is>
          <t>GRO1401</t>
        </is>
      </c>
      <c r="B582" s="17" t="inlineStr">
        <is>
          <t>Plagron Growmix föld gilisztahumusszal, 3 hétre előtrágyázva 25 liter</t>
        </is>
      </c>
      <c r="C582" s="17" t="inlineStr">
        <is>
          <t>–</t>
        </is>
      </c>
      <c r="D582" s="17" t="inlineStr"/>
      <c r="E582" s="17" t="inlineStr">
        <is>
          <t>Nem tartozik ide</t>
        </is>
      </c>
      <c r="F582" s="17" t="inlineStr">
        <is>
          <t>az elmúlt 30 napban</t>
        </is>
      </c>
      <c r="G582" s="17" t="inlineStr">
        <is>
          <t>Más főkategória terméke</t>
        </is>
      </c>
    </row>
    <row r="583">
      <c r="A583" s="17" t="inlineStr">
        <is>
          <t>GRO1402</t>
        </is>
      </c>
      <c r="B583" s="17" t="inlineStr">
        <is>
          <t>Plagron Batmix föld denevérguanóval, bio minősítésű 25 liter</t>
        </is>
      </c>
      <c r="C583" s="17" t="inlineStr">
        <is>
          <t>–</t>
        </is>
      </c>
      <c r="D583" s="17" t="inlineStr"/>
      <c r="E583" s="17" t="inlineStr">
        <is>
          <t>Nem tartozik ide</t>
        </is>
      </c>
      <c r="F583" s="17" t="inlineStr">
        <is>
          <t>az elmúlt 30 napban</t>
        </is>
      </c>
      <c r="G583" s="17" t="inlineStr">
        <is>
          <t>Más főkategória terméke</t>
        </is>
      </c>
    </row>
    <row r="584">
      <c r="A584" s="17" t="inlineStr">
        <is>
          <t>GRO1403</t>
        </is>
      </c>
      <c r="B584" s="17" t="inlineStr">
        <is>
          <t>Plagron Royal Mix szerves föld perlittel, 6 hétre előtrágyázva 50 liter</t>
        </is>
      </c>
      <c r="C584" s="17" t="inlineStr">
        <is>
          <t>–</t>
        </is>
      </c>
      <c r="D584" s="17" t="inlineStr"/>
      <c r="E584" s="17" t="inlineStr">
        <is>
          <t>Nem tartozik ide</t>
        </is>
      </c>
      <c r="F584" s="17" t="inlineStr">
        <is>
          <t>az elmúlt 30 napban</t>
        </is>
      </c>
      <c r="G584" s="17" t="inlineStr">
        <is>
          <t>Más főkategória terméke</t>
        </is>
      </c>
    </row>
    <row r="585">
      <c r="A585" s="17" t="inlineStr">
        <is>
          <t>GRO1404</t>
        </is>
      </c>
      <c r="B585" s="17" t="inlineStr">
        <is>
          <t>Plagron Royal Mix szerves föld perlittel, 6 hétre előtrágyázva 25 liter</t>
        </is>
      </c>
      <c r="C585" s="17" t="inlineStr">
        <is>
          <t>–</t>
        </is>
      </c>
      <c r="D585" s="17" t="inlineStr"/>
      <c r="E585" s="17" t="inlineStr">
        <is>
          <t>Nem tartozik ide</t>
        </is>
      </c>
      <c r="F585" s="17" t="inlineStr">
        <is>
          <t>az elmúlt 30 napban</t>
        </is>
      </c>
      <c r="G585" s="17" t="inlineStr">
        <is>
          <t>Más főkategória terméke</t>
        </is>
      </c>
    </row>
    <row r="586">
      <c r="A586" s="17" t="inlineStr">
        <is>
          <t>GRO1405</t>
        </is>
      </c>
      <c r="B586" s="17" t="inlineStr">
        <is>
          <t>Plagron Cocos Premium pufferolt kókuszközeg, RHP minősítésű 50 liter</t>
        </is>
      </c>
      <c r="C586" s="17" t="inlineStr">
        <is>
          <t>–</t>
        </is>
      </c>
      <c r="D586" s="17" t="inlineStr"/>
      <c r="E586" s="17" t="inlineStr">
        <is>
          <t>Nem tartozik ide</t>
        </is>
      </c>
      <c r="F586" s="17" t="inlineStr">
        <is>
          <t>az elmúlt 30 napban</t>
        </is>
      </c>
      <c r="G586" s="17" t="inlineStr">
        <is>
          <t>Más főkategória terméke</t>
        </is>
      </c>
    </row>
    <row r="587">
      <c r="A587" s="17" t="inlineStr">
        <is>
          <t>GRO1406</t>
        </is>
      </c>
      <c r="B587" s="17" t="inlineStr">
        <is>
          <t>Plagron Euro Pebbles agyaggolyó hidrokultúrához, 8–16 mm, 45 liter</t>
        </is>
      </c>
      <c r="C587" s="17" t="inlineStr">
        <is>
          <t>–</t>
        </is>
      </c>
      <c r="D587" s="17" t="inlineStr"/>
      <c r="E587" s="17" t="inlineStr">
        <is>
          <t>Nem tartozik ide</t>
        </is>
      </c>
      <c r="F587" s="17" t="inlineStr">
        <is>
          <t>az elmúlt 30 napban</t>
        </is>
      </c>
      <c r="G587" s="17" t="inlineStr">
        <is>
          <t>Más főkategória terméke</t>
        </is>
      </c>
    </row>
    <row r="588">
      <c r="A588" s="17" t="inlineStr">
        <is>
          <t>GRO1408</t>
        </is>
      </c>
      <c r="B588" s="17" t="inlineStr">
        <is>
          <t>GSE öntözési időzítő</t>
        </is>
      </c>
      <c r="C588" s="17" t="inlineStr">
        <is>
          <t>–</t>
        </is>
      </c>
      <c r="D588" s="17" t="inlineStr"/>
      <c r="E588" s="17" t="inlineStr">
        <is>
          <t>Nem tartozik ide</t>
        </is>
      </c>
      <c r="F588" s="17" t="inlineStr">
        <is>
          <t>az elmúlt 6 hónapban</t>
        </is>
      </c>
      <c r="G588" s="17" t="inlineStr">
        <is>
          <t>Más főkategória terméke</t>
        </is>
      </c>
    </row>
    <row r="589">
      <c r="A589" s="17" t="inlineStr">
        <is>
          <t>GRO1418</t>
        </is>
      </c>
      <c r="B589" s="17" t="inlineStr">
        <is>
          <t>BioNova Micromix 250 ml</t>
        </is>
      </c>
      <c r="C589" s="17" t="inlineStr">
        <is>
          <t>–</t>
        </is>
      </c>
      <c r="D589" s="17" t="inlineStr"/>
      <c r="E589" s="17" t="inlineStr">
        <is>
          <t>Nem tartozik ide</t>
        </is>
      </c>
      <c r="F589" s="17" t="inlineStr">
        <is>
          <t>2025-10 – 2026-04</t>
        </is>
      </c>
      <c r="G589" s="17" t="inlineStr">
        <is>
          <t>Más főkategória terméke</t>
        </is>
      </c>
    </row>
    <row r="590">
      <c r="A590" s="17" t="inlineStr">
        <is>
          <t>GRO1422</t>
        </is>
      </c>
      <c r="B590" s="17" t="inlineStr">
        <is>
          <t>Advanced Nutrients CarboLoad Liquid szénhidrát adalék 5 liter</t>
        </is>
      </c>
      <c r="C590" s="17" t="inlineStr">
        <is>
          <t>–</t>
        </is>
      </c>
      <c r="D590" s="17" t="inlineStr"/>
      <c r="E590" s="17" t="inlineStr">
        <is>
          <t>Nem tartozik ide</t>
        </is>
      </c>
      <c r="F590" s="17" t="inlineStr">
        <is>
          <t>az elmúlt 30 napban</t>
        </is>
      </c>
      <c r="G590" s="17" t="inlineStr">
        <is>
          <t>Más főkategória terméke</t>
        </is>
      </c>
    </row>
    <row r="591">
      <c r="A591" s="17" t="inlineStr">
        <is>
          <t>GRO1426</t>
        </is>
      </c>
      <c r="B591" s="17" t="inlineStr">
        <is>
          <t>Milwaukee PH600 digitális pH teszter 0–14 pH, 0,1 pH felbontással</t>
        </is>
      </c>
      <c r="C591" s="17" t="inlineStr">
        <is>
          <t>–</t>
        </is>
      </c>
      <c r="D591" s="17" t="inlineStr"/>
      <c r="E591" s="17" t="inlineStr">
        <is>
          <t>Nem tartozik ide</t>
        </is>
      </c>
      <c r="F591" s="17" t="inlineStr">
        <is>
          <t>az elmúlt 30 napban</t>
        </is>
      </c>
      <c r="G591" s="17" t="inlineStr">
        <is>
          <t>Más főkategória terméke</t>
        </is>
      </c>
    </row>
    <row r="592">
      <c r="A592" s="17" t="inlineStr">
        <is>
          <t>GRO1427</t>
        </is>
      </c>
      <c r="B592" s="17" t="inlineStr">
        <is>
          <t>Milwaukee CD611 EC teszter 0–20 000 μS/cm, automatikus hőkompenzációval</t>
        </is>
      </c>
      <c r="C592" s="17" t="inlineStr">
        <is>
          <t>–</t>
        </is>
      </c>
      <c r="D592" s="17" t="inlineStr"/>
      <c r="E592" s="17" t="inlineStr">
        <is>
          <t>Nem tartozik ide</t>
        </is>
      </c>
      <c r="F592" s="17" t="inlineStr">
        <is>
          <t>az elmúlt 30 napban</t>
        </is>
      </c>
      <c r="G592" s="17" t="inlineStr">
        <is>
          <t>Más főkategória terméke</t>
        </is>
      </c>
    </row>
    <row r="593">
      <c r="A593" s="17" t="inlineStr">
        <is>
          <t>GRO1428</t>
        </is>
      </c>
      <c r="B593" s="17" t="inlineStr">
        <is>
          <t>Milwaukee Martini pH55 vízálló pH és hőmérséklet teszter cserélhető szondával</t>
        </is>
      </c>
      <c r="C593" s="17" t="inlineStr">
        <is>
          <t>–</t>
        </is>
      </c>
      <c r="D593" s="17" t="inlineStr"/>
      <c r="E593" s="17" t="inlineStr">
        <is>
          <t>Nem tartozik ide</t>
        </is>
      </c>
      <c r="F593" s="17" t="inlineStr">
        <is>
          <t>az elmúlt 30 napban</t>
        </is>
      </c>
      <c r="G593" s="17" t="inlineStr">
        <is>
          <t>Más főkategória terméke</t>
        </is>
      </c>
    </row>
    <row r="594">
      <c r="A594" s="17" t="inlineStr">
        <is>
          <t>GRO1429</t>
        </is>
      </c>
      <c r="B594" s="17" t="inlineStr">
        <is>
          <t>Milwaukee EC60 vízálló EC, TDS és hőmérséklet teszter cserélhető szondával</t>
        </is>
      </c>
      <c r="C594" s="17" t="inlineStr">
        <is>
          <t>–</t>
        </is>
      </c>
      <c r="D594" s="17" t="inlineStr"/>
      <c r="E594" s="17" t="inlineStr">
        <is>
          <t>Nem tartozik ide</t>
        </is>
      </c>
      <c r="F594" s="17" t="inlineStr">
        <is>
          <t>az elmúlt 30 napban</t>
        </is>
      </c>
      <c r="G594" s="17" t="inlineStr">
        <is>
          <t>Más főkategória terméke</t>
        </is>
      </c>
    </row>
    <row r="595">
      <c r="A595" s="17" t="inlineStr">
        <is>
          <t>GRO1436</t>
        </is>
      </c>
      <c r="B595" s="17" t="inlineStr">
        <is>
          <t>Can Filters Silencer CFS02 ventilátor hangtompító 125 mm, 45 cm, ásványgyapot szigeteléssel</t>
        </is>
      </c>
      <c r="C595" s="17" t="inlineStr">
        <is>
          <t>–</t>
        </is>
      </c>
      <c r="D595" s="17" t="inlineStr"/>
      <c r="E595" s="17" t="inlineStr">
        <is>
          <t>Nem tartozik ide</t>
        </is>
      </c>
      <c r="F595" s="17" t="inlineStr">
        <is>
          <t>az elmúlt 30 napban</t>
        </is>
      </c>
      <c r="G595" s="17" t="inlineStr">
        <is>
          <t>Más főkategória terméke</t>
        </is>
      </c>
    </row>
    <row r="596">
      <c r="A596" s="17" t="inlineStr">
        <is>
          <t>GRO1439</t>
        </is>
      </c>
      <c r="B596" s="17" t="inlineStr">
        <is>
          <t>Superpro AC-1 analóg klímaszabályzó hőmérséklet, páratartalom és CO2 vezérléséhez</t>
        </is>
      </c>
      <c r="C596" s="17" t="inlineStr">
        <is>
          <t>–</t>
        </is>
      </c>
      <c r="D596" s="17" t="inlineStr"/>
      <c r="E596" s="17" t="inlineStr">
        <is>
          <t>Nem tartozik ide</t>
        </is>
      </c>
      <c r="F596" s="17" t="inlineStr">
        <is>
          <t>az elmúlt 30 napban</t>
        </is>
      </c>
      <c r="G596" s="17" t="inlineStr">
        <is>
          <t>Más főkategória terméke</t>
        </is>
      </c>
    </row>
    <row r="597">
      <c r="A597" s="17" t="inlineStr">
        <is>
          <t>GRO1449</t>
        </is>
      </c>
      <c r="B597" s="17" t="inlineStr">
        <is>
          <t>Advanced Nutrients pH Perfect Sensi Grow A+B kétkomponensű növekedési alaptáp 1 liter</t>
        </is>
      </c>
      <c r="C597" s="17" t="inlineStr">
        <is>
          <t>–</t>
        </is>
      </c>
      <c r="D597" s="17" t="inlineStr"/>
      <c r="E597" s="17" t="inlineStr">
        <is>
          <t>Nem tartozik ide</t>
        </is>
      </c>
      <c r="F597" s="17" t="inlineStr">
        <is>
          <t>az elmúlt 30 napban</t>
        </is>
      </c>
      <c r="G597" s="17" t="inlineStr">
        <is>
          <t>Más főkategória terméke</t>
        </is>
      </c>
    </row>
    <row r="598">
      <c r="A598" s="17" t="inlineStr">
        <is>
          <t>GRO1451</t>
        </is>
      </c>
      <c r="B598" s="17" t="inlineStr">
        <is>
          <t>Advanced Nutrients pH Perfect Sensi Bloom A+B kétkomponensű virágzási alaptáp 1 liter</t>
        </is>
      </c>
      <c r="C598" s="17" t="inlineStr">
        <is>
          <t>–</t>
        </is>
      </c>
      <c r="D598" s="17" t="inlineStr"/>
      <c r="E598" s="17" t="inlineStr">
        <is>
          <t>Nem tartozik ide</t>
        </is>
      </c>
      <c r="F598" s="17" t="inlineStr">
        <is>
          <t>az elmúlt 30 napban</t>
        </is>
      </c>
      <c r="G598" s="17" t="inlineStr">
        <is>
          <t>Más főkategória terméke</t>
        </is>
      </c>
    </row>
    <row r="599">
      <c r="A599" s="17" t="inlineStr">
        <is>
          <t>GRO1456</t>
        </is>
      </c>
      <c r="B599" s="17" t="inlineStr">
        <is>
          <t>Cornwall fém padlóventilátor 55 W, 30 cm, 3 sebességfokozattal, állítható dőlésszöggel</t>
        </is>
      </c>
      <c r="C599" s="17" t="inlineStr">
        <is>
          <t>–</t>
        </is>
      </c>
      <c r="D599" s="17" t="inlineStr"/>
      <c r="E599" s="17" t="inlineStr">
        <is>
          <t>Nem tartozik ide</t>
        </is>
      </c>
      <c r="F599" s="17" t="inlineStr">
        <is>
          <t>az elmúlt 30 napban</t>
        </is>
      </c>
      <c r="G599" s="17" t="inlineStr">
        <is>
          <t>Más főkategória terméke</t>
        </is>
      </c>
    </row>
    <row r="600">
      <c r="A600" s="17" t="inlineStr">
        <is>
          <t>GRO1458</t>
        </is>
      </c>
      <c r="B600" s="17" t="inlineStr">
        <is>
          <t>Cornwall fém padlóventilátor 90W 40cm</t>
        </is>
      </c>
      <c r="C600" s="17" t="inlineStr">
        <is>
          <t>–</t>
        </is>
      </c>
      <c r="D600" s="17" t="inlineStr"/>
      <c r="E600" s="17" t="inlineStr">
        <is>
          <t>Nem tartozik ide</t>
        </is>
      </c>
      <c r="F600" s="17" t="inlineStr">
        <is>
          <t>az elmúlt 6 hónapban</t>
        </is>
      </c>
      <c r="G600" s="17" t="inlineStr">
        <is>
          <t>Más főkategória terméke</t>
        </is>
      </c>
    </row>
    <row r="601">
      <c r="A601" s="17" t="inlineStr">
        <is>
          <t>GRO1459</t>
        </is>
      </c>
      <c r="B601" s="17" t="inlineStr">
        <is>
          <t>Cornwall állóventilátor</t>
        </is>
      </c>
      <c r="C601" s="17" t="inlineStr">
        <is>
          <t>–</t>
        </is>
      </c>
      <c r="D601" s="17" t="inlineStr"/>
      <c r="E601" s="17" t="inlineStr">
        <is>
          <t>Nem tartozik ide</t>
        </is>
      </c>
      <c r="F601" s="17" t="inlineStr">
        <is>
          <t>az elmúlt 30 napban</t>
        </is>
      </c>
      <c r="G601" s="17" t="inlineStr">
        <is>
          <t>Más főkategória terméke</t>
        </is>
      </c>
    </row>
    <row r="602">
      <c r="A602" s="17" t="inlineStr">
        <is>
          <t>GRO1460</t>
        </is>
      </c>
      <c r="B602" s="17" t="inlineStr">
        <is>
          <t>Cornwall RF 40 padlóventilátor</t>
        </is>
      </c>
      <c r="C602" s="17" t="inlineStr">
        <is>
          <t>–</t>
        </is>
      </c>
      <c r="D602" s="17" t="inlineStr"/>
      <c r="E602" s="17" t="inlineStr">
        <is>
          <t>Nem tartozik ide</t>
        </is>
      </c>
      <c r="F602" s="17" t="inlineStr">
        <is>
          <t>az elmúlt 30 napban</t>
        </is>
      </c>
      <c r="G602" s="17" t="inlineStr">
        <is>
          <t>Más főkategória terméke</t>
        </is>
      </c>
    </row>
    <row r="603">
      <c r="A603" s="17" t="inlineStr">
        <is>
          <t>GRO1461</t>
        </is>
      </c>
      <c r="B603" s="17" t="inlineStr">
        <is>
          <t>Neptune Hydroponics Mist Maker ultrahangos párásító 24 V, vízszintérzékelővel</t>
        </is>
      </c>
      <c r="C603" s="17" t="inlineStr">
        <is>
          <t>–</t>
        </is>
      </c>
      <c r="D603" s="17" t="inlineStr"/>
      <c r="E603" s="17" t="inlineStr">
        <is>
          <t>Nem tartozik ide</t>
        </is>
      </c>
      <c r="F603" s="17" t="inlineStr">
        <is>
          <t>az elmúlt 30 napban</t>
        </is>
      </c>
      <c r="G603" s="17" t="inlineStr">
        <is>
          <t>Más főkategória terméke</t>
        </is>
      </c>
    </row>
    <row r="604">
      <c r="A604" s="17" t="inlineStr">
        <is>
          <t>GRO1464</t>
        </is>
      </c>
      <c r="B604" s="17" t="inlineStr">
        <is>
          <t>CANNA COGr Flores A/B kétkomponensű virágzási táp kókuszhoz 1 liter</t>
        </is>
      </c>
      <c r="C604" s="17" t="inlineStr">
        <is>
          <t>–</t>
        </is>
      </c>
      <c r="D604" s="17" t="inlineStr"/>
      <c r="E604" s="17" t="inlineStr">
        <is>
          <t>Nem tartozik ide</t>
        </is>
      </c>
      <c r="F604" s="17" t="inlineStr">
        <is>
          <t>az elmúlt 30 napban</t>
        </is>
      </c>
      <c r="G604" s="17" t="inlineStr">
        <is>
          <t>Más főkategória terméke</t>
        </is>
      </c>
    </row>
    <row r="605">
      <c r="A605" s="17" t="inlineStr">
        <is>
          <t>GRO1466</t>
        </is>
      </c>
      <c r="B605" s="17" t="inlineStr">
        <is>
          <t>Plagron Perlit, RHP minősítésű kertészeti perlit földhöz és hidrokultúrához 60 liter</t>
        </is>
      </c>
      <c r="C605" s="17" t="inlineStr">
        <is>
          <t>–</t>
        </is>
      </c>
      <c r="D605" s="17" t="inlineStr"/>
      <c r="E605" s="17" t="inlineStr">
        <is>
          <t>Nem tartozik ide</t>
        </is>
      </c>
      <c r="F605" s="17" t="inlineStr">
        <is>
          <t>az elmúlt 30 napban</t>
        </is>
      </c>
      <c r="G605" s="17" t="inlineStr">
        <is>
          <t>Más főkategória terméke</t>
        </is>
      </c>
    </row>
    <row r="606">
      <c r="A606" s="17" t="inlineStr">
        <is>
          <t>GRO1467</t>
        </is>
      </c>
      <c r="B606" s="17" t="inlineStr">
        <is>
          <t>CANNA Coco A/B kétkomponensű kókusztáp növekedéshez és virágzáshoz 10 liter</t>
        </is>
      </c>
      <c r="C606" s="17" t="inlineStr">
        <is>
          <t>–</t>
        </is>
      </c>
      <c r="D606" s="17" t="inlineStr"/>
      <c r="E606" s="17" t="inlineStr">
        <is>
          <t>Nem tartozik ide</t>
        </is>
      </c>
      <c r="F606" s="17" t="inlineStr">
        <is>
          <t>az elmúlt 30 napban</t>
        </is>
      </c>
      <c r="G606" s="17" t="inlineStr">
        <is>
          <t>Más főkategória terméke</t>
        </is>
      </c>
    </row>
    <row r="607">
      <c r="A607" s="17" t="inlineStr">
        <is>
          <t>GRO1529</t>
        </is>
      </c>
      <c r="B607" s="17" t="inlineStr">
        <is>
          <t>Canna Hydro Vega A/B 5 liter</t>
        </is>
      </c>
      <c r="C607" s="17" t="inlineStr">
        <is>
          <t>–</t>
        </is>
      </c>
      <c r="D607" s="17" t="inlineStr"/>
      <c r="E607" s="17" t="inlineStr">
        <is>
          <t>Nem tartozik ide</t>
        </is>
      </c>
      <c r="F607" s="17" t="inlineStr">
        <is>
          <t>az elmúlt 30 napban</t>
        </is>
      </c>
      <c r="G607" s="17" t="inlineStr">
        <is>
          <t>Más főkategória terméke</t>
        </is>
      </c>
    </row>
    <row r="608">
      <c r="A608" s="17" t="inlineStr">
        <is>
          <t>GRO1530</t>
        </is>
      </c>
      <c r="B608" s="17" t="inlineStr">
        <is>
          <t>CANNA Hydro Vega A/B kétkomponensű növekedési táp kőzetgyapothoz 10 liter</t>
        </is>
      </c>
      <c r="C608" s="17" t="inlineStr">
        <is>
          <t>–</t>
        </is>
      </c>
      <c r="D608" s="17" t="inlineStr"/>
      <c r="E608" s="17" t="inlineStr">
        <is>
          <t>Nem tartozik ide</t>
        </is>
      </c>
      <c r="F608" s="17" t="inlineStr">
        <is>
          <t>az elmúlt 30 napban</t>
        </is>
      </c>
      <c r="G608" s="17" t="inlineStr">
        <is>
          <t>Más főkategória terméke</t>
        </is>
      </c>
    </row>
    <row r="609">
      <c r="A609" s="17" t="inlineStr">
        <is>
          <t>GRO1531</t>
        </is>
      </c>
      <c r="B609" s="17" t="inlineStr">
        <is>
          <t>CANNA Hydro Flores A/B kétkomponensű virágzási táp kőzetgyapothoz 5 liter</t>
        </is>
      </c>
      <c r="C609" s="17" t="inlineStr">
        <is>
          <t>–</t>
        </is>
      </c>
      <c r="D609" s="17" t="inlineStr"/>
      <c r="E609" s="17" t="inlineStr">
        <is>
          <t>Nem tartozik ide</t>
        </is>
      </c>
      <c r="F609" s="17" t="inlineStr">
        <is>
          <t>az elmúlt 30 napban</t>
        </is>
      </c>
      <c r="G609" s="17" t="inlineStr">
        <is>
          <t>Más főkategória terméke</t>
        </is>
      </c>
    </row>
    <row r="610">
      <c r="A610" s="17" t="inlineStr">
        <is>
          <t>GRO1532</t>
        </is>
      </c>
      <c r="B610" s="17" t="inlineStr">
        <is>
          <t>Canna Aqua A/B Vega 5 liter</t>
        </is>
      </c>
      <c r="C610" s="17" t="inlineStr">
        <is>
          <t>–</t>
        </is>
      </c>
      <c r="D610" s="17" t="inlineStr"/>
      <c r="E610" s="17" t="inlineStr">
        <is>
          <t>Nem tartozik ide</t>
        </is>
      </c>
      <c r="F610" s="17" t="inlineStr">
        <is>
          <t>az elmúlt 6 hónapban</t>
        </is>
      </c>
      <c r="G610" s="17" t="inlineStr">
        <is>
          <t>Más főkategória terméke</t>
        </is>
      </c>
    </row>
    <row r="611">
      <c r="A611" s="17" t="inlineStr">
        <is>
          <t>GRO1535</t>
        </is>
      </c>
      <c r="B611" s="17" t="inlineStr">
        <is>
          <t>CANNA Rhizotonic tengeri alga alapú gyökérserkentő 5 liter</t>
        </is>
      </c>
      <c r="C611" s="17" t="inlineStr">
        <is>
          <t>–</t>
        </is>
      </c>
      <c r="D611" s="17" t="inlineStr"/>
      <c r="E611" s="17" t="inlineStr">
        <is>
          <t>Nem tartozik ide</t>
        </is>
      </c>
      <c r="F611" s="17" t="inlineStr">
        <is>
          <t>az elmúlt 30 napban</t>
        </is>
      </c>
      <c r="G611" s="17" t="inlineStr">
        <is>
          <t>Más főkategória terméke</t>
        </is>
      </c>
    </row>
    <row r="612">
      <c r="A612" s="17" t="inlineStr">
        <is>
          <t>GRO1536</t>
        </is>
      </c>
      <c r="B612" s="17" t="inlineStr">
        <is>
          <t>CANNA Rhizotonic tengeri alga alapú gyökérserkentő 10 liter</t>
        </is>
      </c>
      <c r="C612" s="17" t="inlineStr">
        <is>
          <t>–</t>
        </is>
      </c>
      <c r="D612" s="17" t="inlineStr"/>
      <c r="E612" s="17" t="inlineStr">
        <is>
          <t>Nem tartozik ide</t>
        </is>
      </c>
      <c r="F612" s="17" t="inlineStr">
        <is>
          <t>az elmúlt 30 napban</t>
        </is>
      </c>
      <c r="G612" s="17" t="inlineStr">
        <is>
          <t>Más főkategória terméke</t>
        </is>
      </c>
    </row>
    <row r="613">
      <c r="A613" s="17" t="inlineStr">
        <is>
          <t>GRO1537</t>
        </is>
      </c>
      <c r="B613" s="17" t="inlineStr">
        <is>
          <t>CANNAZYM enzimkészítmény az egészséges gyökérzónáért 10 liter</t>
        </is>
      </c>
      <c r="C613" s="17" t="inlineStr">
        <is>
          <t>–</t>
        </is>
      </c>
      <c r="D613" s="17" t="inlineStr"/>
      <c r="E613" s="17" t="inlineStr">
        <is>
          <t>Nem tartozik ide</t>
        </is>
      </c>
      <c r="F613" s="17" t="inlineStr">
        <is>
          <t>az elmúlt 30 napban</t>
        </is>
      </c>
      <c r="G613" s="17" t="inlineStr">
        <is>
          <t>Más főkategória terméke</t>
        </is>
      </c>
    </row>
    <row r="614">
      <c r="A614" s="17" t="inlineStr">
        <is>
          <t>GRO1538</t>
        </is>
      </c>
      <c r="B614" s="17" t="inlineStr">
        <is>
          <t>CANNA PK 13/14 foszfor-kálium virágzásserkentő 5 liter</t>
        </is>
      </c>
      <c r="C614" s="17" t="inlineStr">
        <is>
          <t>–</t>
        </is>
      </c>
      <c r="D614" s="17" t="inlineStr"/>
      <c r="E614" s="17" t="inlineStr">
        <is>
          <t>Nem tartozik ide</t>
        </is>
      </c>
      <c r="F614" s="17" t="inlineStr">
        <is>
          <t>az elmúlt 30 napban</t>
        </is>
      </c>
      <c r="G614" s="17" t="inlineStr">
        <is>
          <t>Más főkategória terméke</t>
        </is>
      </c>
    </row>
    <row r="615">
      <c r="A615" s="17" t="inlineStr">
        <is>
          <t>GRO1539</t>
        </is>
      </c>
      <c r="B615" s="17" t="inlineStr">
        <is>
          <t>CannaCure használatra kész levélpermet kártevők és penész ellen, szórófejes 750 ml</t>
        </is>
      </c>
      <c r="C615" s="17" t="inlineStr">
        <is>
          <t>–</t>
        </is>
      </c>
      <c r="D615" s="17" t="inlineStr"/>
      <c r="E615" s="17" t="inlineStr">
        <is>
          <t>Nem tartozik ide</t>
        </is>
      </c>
      <c r="F615" s="17" t="inlineStr">
        <is>
          <t>az elmúlt 30 napban</t>
        </is>
      </c>
      <c r="G615" s="17" t="inlineStr">
        <is>
          <t>Más főkategória terméke</t>
        </is>
      </c>
    </row>
    <row r="616">
      <c r="A616" s="17" t="inlineStr">
        <is>
          <t>GRO1540</t>
        </is>
      </c>
      <c r="B616" s="17" t="inlineStr">
        <is>
          <t>CannaCure koncentrált levélpermet kártevők és penész ellen, 1 liter koncentrátum</t>
        </is>
      </c>
      <c r="C616" s="17" t="inlineStr">
        <is>
          <t>–</t>
        </is>
      </c>
      <c r="D616" s="17" t="inlineStr"/>
      <c r="E616" s="17" t="inlineStr">
        <is>
          <t>Nem tartozik ide</t>
        </is>
      </c>
      <c r="F616" s="17" t="inlineStr">
        <is>
          <t>az elmúlt 30 napban</t>
        </is>
      </c>
      <c r="G616" s="17" t="inlineStr">
        <is>
          <t>Más főkategória terméke</t>
        </is>
      </c>
    </row>
    <row r="617">
      <c r="A617" s="17" t="inlineStr">
        <is>
          <t>GRO1542</t>
        </is>
      </c>
      <c r="B617" s="17" t="inlineStr">
        <is>
          <t>Vasalható vákuum zsák 30 x 50 cm, fényálló, hővel lezárható tasak</t>
        </is>
      </c>
      <c r="C617" s="17" t="inlineStr">
        <is>
          <t>–</t>
        </is>
      </c>
      <c r="D617" s="17" t="inlineStr"/>
      <c r="E617" s="17" t="inlineStr">
        <is>
          <t>Nem tartozik ide</t>
        </is>
      </c>
      <c r="F617" s="17" t="inlineStr">
        <is>
          <t>az elmúlt 30 napban</t>
        </is>
      </c>
      <c r="G617" s="17" t="inlineStr">
        <is>
          <t>Más főkategória terméke</t>
        </is>
      </c>
    </row>
    <row r="618">
      <c r="A618" s="17" t="inlineStr">
        <is>
          <t>GRO1551</t>
        </is>
      </c>
      <c r="B618" s="17" t="inlineStr">
        <is>
          <t>Milwaukee MC122 pH szabályozó kapcsolt aljzattal, MA911B/2 szondával</t>
        </is>
      </c>
      <c r="C618" s="17" t="inlineStr">
        <is>
          <t>–</t>
        </is>
      </c>
      <c r="D618" s="17" t="inlineStr"/>
      <c r="E618" s="17" t="inlineStr">
        <is>
          <t>Nem tartozik ide</t>
        </is>
      </c>
      <c r="F618" s="17" t="inlineStr">
        <is>
          <t>az elmúlt 30 napban</t>
        </is>
      </c>
      <c r="G618" s="17" t="inlineStr">
        <is>
          <t>Más főkategória terméke</t>
        </is>
      </c>
    </row>
    <row r="619">
      <c r="A619" s="17" t="inlineStr">
        <is>
          <t>GRO1552</t>
        </is>
      </c>
      <c r="B619" s="17" t="inlineStr">
        <is>
          <t>Milwaukee Ma911b/2 pH szonda</t>
        </is>
      </c>
      <c r="C619" s="17" t="inlineStr">
        <is>
          <t>–</t>
        </is>
      </c>
      <c r="D619" s="17" t="inlineStr"/>
      <c r="E619" s="17" t="inlineStr">
        <is>
          <t>Nem tartozik ide</t>
        </is>
      </c>
      <c r="F619" s="17" t="inlineStr">
        <is>
          <t>az elmúlt 6 hónapban</t>
        </is>
      </c>
      <c r="G619" s="17" t="inlineStr">
        <is>
          <t>Más főkategória terméke</t>
        </is>
      </c>
    </row>
    <row r="620">
      <c r="A620" s="17" t="inlineStr">
        <is>
          <t>GRO1553</t>
        </is>
      </c>
      <c r="B620" s="17" t="inlineStr">
        <is>
          <t>Milwaukee elektródatisztító folyadék 20 ml pH és EC mérőkhöz</t>
        </is>
      </c>
      <c r="C620" s="17" t="inlineStr">
        <is>
          <t>–</t>
        </is>
      </c>
      <c r="D620" s="17" t="inlineStr"/>
      <c r="E620" s="17" t="inlineStr">
        <is>
          <t>Nem tartozik ide</t>
        </is>
      </c>
      <c r="F620" s="17" t="inlineStr">
        <is>
          <t>az elmúlt 30 napban</t>
        </is>
      </c>
      <c r="G620" s="17" t="inlineStr">
        <is>
          <t>Más főkategória terméke</t>
        </is>
      </c>
    </row>
    <row r="621">
      <c r="A621" s="17" t="inlineStr">
        <is>
          <t>GRO1554</t>
        </is>
      </c>
      <c r="B621" s="17" t="inlineStr">
        <is>
          <t>Milwaukee MA9015 tároló folyadék pH és ORP elektródákhoz, 230 ml</t>
        </is>
      </c>
      <c r="C621" s="17" t="inlineStr">
        <is>
          <t>–</t>
        </is>
      </c>
      <c r="D621" s="17" t="inlineStr"/>
      <c r="E621" s="17" t="inlineStr">
        <is>
          <t>Nem tartozik ide</t>
        </is>
      </c>
      <c r="F621" s="17" t="inlineStr">
        <is>
          <t>az elmúlt 30 napban</t>
        </is>
      </c>
      <c r="G621" s="17" t="inlineStr">
        <is>
          <t>Más főkategória terméke</t>
        </is>
      </c>
    </row>
    <row r="622">
      <c r="A622" s="17" t="inlineStr">
        <is>
          <t>GRO1594</t>
        </is>
      </c>
      <c r="B622" s="17" t="inlineStr">
        <is>
          <t>Terra Aquatica Fulvic (GHE) 5 liter</t>
        </is>
      </c>
      <c r="C622" s="17" t="inlineStr">
        <is>
          <t>–</t>
        </is>
      </c>
      <c r="D622" s="17" t="inlineStr"/>
      <c r="E622" s="17" t="inlineStr">
        <is>
          <t>Nem tartozik ide</t>
        </is>
      </c>
      <c r="F622" s="17" t="inlineStr">
        <is>
          <t>2025-10 – 2026-04</t>
        </is>
      </c>
      <c r="G622" s="17" t="inlineStr">
        <is>
          <t>Más főkategória terméke</t>
        </is>
      </c>
    </row>
    <row r="623">
      <c r="A623" s="17" t="inlineStr">
        <is>
          <t>GRO1597</t>
        </is>
      </c>
      <c r="B623" s="17" t="inlineStr">
        <is>
          <t>Can-Fan RK 100 centrifugális csőventilátor 100 mm, 240 m3/h</t>
        </is>
      </c>
      <c r="C623" s="17" t="inlineStr">
        <is>
          <t>–</t>
        </is>
      </c>
      <c r="D623" s="17" t="inlineStr"/>
      <c r="E623" s="17" t="inlineStr">
        <is>
          <t>Nem tartozik ide</t>
        </is>
      </c>
      <c r="F623" s="17" t="inlineStr">
        <is>
          <t>az elmúlt 30 napban</t>
        </is>
      </c>
      <c r="G623" s="17" t="inlineStr">
        <is>
          <t>Más főkategória terméke</t>
        </is>
      </c>
    </row>
    <row r="624">
      <c r="A624" s="17" t="inlineStr">
        <is>
          <t>GRO1598</t>
        </is>
      </c>
      <c r="B624" s="17" t="inlineStr">
        <is>
          <t>Terra Aquatica (GHE) Tripart Flora Bloom 10 liter</t>
        </is>
      </c>
      <c r="C624" s="17" t="inlineStr">
        <is>
          <t>–</t>
        </is>
      </c>
      <c r="D624" s="17" t="inlineStr"/>
      <c r="E624" s="17" t="inlineStr">
        <is>
          <t>Nem tartozik ide</t>
        </is>
      </c>
      <c r="F624" s="17" t="inlineStr">
        <is>
          <t>az elmúlt 6 hónapban</t>
        </is>
      </c>
      <c r="G624" s="17" t="inlineStr">
        <is>
          <t>Más főkategória terméke</t>
        </is>
      </c>
    </row>
    <row r="625">
      <c r="A625" s="17" t="inlineStr">
        <is>
          <t>GRO1599</t>
        </is>
      </c>
      <c r="B625" s="17" t="inlineStr">
        <is>
          <t>Plagron Cocos A/B kétkomponensű ásványi alaptáp kókuszhoz 5 liter</t>
        </is>
      </c>
      <c r="C625" s="17" t="inlineStr">
        <is>
          <t>–</t>
        </is>
      </c>
      <c r="D625" s="17" t="inlineStr"/>
      <c r="E625" s="17" t="inlineStr">
        <is>
          <t>Nem tartozik ide</t>
        </is>
      </c>
      <c r="F625" s="17" t="inlineStr">
        <is>
          <t>az elmúlt 30 napban</t>
        </is>
      </c>
      <c r="G625" s="17" t="inlineStr">
        <is>
          <t>Más főkategória terméke</t>
        </is>
      </c>
    </row>
    <row r="626">
      <c r="A626" s="17" t="inlineStr">
        <is>
          <t>GRO1602</t>
        </is>
      </c>
      <c r="B626" s="17" t="inlineStr">
        <is>
          <t>Plagron PK 13-14 foszfor-kálium virágzásfokozó, NPK 0-13-14, 1 liter</t>
        </is>
      </c>
      <c r="C626" s="17" t="inlineStr">
        <is>
          <t>–</t>
        </is>
      </c>
      <c r="D626" s="17" t="inlineStr"/>
      <c r="E626" s="17" t="inlineStr">
        <is>
          <t>Nem tartozik ide</t>
        </is>
      </c>
      <c r="F626" s="17" t="inlineStr">
        <is>
          <t>az elmúlt 30 napban</t>
        </is>
      </c>
      <c r="G626" s="17" t="inlineStr">
        <is>
          <t>Más főkategória terméke</t>
        </is>
      </c>
    </row>
    <row r="627">
      <c r="A627" s="17" t="inlineStr">
        <is>
          <t>GRO1622</t>
        </is>
      </c>
      <c r="B627" s="17" t="inlineStr">
        <is>
          <t>Cool Tube 150 x 400 hűtött lámpabúra keményüveg csővel és E40 kerámiafoglalattal</t>
        </is>
      </c>
      <c r="C627" s="17" t="inlineStr">
        <is>
          <t>–</t>
        </is>
      </c>
      <c r="D627" s="17" t="inlineStr"/>
      <c r="E627" s="17" t="inlineStr">
        <is>
          <t>Nem tartozik ide</t>
        </is>
      </c>
      <c r="F627" s="17" t="inlineStr">
        <is>
          <t>az elmúlt 30 napban</t>
        </is>
      </c>
      <c r="G627" s="17" t="inlineStr">
        <is>
          <t>Más főkategória terméke</t>
        </is>
      </c>
    </row>
    <row r="628">
      <c r="A628" s="17" t="inlineStr">
        <is>
          <t>GRO1628</t>
        </is>
      </c>
      <c r="B628" s="17" t="inlineStr">
        <is>
          <t>Levegőztető porlasztókő rúd 10 cm</t>
        </is>
      </c>
      <c r="C628" s="17" t="inlineStr">
        <is>
          <t>–</t>
        </is>
      </c>
      <c r="D628" s="17" t="inlineStr"/>
      <c r="E628" s="17" t="inlineStr">
        <is>
          <t>Nem tartozik ide</t>
        </is>
      </c>
      <c r="F628" s="17" t="inlineStr">
        <is>
          <t>az elmúlt 30 napban</t>
        </is>
      </c>
      <c r="G628" s="17" t="inlineStr">
        <is>
          <t>Más főkategória terméke</t>
        </is>
      </c>
    </row>
    <row r="629">
      <c r="A629" s="17" t="inlineStr">
        <is>
          <t>GRO1629</t>
        </is>
      </c>
      <c r="B629" s="17" t="inlineStr">
        <is>
          <t>Levegőztető porlasztókő rúd 15 cm</t>
        </is>
      </c>
      <c r="C629" s="17" t="inlineStr">
        <is>
          <t>–</t>
        </is>
      </c>
      <c r="D629" s="17" t="inlineStr"/>
      <c r="E629" s="17" t="inlineStr">
        <is>
          <t>Nem tartozik ide</t>
        </is>
      </c>
      <c r="F629" s="17" t="inlineStr">
        <is>
          <t>az elmúlt 6 hónapban</t>
        </is>
      </c>
      <c r="G629" s="17" t="inlineStr">
        <is>
          <t>Más főkategória terméke</t>
        </is>
      </c>
    </row>
    <row r="630">
      <c r="A630" s="17" t="inlineStr">
        <is>
          <t>GRO1633</t>
        </is>
      </c>
      <c r="B630" s="17" t="inlineStr">
        <is>
          <t>Pipetta 5 ml műanyag, milliliteres skálával, tápok adagolásához</t>
        </is>
      </c>
      <c r="C630" s="17" t="inlineStr">
        <is>
          <t>–</t>
        </is>
      </c>
      <c r="D630" s="17" t="inlineStr"/>
      <c r="E630" s="17" t="inlineStr">
        <is>
          <t>Nem tartozik ide</t>
        </is>
      </c>
      <c r="F630" s="17" t="inlineStr">
        <is>
          <t>az elmúlt 30 napban</t>
        </is>
      </c>
      <c r="G630" s="17" t="inlineStr">
        <is>
          <t>Más főkategória terméke</t>
        </is>
      </c>
    </row>
    <row r="631">
      <c r="A631" s="17" t="inlineStr">
        <is>
          <t>GRO1655</t>
        </is>
      </c>
      <c r="B631" s="17" t="inlineStr">
        <is>
          <t>Can Fan csőventilátor RK 100LS</t>
        </is>
      </c>
      <c r="C631" s="17" t="inlineStr">
        <is>
          <t>–</t>
        </is>
      </c>
      <c r="D631" s="17" t="inlineStr"/>
      <c r="E631" s="17" t="inlineStr">
        <is>
          <t>Nem tartozik ide</t>
        </is>
      </c>
      <c r="F631" s="17" t="inlineStr">
        <is>
          <t>2025-10 – 2026-04</t>
        </is>
      </c>
      <c r="G631" s="17" t="inlineStr">
        <is>
          <t>Más főkategória terméke</t>
        </is>
      </c>
    </row>
    <row r="632">
      <c r="A632" s="17" t="inlineStr">
        <is>
          <t>GRO1656</t>
        </is>
      </c>
      <c r="B632" s="17" t="inlineStr">
        <is>
          <t>Can-Fan RK 125LS csőventilátor 125 mm, 370 m3/h, beépített 4 fokozatú kapcsolóval</t>
        </is>
      </c>
      <c r="C632" s="17" t="inlineStr">
        <is>
          <t>–</t>
        </is>
      </c>
      <c r="D632" s="17" t="inlineStr"/>
      <c r="E632" s="17" t="inlineStr">
        <is>
          <t>Nem tartozik ide</t>
        </is>
      </c>
      <c r="F632" s="17" t="inlineStr">
        <is>
          <t>az elmúlt 30 napban</t>
        </is>
      </c>
      <c r="G632" s="17" t="inlineStr">
        <is>
          <t>Más főkategória terméke</t>
        </is>
      </c>
    </row>
    <row r="633">
      <c r="A633" s="17" t="inlineStr">
        <is>
          <t>GRO1659</t>
        </is>
      </c>
      <c r="B633" s="17" t="inlineStr">
        <is>
          <t>Can-Fan Max-Fan 280 diagonális csőventilátor 280 mm, 2360 m3/h, 270 W</t>
        </is>
      </c>
      <c r="C633" s="17" t="inlineStr">
        <is>
          <t>–</t>
        </is>
      </c>
      <c r="D633" s="17" t="inlineStr"/>
      <c r="E633" s="17" t="inlineStr">
        <is>
          <t>Nem tartozik ide</t>
        </is>
      </c>
      <c r="F633" s="17" t="inlineStr">
        <is>
          <t>az elmúlt 30 napban</t>
        </is>
      </c>
      <c r="G633" s="17" t="inlineStr">
        <is>
          <t>Más főkategória terméke</t>
        </is>
      </c>
    </row>
    <row r="634">
      <c r="A634" s="17" t="inlineStr">
        <is>
          <t>GRO1660</t>
        </is>
      </c>
      <c r="B634" s="17" t="inlineStr">
        <is>
          <t>Can-Fan ISO-Max hangszigetelt csőventilátor 200 mm, 870 m3/h, 3 fokozatú</t>
        </is>
      </c>
      <c r="C634" s="17" t="inlineStr">
        <is>
          <t>–</t>
        </is>
      </c>
      <c r="D634" s="17" t="inlineStr"/>
      <c r="E634" s="17" t="inlineStr">
        <is>
          <t>Nem tartozik ide</t>
        </is>
      </c>
      <c r="F634" s="17" t="inlineStr">
        <is>
          <t>az elmúlt 30 napban</t>
        </is>
      </c>
      <c r="G634" s="17" t="inlineStr">
        <is>
          <t>Más főkategória terméke</t>
        </is>
      </c>
    </row>
    <row r="635">
      <c r="A635" s="17" t="inlineStr">
        <is>
          <t>GRO1661</t>
        </is>
      </c>
      <c r="B635" s="17" t="inlineStr">
        <is>
          <t>Can-Fan ISO-Max hangszigetelt csőventilátor 250 mm, 1480 m3/h</t>
        </is>
      </c>
      <c r="C635" s="17" t="inlineStr">
        <is>
          <t>–</t>
        </is>
      </c>
      <c r="D635" s="17" t="inlineStr"/>
      <c r="E635" s="17" t="inlineStr">
        <is>
          <t>Nem tartozik ide</t>
        </is>
      </c>
      <c r="F635" s="17" t="inlineStr">
        <is>
          <t>az elmúlt 30 napban</t>
        </is>
      </c>
      <c r="G635" s="17" t="inlineStr">
        <is>
          <t>Más főkategória terméke</t>
        </is>
      </c>
    </row>
    <row r="636">
      <c r="A636" s="17" t="inlineStr">
        <is>
          <t>GRO1662</t>
        </is>
      </c>
      <c r="B636" s="17" t="inlineStr">
        <is>
          <t>Can-Fan ISO-Max hangtompítós csőventilátor 250mm 2310m3</t>
        </is>
      </c>
      <c r="C636" s="17" t="inlineStr">
        <is>
          <t>–</t>
        </is>
      </c>
      <c r="D636" s="17" t="inlineStr"/>
      <c r="E636" s="17" t="inlineStr">
        <is>
          <t>Nem tartozik ide</t>
        </is>
      </c>
      <c r="F636" s="17" t="inlineStr">
        <is>
          <t>2024-10 – 2025-09 (lehet, hogy már nem aktív)</t>
        </is>
      </c>
      <c r="G636" s="17" t="inlineStr">
        <is>
          <t>Más főkategória terméke</t>
        </is>
      </c>
    </row>
    <row r="637">
      <c r="A637" s="17" t="inlineStr">
        <is>
          <t>GRO1663</t>
        </is>
      </c>
      <c r="B637" s="17" t="inlineStr">
        <is>
          <t>Can Filters Can-Lite 3000 aktív szénszűrő acél házzal, 3000 m3/h, 315 mm szűrővég</t>
        </is>
      </c>
      <c r="C637" s="17" t="inlineStr">
        <is>
          <t>–</t>
        </is>
      </c>
      <c r="D637" s="17" t="inlineStr"/>
      <c r="E637" s="17" t="inlineStr">
        <is>
          <t>Nem tartozik ide</t>
        </is>
      </c>
      <c r="F637" s="17" t="inlineStr">
        <is>
          <t>az elmúlt 30 napban</t>
        </is>
      </c>
      <c r="G637" s="17" t="inlineStr">
        <is>
          <t>Más főkategória terméke</t>
        </is>
      </c>
    </row>
    <row r="638">
      <c r="A638" s="17" t="inlineStr">
        <is>
          <t>GRO1664</t>
        </is>
      </c>
      <c r="B638" s="17" t="inlineStr">
        <is>
          <t>Can Filters Silencer CFS06 ventilátor hangtompító 200 mm, 45 cm, ásványgyapot szigeteléssel</t>
        </is>
      </c>
      <c r="C638" s="17" t="inlineStr">
        <is>
          <t>–</t>
        </is>
      </c>
      <c r="D638" s="17" t="inlineStr"/>
      <c r="E638" s="17" t="inlineStr">
        <is>
          <t>Nem tartozik ide</t>
        </is>
      </c>
      <c r="F638" s="17" t="inlineStr">
        <is>
          <t>az elmúlt 30 napban</t>
        </is>
      </c>
      <c r="G638" s="17" t="inlineStr">
        <is>
          <t>Más főkategória terméke</t>
        </is>
      </c>
    </row>
    <row r="639">
      <c r="A639" s="17" t="inlineStr">
        <is>
          <t>GRO1668</t>
        </is>
      </c>
      <c r="B639" s="17" t="inlineStr">
        <is>
          <t>Keskeny légtechnikai bilincs 110–130 mm, horganyzott acél, Vents C 125 Zn</t>
        </is>
      </c>
      <c r="C639" s="17" t="inlineStr">
        <is>
          <t>–</t>
        </is>
      </c>
      <c r="D639" s="17" t="inlineStr"/>
      <c r="E639" s="17" t="inlineStr">
        <is>
          <t>Nem tartozik ide</t>
        </is>
      </c>
      <c r="F639" s="17" t="inlineStr">
        <is>
          <t>az elmúlt 30 napban</t>
        </is>
      </c>
      <c r="G639" s="17" t="inlineStr">
        <is>
          <t>Más főkategória terméke</t>
        </is>
      </c>
    </row>
    <row r="640">
      <c r="A640" s="17" t="inlineStr">
        <is>
          <t>GRO1669</t>
        </is>
      </c>
      <c r="B640" s="17" t="inlineStr">
        <is>
          <t>Keskeny légtechnikai bilincs 140–160 mm, horganyzott acél</t>
        </is>
      </c>
      <c r="C640" s="17" t="inlineStr">
        <is>
          <t>–</t>
        </is>
      </c>
      <c r="D640" s="17" t="inlineStr"/>
      <c r="E640" s="17" t="inlineStr">
        <is>
          <t>Nem tartozik ide</t>
        </is>
      </c>
      <c r="F640" s="17" t="inlineStr">
        <is>
          <t>az elmúlt 30 napban</t>
        </is>
      </c>
      <c r="G640" s="17" t="inlineStr">
        <is>
          <t>Más főkategória terméke</t>
        </is>
      </c>
    </row>
    <row r="641">
      <c r="A641" s="17" t="inlineStr">
        <is>
          <t>GRO1670</t>
        </is>
      </c>
      <c r="B641" s="17" t="inlineStr">
        <is>
          <t>Vents C Zn légtechnikai csőbilincs 150-170 mm</t>
        </is>
      </c>
      <c r="C641" s="17" t="inlineStr">
        <is>
          <t>–</t>
        </is>
      </c>
      <c r="D641" s="17" t="inlineStr"/>
      <c r="E641" s="17" t="inlineStr">
        <is>
          <t>Nem tartozik ide</t>
        </is>
      </c>
      <c r="F641" s="17" t="inlineStr">
        <is>
          <t>2024-10 – 2025-09 (lehet, hogy már nem aktív)</t>
        </is>
      </c>
      <c r="G641" s="17" t="inlineStr">
        <is>
          <t>Más főkategória terméke</t>
        </is>
      </c>
    </row>
    <row r="642">
      <c r="A642" s="17" t="inlineStr">
        <is>
          <t>GRO1679</t>
        </is>
      </c>
      <c r="B642" s="17" t="inlineStr">
        <is>
          <t>Nutriculture Wilma csepegtető rendszer 8 x 11 l</t>
        </is>
      </c>
      <c r="C642" s="17" t="inlineStr">
        <is>
          <t>–</t>
        </is>
      </c>
      <c r="D642" s="17" t="inlineStr"/>
      <c r="E642" s="17" t="inlineStr">
        <is>
          <t>Nem tartozik ide</t>
        </is>
      </c>
      <c r="F642" s="17" t="inlineStr">
        <is>
          <t>az elmúlt 30 napban</t>
        </is>
      </c>
      <c r="G642" s="17" t="inlineStr">
        <is>
          <t>Más főkategória terméke</t>
        </is>
      </c>
    </row>
    <row r="643">
      <c r="A643" s="17" t="inlineStr">
        <is>
          <t>GRO1680</t>
        </is>
      </c>
      <c r="B643" s="17" t="inlineStr">
        <is>
          <t>Wilma csepegtető rendszer 10 x 6,5 l</t>
        </is>
      </c>
      <c r="C643" s="17" t="inlineStr">
        <is>
          <t>–</t>
        </is>
      </c>
      <c r="D643" s="17" t="inlineStr"/>
      <c r="E643" s="17" t="inlineStr">
        <is>
          <t>Nem tartozik ide</t>
        </is>
      </c>
      <c r="F643" s="17" t="inlineStr">
        <is>
          <t>az elmúlt 30 napban</t>
        </is>
      </c>
      <c r="G643" s="17" t="inlineStr">
        <is>
          <t>Más főkategória terméke</t>
        </is>
      </c>
    </row>
    <row r="644">
      <c r="A644" s="17" t="inlineStr">
        <is>
          <t>GRO1681</t>
        </is>
      </c>
      <c r="B644" s="17" t="inlineStr">
        <is>
          <t>Nutriculture Wilma csepegtető rendszer 4 x 18 l</t>
        </is>
      </c>
      <c r="C644" s="17" t="inlineStr">
        <is>
          <t>–</t>
        </is>
      </c>
      <c r="D644" s="17" t="inlineStr"/>
      <c r="E644" s="17" t="inlineStr">
        <is>
          <t>Nem tartozik ide</t>
        </is>
      </c>
      <c r="F644" s="17" t="inlineStr">
        <is>
          <t>az elmúlt 30 napban</t>
        </is>
      </c>
      <c r="G644" s="17" t="inlineStr">
        <is>
          <t>Más főkategória terméke</t>
        </is>
      </c>
    </row>
    <row r="645">
      <c r="A645" s="17" t="inlineStr">
        <is>
          <t>GRO1682</t>
        </is>
      </c>
      <c r="B645" s="17" t="inlineStr">
        <is>
          <t>Nutriculture Wilma csepegtető rendszer 8 x 18 l</t>
        </is>
      </c>
      <c r="C645" s="17" t="inlineStr">
        <is>
          <t>–</t>
        </is>
      </c>
      <c r="D645" s="17" t="inlineStr"/>
      <c r="E645" s="17" t="inlineStr">
        <is>
          <t>Nem tartozik ide</t>
        </is>
      </c>
      <c r="F645" s="17" t="inlineStr">
        <is>
          <t>az elmúlt 30 napban</t>
        </is>
      </c>
      <c r="G645" s="17" t="inlineStr">
        <is>
          <t>Más főkategória terméke</t>
        </is>
      </c>
    </row>
    <row r="646">
      <c r="A646" s="17" t="inlineStr">
        <is>
          <t>GRO1683</t>
        </is>
      </c>
      <c r="B646" s="17" t="inlineStr">
        <is>
          <t>Nutriculture Wilma csepegtető rendszer 16 x 11 l</t>
        </is>
      </c>
      <c r="C646" s="17" t="inlineStr">
        <is>
          <t>–</t>
        </is>
      </c>
      <c r="D646" s="17" t="inlineStr"/>
      <c r="E646" s="17" t="inlineStr">
        <is>
          <t>Nem tartozik ide</t>
        </is>
      </c>
      <c r="F646" s="17" t="inlineStr">
        <is>
          <t>az elmúlt 30 napban</t>
        </is>
      </c>
      <c r="G646" s="17" t="inlineStr">
        <is>
          <t>Más főkategória terméke</t>
        </is>
      </c>
    </row>
    <row r="647">
      <c r="A647" s="17" t="inlineStr">
        <is>
          <t>GRO1685</t>
        </is>
      </c>
      <c r="B647" s="17" t="inlineStr">
        <is>
          <t>Nutriculture Flo-Gro Csepegtető Rendszer FG 500</t>
        </is>
      </c>
      <c r="C647" s="17" t="inlineStr">
        <is>
          <t>–</t>
        </is>
      </c>
      <c r="D647" s="17" t="inlineStr"/>
      <c r="E647" s="17" t="inlineStr">
        <is>
          <t>Nem tartozik ide</t>
        </is>
      </c>
      <c r="F647" s="17" t="inlineStr">
        <is>
          <t>2024-10 – 2025-09 (lehet, hogy már nem aktív)</t>
        </is>
      </c>
      <c r="G647" s="17" t="inlineStr">
        <is>
          <t>Más főkategória terméke</t>
        </is>
      </c>
    </row>
    <row r="648">
      <c r="A648" s="17" t="inlineStr">
        <is>
          <t>GRO1688</t>
        </is>
      </c>
      <c r="B648" s="17" t="inlineStr">
        <is>
          <t>NutriCulture Propagator X-stream Clone Master PT400</t>
        </is>
      </c>
      <c r="C648" s="17" t="inlineStr">
        <is>
          <t>–</t>
        </is>
      </c>
      <c r="D648" s="17" t="inlineStr"/>
      <c r="E648" s="17" t="inlineStr">
        <is>
          <t>Nem tartozik ide</t>
        </is>
      </c>
      <c r="F648" s="17" t="inlineStr">
        <is>
          <t>az elmúlt 30 napban</t>
        </is>
      </c>
      <c r="G648" s="17" t="inlineStr">
        <is>
          <t>Más főkategória terméke</t>
        </is>
      </c>
    </row>
    <row r="649">
      <c r="A649" s="17" t="inlineStr">
        <is>
          <t>GRO1698</t>
        </is>
      </c>
      <c r="B649" s="17" t="inlineStr">
        <is>
          <t>Philips T5 830 BLOOM fénycső (Lightwave LW22-LW24 reflektorhoz) 3000K 24W</t>
        </is>
      </c>
      <c r="C649" s="17" t="inlineStr">
        <is>
          <t>–</t>
        </is>
      </c>
      <c r="D649" s="17" t="inlineStr"/>
      <c r="E649" s="17" t="inlineStr">
        <is>
          <t>Nem tartozik ide</t>
        </is>
      </c>
      <c r="F649" s="17" t="inlineStr">
        <is>
          <t>2025-10 – 2026-04</t>
        </is>
      </c>
      <c r="G649" s="17" t="inlineStr">
        <is>
          <t>Más főkategória terméke</t>
        </is>
      </c>
    </row>
    <row r="650">
      <c r="A650" s="17" t="inlineStr">
        <is>
          <t>GRO1717</t>
        </is>
      </c>
      <c r="B650" s="17" t="inlineStr">
        <is>
          <t>Metrop MR1 5 liter</t>
        </is>
      </c>
      <c r="C650" s="17" t="inlineStr">
        <is>
          <t>–</t>
        </is>
      </c>
      <c r="D650" s="17" t="inlineStr"/>
      <c r="E650" s="17" t="inlineStr">
        <is>
          <t>Nem tartozik ide</t>
        </is>
      </c>
      <c r="F650" s="17" t="inlineStr">
        <is>
          <t>2025-10 – 2026-04</t>
        </is>
      </c>
      <c r="G650" s="17" t="inlineStr">
        <is>
          <t>Más főkategória terméke</t>
        </is>
      </c>
    </row>
    <row r="651">
      <c r="A651" s="17" t="inlineStr">
        <is>
          <t>GRO1718</t>
        </is>
      </c>
      <c r="B651" s="17" t="inlineStr">
        <is>
          <t>Metrop MR2 5 liter</t>
        </is>
      </c>
      <c r="C651" s="17" t="inlineStr">
        <is>
          <t>–</t>
        </is>
      </c>
      <c r="D651" s="17" t="inlineStr"/>
      <c r="E651" s="17" t="inlineStr">
        <is>
          <t>Nem tartozik ide</t>
        </is>
      </c>
      <c r="F651" s="17" t="inlineStr">
        <is>
          <t>2024-10 – 2025-09 (lehet, hogy már nem aktív)</t>
        </is>
      </c>
      <c r="G651" s="17" t="inlineStr">
        <is>
          <t>Más főkategória terméke</t>
        </is>
      </c>
    </row>
    <row r="652">
      <c r="A652" s="17" t="inlineStr">
        <is>
          <t>GRO1719</t>
        </is>
      </c>
      <c r="B652" s="17" t="inlineStr">
        <is>
          <t>Metrop AminoXtreme 5 liter</t>
        </is>
      </c>
      <c r="C652" s="17" t="inlineStr">
        <is>
          <t>–</t>
        </is>
      </c>
      <c r="D652" s="17" t="inlineStr"/>
      <c r="E652" s="17" t="inlineStr">
        <is>
          <t>Nem tartozik ide</t>
        </is>
      </c>
      <c r="F652" s="17" t="inlineStr">
        <is>
          <t>2024-10 – 2025-09 (lehet, hogy már nem aktív)</t>
        </is>
      </c>
      <c r="G652" s="17" t="inlineStr">
        <is>
          <t>Más főkategória terméke</t>
        </is>
      </c>
    </row>
    <row r="653">
      <c r="A653" s="17" t="inlineStr">
        <is>
          <t>GRO1721</t>
        </is>
      </c>
      <c r="B653" s="17" t="inlineStr">
        <is>
          <t>Metrop Cal Green kalcium-magnézium kiegészítő 5 liter</t>
        </is>
      </c>
      <c r="C653" s="17" t="inlineStr">
        <is>
          <t>–</t>
        </is>
      </c>
      <c r="D653" s="17" t="inlineStr"/>
      <c r="E653" s="17" t="inlineStr">
        <is>
          <t>Nem tartozik ide</t>
        </is>
      </c>
      <c r="F653" s="17" t="inlineStr">
        <is>
          <t>az elmúlt 30 napban</t>
        </is>
      </c>
      <c r="G653" s="17" t="inlineStr">
        <is>
          <t>Más főkategória terméke</t>
        </is>
      </c>
    </row>
    <row r="654">
      <c r="A654" s="17" t="inlineStr">
        <is>
          <t>GRO1722</t>
        </is>
      </c>
      <c r="B654" s="17" t="inlineStr">
        <is>
          <t>Metrop Amino Root 5 liter</t>
        </is>
      </c>
      <c r="C654" s="17" t="inlineStr">
        <is>
          <t>–</t>
        </is>
      </c>
      <c r="D654" s="17" t="inlineStr"/>
      <c r="E654" s="17" t="inlineStr">
        <is>
          <t>Nem tartozik ide</t>
        </is>
      </c>
      <c r="F654" s="17" t="inlineStr">
        <is>
          <t>2024-10 – 2025-09 (lehet, hogy már nem aktív)</t>
        </is>
      </c>
      <c r="G654" s="17" t="inlineStr">
        <is>
          <t>Más főkategória terméke</t>
        </is>
      </c>
    </row>
    <row r="655">
      <c r="A655" s="17" t="inlineStr">
        <is>
          <t>GRO1736</t>
        </is>
      </c>
      <c r="B655" s="17" t="inlineStr">
        <is>
          <t>Levegőztető cső 6x4 mm fekete, akváriumhoz és hidropóniához, méterre</t>
        </is>
      </c>
      <c r="C655" s="17" t="inlineStr">
        <is>
          <t>–</t>
        </is>
      </c>
      <c r="D655" s="17" t="inlineStr"/>
      <c r="E655" s="17" t="inlineStr">
        <is>
          <t>Nem tartozik ide</t>
        </is>
      </c>
      <c r="F655" s="17" t="inlineStr">
        <is>
          <t>az elmúlt 30 napban</t>
        </is>
      </c>
      <c r="G655" s="17" t="inlineStr">
        <is>
          <t>Más főkategória terméke</t>
        </is>
      </c>
    </row>
    <row r="656">
      <c r="A656" s="17" t="inlineStr">
        <is>
          <t>GRO1757</t>
        </is>
      </c>
      <c r="B656" s="17" t="inlineStr">
        <is>
          <t>Nutriculture X-Stream 20 aeropónikus propagátorhoz vízadagoló rendszer</t>
        </is>
      </c>
      <c r="C656" s="17" t="inlineStr">
        <is>
          <t>–</t>
        </is>
      </c>
      <c r="D656" s="17" t="inlineStr"/>
      <c r="E656" s="17" t="inlineStr">
        <is>
          <t>Nem tartozik ide</t>
        </is>
      </c>
      <c r="F656" s="17" t="inlineStr">
        <is>
          <t>2025-10 – 2026-04</t>
        </is>
      </c>
      <c r="G656" s="17" t="inlineStr">
        <is>
          <t>Más főkategória terméke</t>
        </is>
      </c>
    </row>
    <row r="657">
      <c r="A657" s="17" t="inlineStr">
        <is>
          <t>GRO1758</t>
        </is>
      </c>
      <c r="B657" s="17" t="inlineStr">
        <is>
          <t>Nutriculture X-Stream Heat fűthető propagátor Small, 1 db 150-es Grodan SBS tálca</t>
        </is>
      </c>
      <c r="C657" s="17" t="inlineStr">
        <is>
          <t>–</t>
        </is>
      </c>
      <c r="D657" s="17" t="inlineStr"/>
      <c r="E657" s="17" t="inlineStr">
        <is>
          <t>Nem tartozik ide</t>
        </is>
      </c>
      <c r="F657" s="17" t="inlineStr">
        <is>
          <t>az elmúlt 30 napban</t>
        </is>
      </c>
      <c r="G657" s="17" t="inlineStr">
        <is>
          <t>Más főkategória terméke</t>
        </is>
      </c>
    </row>
    <row r="658">
      <c r="A658" s="17" t="inlineStr">
        <is>
          <t>GRO1759</t>
        </is>
      </c>
      <c r="B658" s="17" t="inlineStr">
        <is>
          <t>Nutriculture X-Stream Heat fűthető propagátor Large</t>
        </is>
      </c>
      <c r="C658" s="17" t="inlineStr">
        <is>
          <t>–</t>
        </is>
      </c>
      <c r="D658" s="17" t="inlineStr"/>
      <c r="E658" s="17" t="inlineStr">
        <is>
          <t>Nem tartozik ide</t>
        </is>
      </c>
      <c r="F658" s="17" t="inlineStr">
        <is>
          <t>2025-10 – 2026-04</t>
        </is>
      </c>
      <c r="G658" s="17" t="inlineStr">
        <is>
          <t>Más főkategória terméke</t>
        </is>
      </c>
    </row>
    <row r="659">
      <c r="A659" s="17" t="inlineStr">
        <is>
          <t>GRO1763</t>
        </is>
      </c>
      <c r="B659" s="17" t="inlineStr">
        <is>
          <t>Bordás T idom 4 mm levegőztető csőhöz</t>
        </is>
      </c>
      <c r="C659" s="17" t="inlineStr">
        <is>
          <t>–</t>
        </is>
      </c>
      <c r="D659" s="17" t="inlineStr"/>
      <c r="E659" s="17" t="inlineStr">
        <is>
          <t>Nem tartozik ide</t>
        </is>
      </c>
      <c r="F659" s="17" t="inlineStr">
        <is>
          <t>az elmúlt 30 napban</t>
        </is>
      </c>
      <c r="G659" s="17" t="inlineStr">
        <is>
          <t>Más főkategória terméke</t>
        </is>
      </c>
    </row>
    <row r="660">
      <c r="A660" s="17" t="inlineStr">
        <is>
          <t>GRO1766</t>
        </is>
      </c>
      <c r="B660" s="17" t="inlineStr">
        <is>
          <t>Advanced Nutrients Bud Factor X virágzási biostimulátor és szárerősítő 250 ml</t>
        </is>
      </c>
      <c r="C660" s="17" t="inlineStr">
        <is>
          <t>–</t>
        </is>
      </c>
      <c r="D660" s="17" t="inlineStr"/>
      <c r="E660" s="17" t="inlineStr">
        <is>
          <t>Nem tartozik ide</t>
        </is>
      </c>
      <c r="F660" s="17" t="inlineStr">
        <is>
          <t>az elmúlt 30 napban</t>
        </is>
      </c>
      <c r="G660" s="17" t="inlineStr">
        <is>
          <t>Más főkategória terméke</t>
        </is>
      </c>
    </row>
    <row r="661">
      <c r="A661" s="17" t="inlineStr">
        <is>
          <t>GRO1767</t>
        </is>
      </c>
      <c r="B661" s="17" t="inlineStr">
        <is>
          <t>Plagron Bat Guano denevérguanó alapú szerves talajadalék por 1 liter</t>
        </is>
      </c>
      <c r="C661" s="17" t="inlineStr">
        <is>
          <t>–</t>
        </is>
      </c>
      <c r="D661" s="17" t="inlineStr"/>
      <c r="E661" s="17" t="inlineStr">
        <is>
          <t>Nem tartozik ide</t>
        </is>
      </c>
      <c r="F661" s="17" t="inlineStr">
        <is>
          <t>az elmúlt 30 napban</t>
        </is>
      </c>
      <c r="G661" s="17" t="inlineStr">
        <is>
          <t>Más főkategória terméke</t>
        </is>
      </c>
    </row>
    <row r="662">
      <c r="A662" s="17" t="inlineStr">
        <is>
          <t>GRO1771</t>
        </is>
      </c>
      <c r="B662" s="17" t="inlineStr">
        <is>
          <t>Sonoflex flexibilis cső 10m 315 mm</t>
        </is>
      </c>
      <c r="C662" s="17" t="inlineStr">
        <is>
          <t>–</t>
        </is>
      </c>
      <c r="D662" s="17" t="inlineStr"/>
      <c r="E662" s="17" t="inlineStr">
        <is>
          <t>Nem tartozik ide</t>
        </is>
      </c>
      <c r="F662" s="17" t="inlineStr">
        <is>
          <t>2025-10 – 2026-04</t>
        </is>
      </c>
      <c r="G662" s="17" t="inlineStr">
        <is>
          <t>Más főkategória terméke</t>
        </is>
      </c>
    </row>
    <row r="663">
      <c r="A663" s="17" t="inlineStr">
        <is>
          <t>GRO1773</t>
        </is>
      </c>
      <c r="B663" s="17" t="inlineStr">
        <is>
          <t>Prima Klima Spudnik léghűtéses reflektor 150 mm-es csatlakozással, dupla falú házzal</t>
        </is>
      </c>
      <c r="C663" s="17" t="inlineStr">
        <is>
          <t>–</t>
        </is>
      </c>
      <c r="D663" s="17" t="inlineStr"/>
      <c r="E663" s="17" t="inlineStr">
        <is>
          <t>Nem tartozik ide</t>
        </is>
      </c>
      <c r="F663" s="17" t="inlineStr">
        <is>
          <t>az elmúlt 30 napban</t>
        </is>
      </c>
      <c r="G663" s="17" t="inlineStr">
        <is>
          <t>Más főkategória terméke</t>
        </is>
      </c>
    </row>
    <row r="664">
      <c r="A664" s="17" t="inlineStr">
        <is>
          <t>GRO1774</t>
        </is>
      </c>
      <c r="B664" s="17" t="inlineStr">
        <is>
          <t>Prima Klima Spudnik léghűtéses reflektor 125 mm-es csatlakozással, dupla falú házzal</t>
        </is>
      </c>
      <c r="C664" s="17" t="inlineStr">
        <is>
          <t>–</t>
        </is>
      </c>
      <c r="D664" s="17" t="inlineStr"/>
      <c r="E664" s="17" t="inlineStr">
        <is>
          <t>Nem tartozik ide</t>
        </is>
      </c>
      <c r="F664" s="17" t="inlineStr">
        <is>
          <t>az elmúlt 30 napban</t>
        </is>
      </c>
      <c r="G664" s="17" t="inlineStr">
        <is>
          <t>Más főkategória terméke</t>
        </is>
      </c>
    </row>
    <row r="665">
      <c r="A665" s="17" t="inlineStr">
        <is>
          <t>GRO1778</t>
        </is>
      </c>
      <c r="B665" s="17" t="inlineStr">
        <is>
          <t>CANNA Coco A/B kétkomponensű kókusztáp növekedéshez és virágzáshoz 1 liter</t>
        </is>
      </c>
      <c r="C665" s="17" t="inlineStr">
        <is>
          <t>–</t>
        </is>
      </c>
      <c r="D665" s="17" t="inlineStr"/>
      <c r="E665" s="17" t="inlineStr">
        <is>
          <t>Nem tartozik ide</t>
        </is>
      </c>
      <c r="F665" s="17" t="inlineStr">
        <is>
          <t>az elmúlt 30 napban</t>
        </is>
      </c>
      <c r="G665" s="17" t="inlineStr">
        <is>
          <t>Más főkategória terméke</t>
        </is>
      </c>
    </row>
    <row r="666">
      <c r="A666" s="17" t="inlineStr">
        <is>
          <t>GRO1805</t>
        </is>
      </c>
      <c r="B666" s="17" t="inlineStr">
        <is>
          <t>Vasalható vákuum zsák 50 x 100 cm, fényálló, hővel lezárható tasak</t>
        </is>
      </c>
      <c r="C666" s="17" t="inlineStr">
        <is>
          <t>–</t>
        </is>
      </c>
      <c r="D666" s="17" t="inlineStr"/>
      <c r="E666" s="17" t="inlineStr">
        <is>
          <t>Nem tartozik ide</t>
        </is>
      </c>
      <c r="F666" s="17" t="inlineStr">
        <is>
          <t>az elmúlt 30 napban</t>
        </is>
      </c>
      <c r="G666" s="17" t="inlineStr">
        <is>
          <t>Más főkategória terméke</t>
        </is>
      </c>
    </row>
    <row r="667">
      <c r="A667" s="17" t="inlineStr">
        <is>
          <t>GRO1822</t>
        </is>
      </c>
      <c r="B667" s="17" t="inlineStr">
        <is>
          <t>Advanced Nutrients Bud Factor X virágzási biostimulátor és szárerősítő 1 liter</t>
        </is>
      </c>
      <c r="C667" s="17" t="inlineStr">
        <is>
          <t>–</t>
        </is>
      </c>
      <c r="D667" s="17" t="inlineStr"/>
      <c r="E667" s="17" t="inlineStr">
        <is>
          <t>Nem tartozik ide</t>
        </is>
      </c>
      <c r="F667" s="17" t="inlineStr">
        <is>
          <t>az elmúlt 30 napban</t>
        </is>
      </c>
      <c r="G667" s="17" t="inlineStr">
        <is>
          <t>Más főkategória terméke</t>
        </is>
      </c>
    </row>
    <row r="668">
      <c r="A668" s="17" t="inlineStr">
        <is>
          <t>GRO1823</t>
        </is>
      </c>
      <c r="B668" s="17" t="inlineStr">
        <is>
          <t>Hesi PowerZyme 2,5 liter</t>
        </is>
      </c>
      <c r="C668" s="17" t="inlineStr">
        <is>
          <t>–</t>
        </is>
      </c>
      <c r="D668" s="17" t="inlineStr"/>
      <c r="E668" s="17" t="inlineStr">
        <is>
          <t>Nem tartozik ide</t>
        </is>
      </c>
      <c r="F668" s="17" t="inlineStr">
        <is>
          <t>2025-10 – 2026-04</t>
        </is>
      </c>
      <c r="G668" s="17" t="inlineStr">
        <is>
          <t>Más főkategória terméke</t>
        </is>
      </c>
    </row>
    <row r="669">
      <c r="A669" s="17" t="inlineStr">
        <is>
          <t>GRO1828</t>
        </is>
      </c>
      <c r="B669" s="17" t="inlineStr">
        <is>
          <t>Hesi Pro-Line COCO 5 liter</t>
        </is>
      </c>
      <c r="C669" s="17" t="inlineStr">
        <is>
          <t>–</t>
        </is>
      </c>
      <c r="D669" s="17" t="inlineStr"/>
      <c r="E669" s="17" t="inlineStr">
        <is>
          <t>Nem tartozik ide</t>
        </is>
      </c>
      <c r="F669" s="17" t="inlineStr">
        <is>
          <t>2024-10 – 2025-09 (lehet, hogy már nem aktív)</t>
        </is>
      </c>
      <c r="G669" s="17" t="inlineStr">
        <is>
          <t>Más főkategória terméke</t>
        </is>
      </c>
    </row>
    <row r="670">
      <c r="A670" s="17" t="inlineStr">
        <is>
          <t>GRO1832</t>
        </is>
      </c>
      <c r="B670" s="17" t="inlineStr">
        <is>
          <t>Advanced Nutrients Bud Candy szénhidrátos biostimulátor magnéziummal 5 liter</t>
        </is>
      </c>
      <c r="C670" s="17" t="inlineStr">
        <is>
          <t>–</t>
        </is>
      </c>
      <c r="D670" s="17" t="inlineStr"/>
      <c r="E670" s="17" t="inlineStr">
        <is>
          <t>Nem tartozik ide</t>
        </is>
      </c>
      <c r="F670" s="17" t="inlineStr">
        <is>
          <t>az elmúlt 30 napban</t>
        </is>
      </c>
      <c r="G670" s="17" t="inlineStr">
        <is>
          <t>Más főkategória terméke</t>
        </is>
      </c>
    </row>
    <row r="671">
      <c r="A671" s="17" t="inlineStr">
        <is>
          <t>GRO1834</t>
        </is>
      </c>
      <c r="B671" s="17" t="inlineStr">
        <is>
          <t>Can Filters Silencer CFS04 ventilátor hangtompító 150 mm, 45 cm, ásványgyapot szigeteléssel</t>
        </is>
      </c>
      <c r="C671" s="17" t="inlineStr">
        <is>
          <t>–</t>
        </is>
      </c>
      <c r="D671" s="17" t="inlineStr"/>
      <c r="E671" s="17" t="inlineStr">
        <is>
          <t>Nem tartozik ide</t>
        </is>
      </c>
      <c r="F671" s="17" t="inlineStr">
        <is>
          <t>az elmúlt 30 napban</t>
        </is>
      </c>
      <c r="G671" s="17" t="inlineStr">
        <is>
          <t>Más főkategória terméke</t>
        </is>
      </c>
    </row>
    <row r="672">
      <c r="A672" s="17" t="inlineStr">
        <is>
          <t>GRO1841</t>
        </is>
      </c>
      <c r="B672" s="17" t="inlineStr">
        <is>
          <t>Hailea teljesítményszabályozós levegőztető pumpa ACO-9630</t>
        </is>
      </c>
      <c r="C672" s="17" t="inlineStr">
        <is>
          <t>–</t>
        </is>
      </c>
      <c r="D672" s="17" t="inlineStr"/>
      <c r="E672" s="17" t="inlineStr">
        <is>
          <t>Nem tartozik ide</t>
        </is>
      </c>
      <c r="F672" s="17" t="inlineStr">
        <is>
          <t>2025-10 – 2026-04</t>
        </is>
      </c>
      <c r="G672" s="17" t="inlineStr">
        <is>
          <t>Más főkategória terméke</t>
        </is>
      </c>
    </row>
    <row r="673">
      <c r="A673" s="17" t="inlineStr">
        <is>
          <t>GRO1842</t>
        </is>
      </c>
      <c r="B673" s="17" t="inlineStr">
        <is>
          <t>Hailea ACO membrános kompresszor ACO-9610</t>
        </is>
      </c>
      <c r="C673" s="17" t="inlineStr">
        <is>
          <t>–</t>
        </is>
      </c>
      <c r="D673" s="17" t="inlineStr"/>
      <c r="E673" s="17" t="inlineStr">
        <is>
          <t>Nem tartozik ide</t>
        </is>
      </c>
      <c r="F673" s="17" t="inlineStr">
        <is>
          <t>2024-10 – 2025-09 (lehet, hogy már nem aktív)</t>
        </is>
      </c>
      <c r="G673" s="17" t="inlineStr">
        <is>
          <t>Más főkategória terméke</t>
        </is>
      </c>
    </row>
    <row r="674">
      <c r="A674" s="17" t="inlineStr">
        <is>
          <t>GRO1843</t>
        </is>
      </c>
      <c r="B674" s="17" t="inlineStr">
        <is>
          <t>Hailea ACO membrános kompresszor ACO-9602</t>
        </is>
      </c>
      <c r="C674" s="17" t="inlineStr">
        <is>
          <t>–</t>
        </is>
      </c>
      <c r="D674" s="17" t="inlineStr"/>
      <c r="E674" s="17" t="inlineStr">
        <is>
          <t>Nem tartozik ide</t>
        </is>
      </c>
      <c r="F674" s="17" t="inlineStr">
        <is>
          <t>2024-10 – 2025-09 (lehet, hogy már nem aktív)</t>
        </is>
      </c>
      <c r="G674" s="17" t="inlineStr">
        <is>
          <t>Más főkategória terméke</t>
        </is>
      </c>
    </row>
    <row r="675">
      <c r="A675" s="17" t="inlineStr">
        <is>
          <t>GRO1844</t>
        </is>
      </c>
      <c r="B675" s="17" t="inlineStr">
        <is>
          <t>Hailea ACO membrános kompresszor ACO-9601</t>
        </is>
      </c>
      <c r="C675" s="17" t="inlineStr">
        <is>
          <t>–</t>
        </is>
      </c>
      <c r="D675" s="17" t="inlineStr"/>
      <c r="E675" s="17" t="inlineStr">
        <is>
          <t>Nem tartozik ide</t>
        </is>
      </c>
      <c r="F675" s="17" t="inlineStr">
        <is>
          <t>2024-10 – 2025-09 (lehet, hogy már nem aktív)</t>
        </is>
      </c>
      <c r="G675" s="17" t="inlineStr">
        <is>
          <t>Más főkategória terméke</t>
        </is>
      </c>
    </row>
    <row r="676">
      <c r="A676" s="17" t="inlineStr">
        <is>
          <t>GRO1845</t>
        </is>
      </c>
      <c r="B676" s="17" t="inlineStr">
        <is>
          <t>Membrános légpumpa Hailea ACO-2202, 1,6 l/perc, 1 kimenet</t>
        </is>
      </c>
      <c r="C676" s="17" t="inlineStr">
        <is>
          <t>–</t>
        </is>
      </c>
      <c r="D676" s="17" t="inlineStr"/>
      <c r="E676" s="17" t="inlineStr">
        <is>
          <t>Nem tartozik ide</t>
        </is>
      </c>
      <c r="F676" s="17" t="inlineStr">
        <is>
          <t>az elmúlt 30 napban</t>
        </is>
      </c>
      <c r="G676" s="17" t="inlineStr">
        <is>
          <t>Más főkategória terméke</t>
        </is>
      </c>
    </row>
    <row r="677">
      <c r="A677" s="17" t="inlineStr">
        <is>
          <t>GRO1847</t>
        </is>
      </c>
      <c r="B677" s="17" t="inlineStr">
        <is>
          <t>Hailea légpumpa ACO-2204</t>
        </is>
      </c>
      <c r="C677" s="17" t="inlineStr">
        <is>
          <t>–</t>
        </is>
      </c>
      <c r="D677" s="17" t="inlineStr"/>
      <c r="E677" s="17" t="inlineStr">
        <is>
          <t>Nem tartozik ide</t>
        </is>
      </c>
      <c r="F677" s="17" t="inlineStr">
        <is>
          <t>2025-10 – 2026-04</t>
        </is>
      </c>
      <c r="G677" s="17" t="inlineStr">
        <is>
          <t>Más főkategória terméke</t>
        </is>
      </c>
    </row>
    <row r="678">
      <c r="A678" s="17" t="inlineStr">
        <is>
          <t>GRO1848</t>
        </is>
      </c>
      <c r="B678" s="17" t="inlineStr">
        <is>
          <t>Membrános légpumpa Hailea ACO-2201, 1,3 l/perc, 1 kimenet</t>
        </is>
      </c>
      <c r="C678" s="17" t="inlineStr">
        <is>
          <t>–</t>
        </is>
      </c>
      <c r="D678" s="17" t="inlineStr"/>
      <c r="E678" s="17" t="inlineStr">
        <is>
          <t>Nem tartozik ide</t>
        </is>
      </c>
      <c r="F678" s="17" t="inlineStr">
        <is>
          <t>az elmúlt 30 napban</t>
        </is>
      </c>
      <c r="G678" s="17" t="inlineStr">
        <is>
          <t>Más főkategória terméke</t>
        </is>
      </c>
    </row>
    <row r="679">
      <c r="A679" s="17" t="inlineStr">
        <is>
          <t>GRO1849</t>
        </is>
      </c>
      <c r="B679" s="17" t="inlineStr">
        <is>
          <t>Hailea HX vízpumpa HX-1500 400l/h</t>
        </is>
      </c>
      <c r="C679" s="17" t="inlineStr">
        <is>
          <t>–</t>
        </is>
      </c>
      <c r="D679" s="17" t="inlineStr"/>
      <c r="E679" s="17" t="inlineStr">
        <is>
          <t>Nem tartozik ide</t>
        </is>
      </c>
      <c r="F679" s="17" t="inlineStr">
        <is>
          <t>2024-10 – 2025-09 (lehet, hogy már nem aktív)</t>
        </is>
      </c>
      <c r="G679" s="17" t="inlineStr">
        <is>
          <t>Más főkategória terméke</t>
        </is>
      </c>
    </row>
    <row r="680">
      <c r="A680" s="17" t="inlineStr">
        <is>
          <t>GRO1850</t>
        </is>
      </c>
      <c r="B680" s="17" t="inlineStr">
        <is>
          <t>Hailea HX vízpumpa HX-1500 400l/h</t>
        </is>
      </c>
      <c r="C680" s="17" t="inlineStr">
        <is>
          <t>–</t>
        </is>
      </c>
      <c r="D680" s="17" t="inlineStr"/>
      <c r="E680" s="17" t="inlineStr">
        <is>
          <t>Nem tartozik ide</t>
        </is>
      </c>
      <c r="F680" s="17" t="inlineStr">
        <is>
          <t>2024-10 – 2025-09 (lehet, hogy már nem aktív)</t>
        </is>
      </c>
      <c r="G680" s="17" t="inlineStr">
        <is>
          <t>Más főkategória terméke</t>
        </is>
      </c>
    </row>
    <row r="681">
      <c r="A681" s="17" t="inlineStr">
        <is>
          <t>GRO1851</t>
        </is>
      </c>
      <c r="B681" s="17" t="inlineStr">
        <is>
          <t>Levegőztető porlasztókő rúd 20 cm</t>
        </is>
      </c>
      <c r="C681" s="17" t="inlineStr">
        <is>
          <t>–</t>
        </is>
      </c>
      <c r="D681" s="17" t="inlineStr"/>
      <c r="E681" s="17" t="inlineStr">
        <is>
          <t>Nem tartozik ide</t>
        </is>
      </c>
      <c r="F681" s="17" t="inlineStr">
        <is>
          <t>az elmúlt 30 napban</t>
        </is>
      </c>
      <c r="G681" s="17" t="inlineStr">
        <is>
          <t>Más főkategória terméke</t>
        </is>
      </c>
    </row>
    <row r="682">
      <c r="A682" s="17" t="inlineStr">
        <is>
          <t>GRO1853</t>
        </is>
      </c>
      <c r="B682" s="17" t="inlineStr">
        <is>
          <t>Levegőztető porlasztókő korong ASC-150 15 cm</t>
        </is>
      </c>
      <c r="C682" s="17" t="inlineStr">
        <is>
          <t>–</t>
        </is>
      </c>
      <c r="D682" s="17" t="inlineStr"/>
      <c r="E682" s="17" t="inlineStr">
        <is>
          <t>Nem tartozik ide</t>
        </is>
      </c>
      <c r="F682" s="17" t="inlineStr">
        <is>
          <t>az elmúlt 30 napban</t>
        </is>
      </c>
      <c r="G682" s="17" t="inlineStr">
        <is>
          <t>Más főkategória terméke</t>
        </is>
      </c>
    </row>
    <row r="683">
      <c r="A683" s="17" t="inlineStr">
        <is>
          <t>GRO1854</t>
        </is>
      </c>
      <c r="B683" s="17" t="inlineStr">
        <is>
          <t>Levegőztető porlasztókő korong ASC-100 10 cm</t>
        </is>
      </c>
      <c r="C683" s="17" t="inlineStr">
        <is>
          <t>–</t>
        </is>
      </c>
      <c r="D683" s="17" t="inlineStr"/>
      <c r="E683" s="17" t="inlineStr">
        <is>
          <t>Nem tartozik ide</t>
        </is>
      </c>
      <c r="F683" s="17" t="inlineStr">
        <is>
          <t>az elmúlt 30 napban</t>
        </is>
      </c>
      <c r="G683" s="17" t="inlineStr">
        <is>
          <t>Más főkategória terméke</t>
        </is>
      </c>
    </row>
    <row r="684">
      <c r="A684" s="17" t="inlineStr">
        <is>
          <t>GRO1855</t>
        </is>
      </c>
      <c r="B684" s="17" t="inlineStr">
        <is>
          <t>Levegőztető porlasztókő gyűrű 7,5 cm</t>
        </is>
      </c>
      <c r="C684" s="17" t="inlineStr">
        <is>
          <t>–</t>
        </is>
      </c>
      <c r="D684" s="17" t="inlineStr"/>
      <c r="E684" s="17" t="inlineStr">
        <is>
          <t>Nem tartozik ide</t>
        </is>
      </c>
      <c r="F684" s="17" t="inlineStr">
        <is>
          <t>az elmúlt 30 napban</t>
        </is>
      </c>
      <c r="G684" s="17" t="inlineStr">
        <is>
          <t>Más főkategória terméke</t>
        </is>
      </c>
    </row>
    <row r="685">
      <c r="A685" s="17" t="inlineStr">
        <is>
          <t>GRO1857</t>
        </is>
      </c>
      <c r="B685" s="17" t="inlineStr">
        <is>
          <t>Milwaukee MW100 PRO hordozható pH mérő 0–14 pH, 0,1 pH felbontással, SE220 szondával</t>
        </is>
      </c>
      <c r="C685" s="17" t="inlineStr">
        <is>
          <t>–</t>
        </is>
      </c>
      <c r="D685" s="17" t="inlineStr"/>
      <c r="E685" s="17" t="inlineStr">
        <is>
          <t>Nem tartozik ide</t>
        </is>
      </c>
      <c r="F685" s="17" t="inlineStr">
        <is>
          <t>az elmúlt 30 napban</t>
        </is>
      </c>
      <c r="G685" s="17" t="inlineStr">
        <is>
          <t>Más főkategória terméke</t>
        </is>
      </c>
    </row>
    <row r="686">
      <c r="A686" s="17" t="inlineStr">
        <is>
          <t>GRO1859</t>
        </is>
      </c>
      <c r="B686" s="17" t="inlineStr">
        <is>
          <t>CANNAZYM enzimkészítmény az egészséges gyökérzónáért 250 ml</t>
        </is>
      </c>
      <c r="C686" s="17" t="inlineStr">
        <is>
          <t>–</t>
        </is>
      </c>
      <c r="D686" s="17" t="inlineStr"/>
      <c r="E686" s="17" t="inlineStr">
        <is>
          <t>Nem tartozik ide</t>
        </is>
      </c>
      <c r="F686" s="17" t="inlineStr">
        <is>
          <t>az elmúlt 30 napban</t>
        </is>
      </c>
      <c r="G686" s="17" t="inlineStr">
        <is>
          <t>Más főkategória terméke</t>
        </is>
      </c>
    </row>
    <row r="687">
      <c r="A687" s="17" t="inlineStr">
        <is>
          <t>GRO1860</t>
        </is>
      </c>
      <c r="B687" s="17" t="inlineStr">
        <is>
          <t>CANNABOOST Accelerator virágzásserkentő adalék 500 ml</t>
        </is>
      </c>
      <c r="C687" s="17" t="inlineStr">
        <is>
          <t>–</t>
        </is>
      </c>
      <c r="D687" s="17" t="inlineStr"/>
      <c r="E687" s="17" t="inlineStr">
        <is>
          <t>Nem tartozik ide</t>
        </is>
      </c>
      <c r="F687" s="17" t="inlineStr">
        <is>
          <t>az elmúlt 30 napban</t>
        </is>
      </c>
      <c r="G687" s="17" t="inlineStr">
        <is>
          <t>Más főkategória terméke</t>
        </is>
      </c>
    </row>
    <row r="688">
      <c r="A688" s="17" t="inlineStr">
        <is>
          <t>GRO1861</t>
        </is>
      </c>
      <c r="B688" s="17" t="inlineStr">
        <is>
          <t>CANNA Flush közegtisztító öblítőszer betakarítás előtti öblítéshez 1 liter</t>
        </is>
      </c>
      <c r="C688" s="17" t="inlineStr">
        <is>
          <t>–</t>
        </is>
      </c>
      <c r="D688" s="17" t="inlineStr"/>
      <c r="E688" s="17" t="inlineStr">
        <is>
          <t>Nem tartozik ide</t>
        </is>
      </c>
      <c r="F688" s="17" t="inlineStr">
        <is>
          <t>az elmúlt 30 napban</t>
        </is>
      </c>
      <c r="G688" s="17" t="inlineStr">
        <is>
          <t>Más főkategória terméke</t>
        </is>
      </c>
    </row>
    <row r="689">
      <c r="A689" s="17" t="inlineStr">
        <is>
          <t>GRO1865</t>
        </is>
      </c>
      <c r="B689" s="17" t="inlineStr">
        <is>
          <t>Vents VK 250 centrifugális csatornaventilátor 250 mm, 1080 m3/h</t>
        </is>
      </c>
      <c r="C689" s="17" t="inlineStr">
        <is>
          <t>–</t>
        </is>
      </c>
      <c r="D689" s="17" t="inlineStr"/>
      <c r="E689" s="17" t="inlineStr">
        <is>
          <t>Nem tartozik ide</t>
        </is>
      </c>
      <c r="F689" s="17" t="inlineStr">
        <is>
          <t>az elmúlt 30 napban</t>
        </is>
      </c>
      <c r="G689" s="17" t="inlineStr">
        <is>
          <t>Más főkategória terméke</t>
        </is>
      </c>
    </row>
    <row r="690">
      <c r="A690" s="17" t="inlineStr">
        <is>
          <t>GRO1867</t>
        </is>
      </c>
      <c r="B690" s="17" t="inlineStr">
        <is>
          <t>Neptune Hydroponics propagátor fűtőlap 17 W, 35 x 25 cm, PVC borítású</t>
        </is>
      </c>
      <c r="C690" s="17" t="inlineStr">
        <is>
          <t>–</t>
        </is>
      </c>
      <c r="D690" s="17" t="inlineStr"/>
      <c r="E690" s="17" t="inlineStr">
        <is>
          <t>Nem tartozik ide</t>
        </is>
      </c>
      <c r="F690" s="17" t="inlineStr">
        <is>
          <t>az elmúlt 30 napban</t>
        </is>
      </c>
      <c r="G690" s="17" t="inlineStr">
        <is>
          <t>Más főkategória terméke</t>
        </is>
      </c>
    </row>
    <row r="691">
      <c r="A691" s="17" t="inlineStr">
        <is>
          <t>GRO1868</t>
        </is>
      </c>
      <c r="B691" s="17" t="inlineStr">
        <is>
          <t>Neptune Hydroponics propagátor fűtőlap 30 W, 50 x 30 cm, PVC borítású</t>
        </is>
      </c>
      <c r="C691" s="17" t="inlineStr">
        <is>
          <t>–</t>
        </is>
      </c>
      <c r="D691" s="17" t="inlineStr"/>
      <c r="E691" s="17" t="inlineStr">
        <is>
          <t>Nem tartozik ide</t>
        </is>
      </c>
      <c r="F691" s="17" t="inlineStr">
        <is>
          <t>az elmúlt 30 napban</t>
        </is>
      </c>
      <c r="G691" s="17" t="inlineStr">
        <is>
          <t>Más főkategória terméke</t>
        </is>
      </c>
    </row>
    <row r="692">
      <c r="A692" s="17" t="inlineStr">
        <is>
          <t>GRO1896</t>
        </is>
      </c>
      <c r="B692" s="17" t="inlineStr">
        <is>
          <t>Neptune Hydroponics földmelegítő kábel 30 W, 4 m fűtött hossz, beépített termosztáttal</t>
        </is>
      </c>
      <c r="C692" s="17" t="inlineStr">
        <is>
          <t>–</t>
        </is>
      </c>
      <c r="D692" s="17" t="inlineStr"/>
      <c r="E692" s="17" t="inlineStr">
        <is>
          <t>Nem tartozik ide</t>
        </is>
      </c>
      <c r="F692" s="17" t="inlineStr">
        <is>
          <t>az elmúlt 30 napban</t>
        </is>
      </c>
      <c r="G692" s="17" t="inlineStr">
        <is>
          <t>Más főkategória terméke</t>
        </is>
      </c>
    </row>
    <row r="693">
      <c r="A693" s="17" t="inlineStr">
        <is>
          <t>GRO1897</t>
        </is>
      </c>
      <c r="B693" s="17" t="inlineStr">
        <is>
          <t>Neptune Hydroponics földmelegítő kábel 60 W, 10 m fűtött hossz, beépített termosztáttal</t>
        </is>
      </c>
      <c r="C693" s="17" t="inlineStr">
        <is>
          <t>–</t>
        </is>
      </c>
      <c r="D693" s="17" t="inlineStr"/>
      <c r="E693" s="17" t="inlineStr">
        <is>
          <t>Nem tartozik ide</t>
        </is>
      </c>
      <c r="F693" s="17" t="inlineStr">
        <is>
          <t>az elmúlt 30 napban</t>
        </is>
      </c>
      <c r="G693" s="17" t="inlineStr">
        <is>
          <t>Más főkategória terméke</t>
        </is>
      </c>
    </row>
    <row r="694">
      <c r="A694" s="17" t="inlineStr">
        <is>
          <t>GRO1913</t>
        </is>
      </c>
      <c r="B694" s="17" t="inlineStr">
        <is>
          <t>Kiegészítő szórófej Nutriculture X-Stream 20 propagátorhoz</t>
        </is>
      </c>
      <c r="C694" s="17" t="inlineStr">
        <is>
          <t>–</t>
        </is>
      </c>
      <c r="D694" s="17" t="inlineStr"/>
      <c r="E694" s="17" t="inlineStr">
        <is>
          <t>Nem tartozik ide</t>
        </is>
      </c>
      <c r="F694" s="17" t="inlineStr">
        <is>
          <t>az elmúlt 6 hónapban</t>
        </is>
      </c>
      <c r="G694" s="17" t="inlineStr">
        <is>
          <t>Más főkategória terméke</t>
        </is>
      </c>
    </row>
    <row r="695">
      <c r="A695" s="17" t="inlineStr">
        <is>
          <t>GRO1934</t>
        </is>
      </c>
      <c r="B695" s="17" t="inlineStr">
        <is>
          <t>Bővítő cső 125–160 mm légcsatornához, szellőzőrendszerekhez</t>
        </is>
      </c>
      <c r="C695" s="17" t="inlineStr">
        <is>
          <t>–</t>
        </is>
      </c>
      <c r="D695" s="17" t="inlineStr"/>
      <c r="E695" s="17" t="inlineStr">
        <is>
          <t>Nem tartozik ide</t>
        </is>
      </c>
      <c r="F695" s="17" t="inlineStr">
        <is>
          <t>az elmúlt 30 napban</t>
        </is>
      </c>
      <c r="G695" s="17" t="inlineStr">
        <is>
          <t>Más főkategória terméke</t>
        </is>
      </c>
    </row>
    <row r="696">
      <c r="A696" s="17" t="inlineStr">
        <is>
          <t>GRO1935</t>
        </is>
      </c>
      <c r="B696" s="17" t="inlineStr">
        <is>
          <t>Bővítő cső 150–200 mm légcsatornához, szellőzőrendszerekhez</t>
        </is>
      </c>
      <c r="C696" s="17" t="inlineStr">
        <is>
          <t>–</t>
        </is>
      </c>
      <c r="D696" s="17" t="inlineStr"/>
      <c r="E696" s="17" t="inlineStr">
        <is>
          <t>Nem tartozik ide</t>
        </is>
      </c>
      <c r="F696" s="17" t="inlineStr">
        <is>
          <t>az elmúlt 30 napban</t>
        </is>
      </c>
      <c r="G696" s="17" t="inlineStr">
        <is>
          <t>Más főkategória terméke</t>
        </is>
      </c>
    </row>
    <row r="697">
      <c r="A697" s="17" t="inlineStr">
        <is>
          <t>GRO1936</t>
        </is>
      </c>
      <c r="B697" s="17" t="inlineStr">
        <is>
          <t>Bővítő cső 125-315</t>
        </is>
      </c>
      <c r="C697" s="17" t="inlineStr">
        <is>
          <t>–</t>
        </is>
      </c>
      <c r="D697" s="17" t="inlineStr"/>
      <c r="E697" s="17" t="inlineStr">
        <is>
          <t>Nem tartozik ide</t>
        </is>
      </c>
      <c r="F697" s="17" t="inlineStr">
        <is>
          <t>az elmúlt 6 hónapban</t>
        </is>
      </c>
      <c r="G697" s="17" t="inlineStr">
        <is>
          <t>Más főkategória terméke</t>
        </is>
      </c>
    </row>
    <row r="698">
      <c r="A698" s="17" t="inlineStr">
        <is>
          <t>GRO1941</t>
        </is>
      </c>
      <c r="B698" s="17" t="inlineStr">
        <is>
          <t>Fém visszacsapó szelep 100 mm légcsatornába, rozsdamentes acélrugókkal</t>
        </is>
      </c>
      <c r="C698" s="17" t="inlineStr">
        <is>
          <t>–</t>
        </is>
      </c>
      <c r="D698" s="17" t="inlineStr"/>
      <c r="E698" s="17" t="inlineStr">
        <is>
          <t>Nem tartozik ide</t>
        </is>
      </c>
      <c r="F698" s="17" t="inlineStr">
        <is>
          <t>az elmúlt 30 napban</t>
        </is>
      </c>
      <c r="G698" s="17" t="inlineStr">
        <is>
          <t>Más főkategória terméke</t>
        </is>
      </c>
    </row>
    <row r="699">
      <c r="A699" s="17" t="inlineStr">
        <is>
          <t>GRO1956</t>
        </is>
      </c>
      <c r="B699" s="17" t="inlineStr">
        <is>
          <t>Cultibox Scrog növénytartó háló 80, 100 és 120 cm-es sátrakhoz</t>
        </is>
      </c>
      <c r="C699" s="17" t="inlineStr">
        <is>
          <t>–</t>
        </is>
      </c>
      <c r="D699" s="17" t="inlineStr"/>
      <c r="E699" s="17" t="inlineStr">
        <is>
          <t>Nem tartozik ide</t>
        </is>
      </c>
      <c r="F699" s="17" t="inlineStr">
        <is>
          <t>az elmúlt 30 napban</t>
        </is>
      </c>
      <c r="G699" s="17" t="inlineStr">
        <is>
          <t>Más főkategória terméke</t>
        </is>
      </c>
    </row>
    <row r="700">
      <c r="A700" s="17" t="inlineStr">
        <is>
          <t>GRO1959</t>
        </is>
      </c>
      <c r="B700" s="17" t="inlineStr">
        <is>
          <t>Műanyag csőtoldó visszacsapószeleppel 100 mm légcsatornához</t>
        </is>
      </c>
      <c r="C700" s="17" t="inlineStr">
        <is>
          <t>–</t>
        </is>
      </c>
      <c r="D700" s="17" t="inlineStr"/>
      <c r="E700" s="17" t="inlineStr">
        <is>
          <t>Nem tartozik ide</t>
        </is>
      </c>
      <c r="F700" s="17" t="inlineStr">
        <is>
          <t>az elmúlt 30 napban</t>
        </is>
      </c>
      <c r="G700" s="17" t="inlineStr">
        <is>
          <t>Más főkategória terméke</t>
        </is>
      </c>
    </row>
    <row r="701">
      <c r="A701" s="17" t="inlineStr">
        <is>
          <t>GRO1960</t>
        </is>
      </c>
      <c r="B701" s="17" t="inlineStr">
        <is>
          <t>Műanyag csőtoldó visszacsapószeleppel 125 mm légcsatornához</t>
        </is>
      </c>
      <c r="C701" s="17" t="inlineStr">
        <is>
          <t>–</t>
        </is>
      </c>
      <c r="D701" s="17" t="inlineStr"/>
      <c r="E701" s="17" t="inlineStr">
        <is>
          <t>Nem tartozik ide</t>
        </is>
      </c>
      <c r="F701" s="17" t="inlineStr">
        <is>
          <t>az elmúlt 30 napban</t>
        </is>
      </c>
      <c r="G701" s="17" t="inlineStr">
        <is>
          <t>Más főkategória terméke</t>
        </is>
      </c>
    </row>
    <row r="702">
      <c r="A702" s="17" t="inlineStr">
        <is>
          <t>GRO1961</t>
        </is>
      </c>
      <c r="B702" s="17" t="inlineStr">
        <is>
          <t>Műanyag csőtoldó visszacsapószeleppel 150 mm légcsatornához</t>
        </is>
      </c>
      <c r="C702" s="17" t="inlineStr">
        <is>
          <t>–</t>
        </is>
      </c>
      <c r="D702" s="17" t="inlineStr"/>
      <c r="E702" s="17" t="inlineStr">
        <is>
          <t>Nem tartozik ide</t>
        </is>
      </c>
      <c r="F702" s="17" t="inlineStr">
        <is>
          <t>az elmúlt 30 napban</t>
        </is>
      </c>
      <c r="G702" s="17" t="inlineStr">
        <is>
          <t>Más főkategória terméke</t>
        </is>
      </c>
    </row>
    <row r="703">
      <c r="A703" s="17" t="inlineStr">
        <is>
          <t>GRO1962</t>
        </is>
      </c>
      <c r="B703" s="17" t="inlineStr">
        <is>
          <t>Műanyag csőtoldó visszacsapószeleppel 200 mm légcsatornához</t>
        </is>
      </c>
      <c r="C703" s="17" t="inlineStr">
        <is>
          <t>–</t>
        </is>
      </c>
      <c r="D703" s="17" t="inlineStr"/>
      <c r="E703" s="17" t="inlineStr">
        <is>
          <t>Nem tartozik ide</t>
        </is>
      </c>
      <c r="F703" s="17" t="inlineStr">
        <is>
          <t>az elmúlt 30 napban</t>
        </is>
      </c>
      <c r="G703" s="17" t="inlineStr">
        <is>
          <t>Más főkategória terméke</t>
        </is>
      </c>
    </row>
    <row r="704">
      <c r="A704" s="17" t="inlineStr">
        <is>
          <t>GRO1963</t>
        </is>
      </c>
      <c r="B704" s="17" t="inlineStr">
        <is>
          <t>Vents Műanyag T-idom 100 mm</t>
        </is>
      </c>
      <c r="C704" s="17" t="inlineStr">
        <is>
          <t>–</t>
        </is>
      </c>
      <c r="D704" s="17" t="inlineStr"/>
      <c r="E704" s="17" t="inlineStr">
        <is>
          <t>Nem tartozik ide</t>
        </is>
      </c>
      <c r="F704" s="17" t="inlineStr">
        <is>
          <t>2024-10 – 2025-09 (lehet, hogy már nem aktív)</t>
        </is>
      </c>
      <c r="G704" s="17" t="inlineStr">
        <is>
          <t>Más főkategória terméke</t>
        </is>
      </c>
    </row>
    <row r="705">
      <c r="A705" s="17" t="inlineStr">
        <is>
          <t>GRO1964</t>
        </is>
      </c>
      <c r="B705" s="17" t="inlineStr">
        <is>
          <t>Vents Műanyag T-idom 125 mm</t>
        </is>
      </c>
      <c r="C705" s="17" t="inlineStr">
        <is>
          <t>–</t>
        </is>
      </c>
      <c r="D705" s="17" t="inlineStr"/>
      <c r="E705" s="17" t="inlineStr">
        <is>
          <t>Nem tartozik ide</t>
        </is>
      </c>
      <c r="F705" s="17" t="inlineStr">
        <is>
          <t>2024-10 – 2025-09 (lehet, hogy már nem aktív)</t>
        </is>
      </c>
      <c r="G705" s="17" t="inlineStr">
        <is>
          <t>Más főkategória terméke</t>
        </is>
      </c>
    </row>
    <row r="706">
      <c r="A706" s="17" t="inlineStr">
        <is>
          <t>GRO1966</t>
        </is>
      </c>
      <c r="B706" s="17" t="inlineStr">
        <is>
          <t>VENTS fém T idom 200 mm</t>
        </is>
      </c>
      <c r="C706" s="17" t="inlineStr">
        <is>
          <t>–</t>
        </is>
      </c>
      <c r="D706" s="17" t="inlineStr"/>
      <c r="E706" s="17" t="inlineStr">
        <is>
          <t>Nem tartozik ide</t>
        </is>
      </c>
      <c r="F706" s="17" t="inlineStr">
        <is>
          <t>2024-10 – 2025-09 (lehet, hogy már nem aktív)</t>
        </is>
      </c>
      <c r="G706" s="17" t="inlineStr">
        <is>
          <t>Más főkategória terméke</t>
        </is>
      </c>
    </row>
    <row r="707">
      <c r="A707" s="17" t="inlineStr">
        <is>
          <t>GRO1967</t>
        </is>
      </c>
      <c r="B707" s="17" t="inlineStr">
        <is>
          <t>Műanyag csőtoldó 100 mm azonos átmérőjű légcsatornák összekötéséhez</t>
        </is>
      </c>
      <c r="C707" s="17" t="inlineStr">
        <is>
          <t>–</t>
        </is>
      </c>
      <c r="D707" s="17" t="inlineStr"/>
      <c r="E707" s="17" t="inlineStr">
        <is>
          <t>Nem tartozik ide</t>
        </is>
      </c>
      <c r="F707" s="17" t="inlineStr">
        <is>
          <t>az elmúlt 30 napban</t>
        </is>
      </c>
      <c r="G707" s="17" t="inlineStr">
        <is>
          <t>Más főkategória terméke</t>
        </is>
      </c>
    </row>
    <row r="708">
      <c r="A708" s="17" t="inlineStr">
        <is>
          <t>GRO1968</t>
        </is>
      </c>
      <c r="B708" s="17" t="inlineStr">
        <is>
          <t>Műanyag csőtoldó 125 mm</t>
        </is>
      </c>
      <c r="C708" s="17" t="inlineStr">
        <is>
          <t>–</t>
        </is>
      </c>
      <c r="D708" s="17" t="inlineStr"/>
      <c r="E708" s="17" t="inlineStr">
        <is>
          <t>Nem tartozik ide</t>
        </is>
      </c>
      <c r="F708" s="17" t="inlineStr">
        <is>
          <t>az elmúlt 6 hónapban</t>
        </is>
      </c>
      <c r="G708" s="17" t="inlineStr">
        <is>
          <t>Más főkategória terméke</t>
        </is>
      </c>
    </row>
    <row r="709">
      <c r="A709" s="17" t="inlineStr">
        <is>
          <t>GRO1969</t>
        </is>
      </c>
      <c r="B709" s="17" t="inlineStr">
        <is>
          <t>Műanyag csőtoldó 150 mm azonos átmérőjű légcsatornák összekötéséhez</t>
        </is>
      </c>
      <c r="C709" s="17" t="inlineStr">
        <is>
          <t>–</t>
        </is>
      </c>
      <c r="D709" s="17" t="inlineStr"/>
      <c r="E709" s="17" t="inlineStr">
        <is>
          <t>Nem tartozik ide</t>
        </is>
      </c>
      <c r="F709" s="17" t="inlineStr">
        <is>
          <t>az elmúlt 30 napban</t>
        </is>
      </c>
      <c r="G709" s="17" t="inlineStr">
        <is>
          <t>Más főkategória terméke</t>
        </is>
      </c>
    </row>
    <row r="710">
      <c r="A710" s="17" t="inlineStr">
        <is>
          <t>GRO1970</t>
        </is>
      </c>
      <c r="B710" s="17" t="inlineStr">
        <is>
          <t>Műanyag csőtoldó 200 mm azonos átmérőjű légcsatornák összekötéséhez</t>
        </is>
      </c>
      <c r="C710" s="17" t="inlineStr">
        <is>
          <t>–</t>
        </is>
      </c>
      <c r="D710" s="17" t="inlineStr"/>
      <c r="E710" s="17" t="inlineStr">
        <is>
          <t>Nem tartozik ide</t>
        </is>
      </c>
      <c r="F710" s="17" t="inlineStr">
        <is>
          <t>az elmúlt 30 napban</t>
        </is>
      </c>
      <c r="G710" s="17" t="inlineStr">
        <is>
          <t>Más főkategória terméke</t>
        </is>
      </c>
    </row>
    <row r="711">
      <c r="A711" s="17" t="inlineStr">
        <is>
          <t>GRO1971</t>
        </is>
      </c>
      <c r="B711" s="17" t="inlineStr">
        <is>
          <t>Műanyag szűkítő / bővítő cső 80–100 mm légcsatornákhoz, szellőzőrendszerekhez</t>
        </is>
      </c>
      <c r="C711" s="17" t="inlineStr">
        <is>
          <t>–</t>
        </is>
      </c>
      <c r="D711" s="17" t="inlineStr"/>
      <c r="E711" s="17" t="inlineStr">
        <is>
          <t>Nem tartozik ide</t>
        </is>
      </c>
      <c r="F711" s="17" t="inlineStr">
        <is>
          <t>az elmúlt 30 napban</t>
        </is>
      </c>
      <c r="G711" s="17" t="inlineStr">
        <is>
          <t>Más főkategória terméke</t>
        </is>
      </c>
    </row>
    <row r="712">
      <c r="A712" s="17" t="inlineStr">
        <is>
          <t>GRO1972</t>
        </is>
      </c>
      <c r="B712" s="17" t="inlineStr">
        <is>
          <t>Műanyag szűkítő / bővítő cső 100–125 mm légcsatornákhoz, szellőzőrendszerekhez</t>
        </is>
      </c>
      <c r="C712" s="17" t="inlineStr">
        <is>
          <t>–</t>
        </is>
      </c>
      <c r="D712" s="17" t="inlineStr"/>
      <c r="E712" s="17" t="inlineStr">
        <is>
          <t>Nem tartozik ide</t>
        </is>
      </c>
      <c r="F712" s="17" t="inlineStr">
        <is>
          <t>az elmúlt 30 napban</t>
        </is>
      </c>
      <c r="G712" s="17" t="inlineStr">
        <is>
          <t>Más főkategória terméke</t>
        </is>
      </c>
    </row>
    <row r="713">
      <c r="A713" s="17" t="inlineStr">
        <is>
          <t>GRO1973</t>
        </is>
      </c>
      <c r="B713" s="17" t="inlineStr">
        <is>
          <t>Műanyag szűkítő / bővítő cső 125–150 mm légcsatornákhoz, szellőzőrendszerekhez</t>
        </is>
      </c>
      <c r="C713" s="17" t="inlineStr">
        <is>
          <t>–</t>
        </is>
      </c>
      <c r="D713" s="17" t="inlineStr"/>
      <c r="E713" s="17" t="inlineStr">
        <is>
          <t>Nem tartozik ide</t>
        </is>
      </c>
      <c r="F713" s="17" t="inlineStr">
        <is>
          <t>az elmúlt 30 napban</t>
        </is>
      </c>
      <c r="G713" s="17" t="inlineStr">
        <is>
          <t>Más főkategória terméke</t>
        </is>
      </c>
    </row>
    <row r="714">
      <c r="A714" s="17" t="inlineStr">
        <is>
          <t>GRO1974</t>
        </is>
      </c>
      <c r="B714" s="17" t="inlineStr">
        <is>
          <t>Műanyag szűkítő / bővítő cső 150–200 mm légcsatornákhoz, szellőzőrendszerekhez</t>
        </is>
      </c>
      <c r="C714" s="17" t="inlineStr">
        <is>
          <t>–</t>
        </is>
      </c>
      <c r="D714" s="17" t="inlineStr"/>
      <c r="E714" s="17" t="inlineStr">
        <is>
          <t>Nem tartozik ide</t>
        </is>
      </c>
      <c r="F714" s="17" t="inlineStr">
        <is>
          <t>az elmúlt 30 napban</t>
        </is>
      </c>
      <c r="G714" s="17" t="inlineStr">
        <is>
          <t>Más főkategória terméke</t>
        </is>
      </c>
    </row>
    <row r="715">
      <c r="A715" s="17" t="inlineStr">
        <is>
          <t>GRO1975</t>
        </is>
      </c>
      <c r="B715" s="17" t="inlineStr">
        <is>
          <t>Fém visszacsapó szelep 125 mm légcsatornába, rozsdamentes acélrugókkal</t>
        </is>
      </c>
      <c r="C715" s="17" t="inlineStr">
        <is>
          <t>–</t>
        </is>
      </c>
      <c r="D715" s="17" t="inlineStr"/>
      <c r="E715" s="17" t="inlineStr">
        <is>
          <t>Nem tartozik ide</t>
        </is>
      </c>
      <c r="F715" s="17" t="inlineStr">
        <is>
          <t>az elmúlt 30 napban</t>
        </is>
      </c>
      <c r="G715" s="17" t="inlineStr">
        <is>
          <t>Más főkategória terméke</t>
        </is>
      </c>
    </row>
    <row r="716">
      <c r="A716" s="17" t="inlineStr">
        <is>
          <t>GRO1976</t>
        </is>
      </c>
      <c r="B716" s="17" t="inlineStr">
        <is>
          <t>Fém visszacsapó szelep 150 mm</t>
        </is>
      </c>
      <c r="C716" s="17" t="inlineStr">
        <is>
          <t>–</t>
        </is>
      </c>
      <c r="D716" s="17" t="inlineStr"/>
      <c r="E716" s="17" t="inlineStr">
        <is>
          <t>Nem tartozik ide</t>
        </is>
      </c>
      <c r="F716" s="17" t="inlineStr">
        <is>
          <t>2024-10 – 2025-09 (lehet, hogy már nem aktív)</t>
        </is>
      </c>
      <c r="G716" s="17" t="inlineStr">
        <is>
          <t>Más főkategória terméke</t>
        </is>
      </c>
    </row>
    <row r="717">
      <c r="A717" s="17" t="inlineStr">
        <is>
          <t>GRO1978</t>
        </is>
      </c>
      <c r="B717" s="17" t="inlineStr">
        <is>
          <t>Fém visszacsapó szelep 250 mm légcsatornába, rozsdamentes acélrugókkal</t>
        </is>
      </c>
      <c r="C717" s="17" t="inlineStr">
        <is>
          <t>–</t>
        </is>
      </c>
      <c r="D717" s="17" t="inlineStr"/>
      <c r="E717" s="17" t="inlineStr">
        <is>
          <t>Nem tartozik ide</t>
        </is>
      </c>
      <c r="F717" s="17" t="inlineStr">
        <is>
          <t>az elmúlt 30 napban</t>
        </is>
      </c>
      <c r="G717" s="17" t="inlineStr">
        <is>
          <t>Más főkategória terméke</t>
        </is>
      </c>
    </row>
    <row r="718">
      <c r="A718" s="17" t="inlineStr">
        <is>
          <t>GRO1990</t>
        </is>
      </c>
      <c r="B718" s="17" t="inlineStr">
        <is>
          <t>Membrános légpumpa Hailea ACO-2203, 2 l/perc, 1 kimenet</t>
        </is>
      </c>
      <c r="C718" s="17" t="inlineStr">
        <is>
          <t>–</t>
        </is>
      </c>
      <c r="D718" s="17" t="inlineStr"/>
      <c r="E718" s="17" t="inlineStr">
        <is>
          <t>Nem tartozik ide</t>
        </is>
      </c>
      <c r="F718" s="17" t="inlineStr">
        <is>
          <t>az elmúlt 30 napban</t>
        </is>
      </c>
      <c r="G718" s="17" t="inlineStr">
        <is>
          <t>Más főkategória terméke</t>
        </is>
      </c>
    </row>
    <row r="719">
      <c r="A719" s="17" t="inlineStr">
        <is>
          <t>GRO1992</t>
        </is>
      </c>
      <c r="B719" s="17" t="inlineStr">
        <is>
          <t>HAILEA HC akvárium klíma HC 500A</t>
        </is>
      </c>
      <c r="C719" s="17" t="inlineStr">
        <is>
          <t>–</t>
        </is>
      </c>
      <c r="D719" s="17" t="inlineStr"/>
      <c r="E719" s="17" t="inlineStr">
        <is>
          <t>Nem tartozik ide</t>
        </is>
      </c>
      <c r="F719" s="17" t="inlineStr">
        <is>
          <t>2024-10 – 2025-09 (lehet, hogy már nem aktív)</t>
        </is>
      </c>
      <c r="G719" s="17" t="inlineStr">
        <is>
          <t>Más főkategória terméke</t>
        </is>
      </c>
    </row>
    <row r="720">
      <c r="A720" s="17" t="inlineStr">
        <is>
          <t>GRO1993</t>
        </is>
      </c>
      <c r="B720" s="17" t="inlineStr">
        <is>
          <t>HAILEA HC akvárium klíma HC 150A</t>
        </is>
      </c>
      <c r="C720" s="17" t="inlineStr">
        <is>
          <t>–</t>
        </is>
      </c>
      <c r="D720" s="17" t="inlineStr"/>
      <c r="E720" s="17" t="inlineStr">
        <is>
          <t>Nem tartozik ide</t>
        </is>
      </c>
      <c r="F720" s="17" t="inlineStr">
        <is>
          <t>2024-10 – 2025-09 (lehet, hogy már nem aktív)</t>
        </is>
      </c>
      <c r="G720" s="17" t="inlineStr">
        <is>
          <t>Más főkategória terméke</t>
        </is>
      </c>
    </row>
    <row r="721">
      <c r="A721" s="17" t="inlineStr">
        <is>
          <t>GRO1994</t>
        </is>
      </c>
      <c r="B721" s="17" t="inlineStr">
        <is>
          <t>Hailea HX vízpumpa HX-2000 650l/h</t>
        </is>
      </c>
      <c r="C721" s="17" t="inlineStr">
        <is>
          <t>–</t>
        </is>
      </c>
      <c r="D721" s="17" t="inlineStr"/>
      <c r="E721" s="17" t="inlineStr">
        <is>
          <t>Nem tartozik ide</t>
        </is>
      </c>
      <c r="F721" s="17" t="inlineStr">
        <is>
          <t>2024-10 – 2025-09 (lehet, hogy már nem aktív)</t>
        </is>
      </c>
      <c r="G721" s="17" t="inlineStr">
        <is>
          <t>Más főkategória terméke</t>
        </is>
      </c>
    </row>
    <row r="722">
      <c r="A722" s="17" t="inlineStr">
        <is>
          <t>GRO1996</t>
        </is>
      </c>
      <c r="B722" s="17" t="inlineStr">
        <is>
          <t>Hailea HX keringető HX-4500</t>
        </is>
      </c>
      <c r="C722" s="17" t="inlineStr">
        <is>
          <t>–</t>
        </is>
      </c>
      <c r="D722" s="17" t="inlineStr"/>
      <c r="E722" s="17" t="inlineStr">
        <is>
          <t>Nem tartozik ide</t>
        </is>
      </c>
      <c r="F722" s="17" t="inlineStr">
        <is>
          <t>2025-10 – 2026-04</t>
        </is>
      </c>
      <c r="G722" s="17" t="inlineStr">
        <is>
          <t>Más főkategória terméke</t>
        </is>
      </c>
    </row>
    <row r="723">
      <c r="A723" s="17" t="inlineStr">
        <is>
          <t>GRO2003</t>
        </is>
      </c>
      <c r="B723" s="17" t="inlineStr">
        <is>
          <t>Advanced Nutrients pH Perfect Sensi Bloom A+B kétkomponensű virágzási alaptáp 5 liter</t>
        </is>
      </c>
      <c r="C723" s="17" t="inlineStr">
        <is>
          <t>–</t>
        </is>
      </c>
      <c r="D723" s="17" t="inlineStr"/>
      <c r="E723" s="17" t="inlineStr">
        <is>
          <t>Nem tartozik ide</t>
        </is>
      </c>
      <c r="F723" s="17" t="inlineStr">
        <is>
          <t>az elmúlt 30 napban</t>
        </is>
      </c>
      <c r="G723" s="17" t="inlineStr">
        <is>
          <t>Más főkategória terméke</t>
        </is>
      </c>
    </row>
    <row r="724">
      <c r="A724" s="17" t="inlineStr">
        <is>
          <t>GRO2005</t>
        </is>
      </c>
      <c r="B724" s="17" t="inlineStr">
        <is>
          <t>Advanced Nutrients Big Bud Liquid virágzásfokozó PK 0-1-3, 4 liter</t>
        </is>
      </c>
      <c r="C724" s="17" t="inlineStr">
        <is>
          <t>–</t>
        </is>
      </c>
      <c r="D724" s="17" t="inlineStr"/>
      <c r="E724" s="17" t="inlineStr">
        <is>
          <t>Nem tartozik ide</t>
        </is>
      </c>
      <c r="F724" s="17" t="inlineStr">
        <is>
          <t>az elmúlt 30 napban</t>
        </is>
      </c>
      <c r="G724" s="17" t="inlineStr">
        <is>
          <t>Más főkategória terméke</t>
        </is>
      </c>
    </row>
    <row r="725">
      <c r="A725" s="17" t="inlineStr">
        <is>
          <t>GRO2011</t>
        </is>
      </c>
      <c r="B725" s="17" t="inlineStr">
        <is>
          <t>Plagron Mega Worm 1 liter</t>
        </is>
      </c>
      <c r="C725" s="17" t="inlineStr">
        <is>
          <t>–</t>
        </is>
      </c>
      <c r="D725" s="17" t="inlineStr"/>
      <c r="E725" s="17" t="inlineStr">
        <is>
          <t>Nem tartozik ide</t>
        </is>
      </c>
      <c r="F725" s="17" t="inlineStr">
        <is>
          <t>2024-10 – 2025-09 (lehet, hogy már nem aktív)</t>
        </is>
      </c>
      <c r="G725" s="17" t="inlineStr">
        <is>
          <t>Más főkategória terméke</t>
        </is>
      </c>
    </row>
    <row r="726">
      <c r="A726" s="17" t="inlineStr">
        <is>
          <t>GRO2025</t>
        </is>
      </c>
      <c r="B726" s="17" t="inlineStr">
        <is>
          <t>Háromeres elektromos kábel 3 x 1,5 mm dugvillával, 3 m, trafókhoz és lámpákhoz</t>
        </is>
      </c>
      <c r="C726" s="17" t="inlineStr">
        <is>
          <t>–</t>
        </is>
      </c>
      <c r="D726" s="17" t="inlineStr"/>
      <c r="E726" s="17" t="inlineStr">
        <is>
          <t>Nem tartozik ide</t>
        </is>
      </c>
      <c r="F726" s="17" t="inlineStr">
        <is>
          <t>az elmúlt 30 napban</t>
        </is>
      </c>
      <c r="G726" s="17" t="inlineStr">
        <is>
          <t>Más főkategória terméke</t>
        </is>
      </c>
    </row>
    <row r="727">
      <c r="A727" s="17" t="inlineStr">
        <is>
          <t>GRO2028</t>
        </is>
      </c>
      <c r="B727" s="17" t="inlineStr">
        <is>
          <t>Plagron Power Roots gyökérerősítő adalék 5 liter</t>
        </is>
      </c>
      <c r="C727" s="17" t="inlineStr">
        <is>
          <t>–</t>
        </is>
      </c>
      <c r="D727" s="17" t="inlineStr"/>
      <c r="E727" s="17" t="inlineStr">
        <is>
          <t>Nem tartozik ide</t>
        </is>
      </c>
      <c r="F727" s="17" t="inlineStr">
        <is>
          <t>az elmúlt 30 napban</t>
        </is>
      </c>
      <c r="G727" s="17" t="inlineStr">
        <is>
          <t>Más főkategória terméke</t>
        </is>
      </c>
    </row>
    <row r="728">
      <c r="A728" s="17" t="inlineStr">
        <is>
          <t>GRO2029</t>
        </is>
      </c>
      <c r="B728" s="17" t="inlineStr">
        <is>
          <t>BioBizz Bio-Heaven szerves stimulátor 5 liter</t>
        </is>
      </c>
      <c r="C728" s="17" t="inlineStr">
        <is>
          <t>–</t>
        </is>
      </c>
      <c r="D728" s="17" t="inlineStr"/>
      <c r="E728" s="17" t="inlineStr">
        <is>
          <t>Nem tartozik ide</t>
        </is>
      </c>
      <c r="F728" s="17" t="inlineStr">
        <is>
          <t>az elmúlt 30 napban</t>
        </is>
      </c>
      <c r="G728" s="17" t="inlineStr">
        <is>
          <t>Más főkategória terméke</t>
        </is>
      </c>
    </row>
    <row r="729">
      <c r="A729" s="17" t="inlineStr">
        <is>
          <t>GRO2039</t>
        </is>
      </c>
      <c r="B729" s="17" t="inlineStr">
        <is>
          <t>Vents VK Un termosztát + dimmer kapcsoló + kábel 125 Un</t>
        </is>
      </c>
      <c r="C729" s="17" t="inlineStr">
        <is>
          <t>–</t>
        </is>
      </c>
      <c r="D729" s="17" t="inlineStr"/>
      <c r="E729" s="17" t="inlineStr">
        <is>
          <t>Nem tartozik ide</t>
        </is>
      </c>
      <c r="F729" s="17" t="inlineStr">
        <is>
          <t>az elmúlt 30 napban</t>
        </is>
      </c>
      <c r="G729" s="17" t="inlineStr">
        <is>
          <t>Más főkategória terméke</t>
        </is>
      </c>
    </row>
    <row r="730">
      <c r="A730" s="17" t="inlineStr">
        <is>
          <t>GRO2045</t>
        </is>
      </c>
      <c r="B730" s="17" t="inlineStr">
        <is>
          <t>Vents TT 100 kevert áramlású csőventilátor 100 mm, két sebesség, 145/187 m3/h</t>
        </is>
      </c>
      <c r="C730" s="17" t="inlineStr">
        <is>
          <t>–</t>
        </is>
      </c>
      <c r="D730" s="17" t="inlineStr"/>
      <c r="E730" s="17" t="inlineStr">
        <is>
          <t>Nem tartozik ide</t>
        </is>
      </c>
      <c r="F730" s="17" t="inlineStr">
        <is>
          <t>az elmúlt 30 napban</t>
        </is>
      </c>
      <c r="G730" s="17" t="inlineStr">
        <is>
          <t>Más főkategória terméke</t>
        </is>
      </c>
    </row>
    <row r="731">
      <c r="A731" s="17" t="inlineStr">
        <is>
          <t>GRO2047</t>
        </is>
      </c>
      <c r="B731" s="17" t="inlineStr">
        <is>
          <t>Vents TT 100 Un csőventilátor termosztáttal, sebességszabályzóval és kábellel, 100 mm, 187 m3/h</t>
        </is>
      </c>
      <c r="C731" s="17" t="inlineStr">
        <is>
          <t>–</t>
        </is>
      </c>
      <c r="D731" s="17" t="inlineStr"/>
      <c r="E731" s="17" t="inlineStr">
        <is>
          <t>Nem tartozik ide</t>
        </is>
      </c>
      <c r="F731" s="17" t="inlineStr">
        <is>
          <t>az elmúlt 30 napban</t>
        </is>
      </c>
      <c r="G731" s="17" t="inlineStr">
        <is>
          <t>Más főkategória terméke</t>
        </is>
      </c>
    </row>
    <row r="732">
      <c r="A732" s="17" t="inlineStr">
        <is>
          <t>GRO2048</t>
        </is>
      </c>
      <c r="B732" s="17" t="inlineStr">
        <is>
          <t>Vents TT 125 kevert áramlású csőventilátor 125 mm, két sebesség, 220/280 m3/h</t>
        </is>
      </c>
      <c r="C732" s="17" t="inlineStr">
        <is>
          <t>–</t>
        </is>
      </c>
      <c r="D732" s="17" t="inlineStr"/>
      <c r="E732" s="17" t="inlineStr">
        <is>
          <t>Nem tartozik ide</t>
        </is>
      </c>
      <c r="F732" s="17" t="inlineStr">
        <is>
          <t>az elmúlt 30 napban</t>
        </is>
      </c>
      <c r="G732" s="17" t="inlineStr">
        <is>
          <t>Más főkategória terméke</t>
        </is>
      </c>
    </row>
    <row r="733">
      <c r="A733" s="17" t="inlineStr">
        <is>
          <t>GRO2051</t>
        </is>
      </c>
      <c r="B733" s="17" t="inlineStr">
        <is>
          <t>Vents TT 125 Un csőventilátor termosztáttal, sebességszabályzóval és kábellel, 125 mm, 280 m3/h</t>
        </is>
      </c>
      <c r="C733" s="17" t="inlineStr">
        <is>
          <t>–</t>
        </is>
      </c>
      <c r="D733" s="17" t="inlineStr"/>
      <c r="E733" s="17" t="inlineStr">
        <is>
          <t>Nem tartozik ide</t>
        </is>
      </c>
      <c r="F733" s="17" t="inlineStr">
        <is>
          <t>az elmúlt 30 napban</t>
        </is>
      </c>
      <c r="G733" s="17" t="inlineStr">
        <is>
          <t>Más főkategória terméke</t>
        </is>
      </c>
    </row>
    <row r="734">
      <c r="A734" s="17" t="inlineStr">
        <is>
          <t>GRO2052</t>
        </is>
      </c>
      <c r="B734" s="17" t="inlineStr">
        <is>
          <t>Vents TT ventilátor 150</t>
        </is>
      </c>
      <c r="C734" s="17" t="inlineStr">
        <is>
          <t>–</t>
        </is>
      </c>
      <c r="D734" s="17" t="inlineStr"/>
      <c r="E734" s="17" t="inlineStr">
        <is>
          <t>Nem tartozik ide</t>
        </is>
      </c>
      <c r="F734" s="17" t="inlineStr">
        <is>
          <t>az elmúlt 6 hónapban</t>
        </is>
      </c>
      <c r="G734" s="17" t="inlineStr">
        <is>
          <t>Más főkategória terméke</t>
        </is>
      </c>
    </row>
    <row r="735">
      <c r="A735" s="17" t="inlineStr">
        <is>
          <t>GRO2054</t>
        </is>
      </c>
      <c r="B735" s="17" t="inlineStr">
        <is>
          <t>Vents TT 150 Un csőventilátor termosztáttal, sebességszabályzóval és kábellel, 150 mm, 520 m3/h</t>
        </is>
      </c>
      <c r="C735" s="17" t="inlineStr">
        <is>
          <t>–</t>
        </is>
      </c>
      <c r="D735" s="17" t="inlineStr"/>
      <c r="E735" s="17" t="inlineStr">
        <is>
          <t>Nem tartozik ide</t>
        </is>
      </c>
      <c r="F735" s="17" t="inlineStr">
        <is>
          <t>az elmúlt 30 napban</t>
        </is>
      </c>
      <c r="G735" s="17" t="inlineStr">
        <is>
          <t>Más főkategória terméke</t>
        </is>
      </c>
    </row>
    <row r="736">
      <c r="A736" s="17" t="inlineStr">
        <is>
          <t>GRO2055</t>
        </is>
      </c>
      <c r="B736" s="17" t="inlineStr">
        <is>
          <t>Vents TT PRO 125 kevert áramlású csőventilátor 125 mm, kétsebességes motorral</t>
        </is>
      </c>
      <c r="C736" s="17" t="inlineStr">
        <is>
          <t>–</t>
        </is>
      </c>
      <c r="D736" s="17" t="inlineStr"/>
      <c r="E736" s="17" t="inlineStr">
        <is>
          <t>Nem tartozik ide</t>
        </is>
      </c>
      <c r="F736" s="17" t="inlineStr">
        <is>
          <t>az elmúlt 30 napban</t>
        </is>
      </c>
      <c r="G736" s="17" t="inlineStr">
        <is>
          <t>Más főkategória terméke</t>
        </is>
      </c>
    </row>
    <row r="737">
      <c r="A737" s="17" t="inlineStr">
        <is>
          <t>GRO2056</t>
        </is>
      </c>
      <c r="B737" s="17" t="inlineStr">
        <is>
          <t>Vents TT Silent-M ventilátor 125</t>
        </is>
      </c>
      <c r="C737" s="17" t="inlineStr">
        <is>
          <t>–</t>
        </is>
      </c>
      <c r="D737" s="17" t="inlineStr"/>
      <c r="E737" s="17" t="inlineStr">
        <is>
          <t>Nem tartozik ide</t>
        </is>
      </c>
      <c r="F737" s="17" t="inlineStr">
        <is>
          <t>az elmúlt 6 hónapban</t>
        </is>
      </c>
      <c r="G737" s="17" t="inlineStr">
        <is>
          <t>Más főkategória terméke</t>
        </is>
      </c>
    </row>
    <row r="738">
      <c r="A738" s="17" t="inlineStr">
        <is>
          <t>GRO2058</t>
        </is>
      </c>
      <c r="B738" s="17" t="inlineStr">
        <is>
          <t>Advanced Nutrients pH Perfect Micro háromkomponensű alaptáp, NPK 2-0-0, 1 liter</t>
        </is>
      </c>
      <c r="C738" s="17" t="inlineStr">
        <is>
          <t>–</t>
        </is>
      </c>
      <c r="D738" s="17" t="inlineStr"/>
      <c r="E738" s="17" t="inlineStr">
        <is>
          <t>Nem tartozik ide</t>
        </is>
      </c>
      <c r="F738" s="17" t="inlineStr">
        <is>
          <t>az elmúlt 30 napban</t>
        </is>
      </c>
      <c r="G738" s="17" t="inlineStr">
        <is>
          <t>Más főkategória terméke</t>
        </is>
      </c>
    </row>
    <row r="739">
      <c r="A739" s="17" t="inlineStr">
        <is>
          <t>GRO2059</t>
        </is>
      </c>
      <c r="B739" s="17" t="inlineStr">
        <is>
          <t>Advanced Nutrients pH Perfect Bloom háromkomponensű alaptáp, NPK 1-3-4, 1 liter</t>
        </is>
      </c>
      <c r="C739" s="17" t="inlineStr">
        <is>
          <t>–</t>
        </is>
      </c>
      <c r="D739" s="17" t="inlineStr"/>
      <c r="E739" s="17" t="inlineStr">
        <is>
          <t>Nem tartozik ide</t>
        </is>
      </c>
      <c r="F739" s="17" t="inlineStr">
        <is>
          <t>az elmúlt 30 napban</t>
        </is>
      </c>
      <c r="G739" s="17" t="inlineStr">
        <is>
          <t>Más főkategória terméke</t>
        </is>
      </c>
    </row>
    <row r="740">
      <c r="A740" s="17" t="inlineStr">
        <is>
          <t>GRO2060</t>
        </is>
      </c>
      <c r="B740" s="17" t="inlineStr">
        <is>
          <t>Advanced Nutrients pH Perfect Grow háromkomponensű alaptáp, NPK 1-0-4, 1 liter</t>
        </is>
      </c>
      <c r="C740" s="17" t="inlineStr">
        <is>
          <t>–</t>
        </is>
      </c>
      <c r="D740" s="17" t="inlineStr"/>
      <c r="E740" s="17" t="inlineStr">
        <is>
          <t>Nem tartozik ide</t>
        </is>
      </c>
      <c r="F740" s="17" t="inlineStr">
        <is>
          <t>az elmúlt 30 napban</t>
        </is>
      </c>
      <c r="G740" s="17" t="inlineStr">
        <is>
          <t>Más főkategória terméke</t>
        </is>
      </c>
    </row>
    <row r="741">
      <c r="A741" s="17" t="inlineStr">
        <is>
          <t>GRO2062</t>
        </is>
      </c>
      <c r="B741" s="17" t="inlineStr">
        <is>
          <t>Milwaukee pH kalibráló folyadék pH 4,01, 230 ml, pH mérőkhöz</t>
        </is>
      </c>
      <c r="C741" s="17" t="inlineStr">
        <is>
          <t>–</t>
        </is>
      </c>
      <c r="D741" s="17" t="inlineStr"/>
      <c r="E741" s="17" t="inlineStr">
        <is>
          <t>Nem tartozik ide</t>
        </is>
      </c>
      <c r="F741" s="17" t="inlineStr">
        <is>
          <t>az elmúlt 30 napban</t>
        </is>
      </c>
      <c r="G741" s="17" t="inlineStr">
        <is>
          <t>Más főkategória terméke</t>
        </is>
      </c>
    </row>
    <row r="742">
      <c r="A742" s="17" t="inlineStr">
        <is>
          <t>GRO2063</t>
        </is>
      </c>
      <c r="B742" s="17" t="inlineStr">
        <is>
          <t>Milwaukee pH kalibráló folyadék pH 7,01, 230 ml, pH mérőkhöz</t>
        </is>
      </c>
      <c r="C742" s="17" t="inlineStr">
        <is>
          <t>–</t>
        </is>
      </c>
      <c r="D742" s="17" t="inlineStr"/>
      <c r="E742" s="17" t="inlineStr">
        <is>
          <t>Nem tartozik ide</t>
        </is>
      </c>
      <c r="F742" s="17" t="inlineStr">
        <is>
          <t>az elmúlt 30 napban</t>
        </is>
      </c>
      <c r="G742" s="17" t="inlineStr">
        <is>
          <t>Más főkategória terméke</t>
        </is>
      </c>
    </row>
    <row r="743">
      <c r="A743" s="17" t="inlineStr">
        <is>
          <t>GRO2064</t>
        </is>
      </c>
      <c r="B743" s="17" t="inlineStr">
        <is>
          <t>BioNova Autoflower Supermix táp önvirágzó növényekhez 5 liter</t>
        </is>
      </c>
      <c r="C743" s="17" t="inlineStr">
        <is>
          <t>–</t>
        </is>
      </c>
      <c r="D743" s="17" t="inlineStr"/>
      <c r="E743" s="17" t="inlineStr">
        <is>
          <t>Nem tartozik ide</t>
        </is>
      </c>
      <c r="F743" s="17" t="inlineStr">
        <is>
          <t>az elmúlt 30 napban</t>
        </is>
      </c>
      <c r="G743" s="17" t="inlineStr">
        <is>
          <t>Más főkategória terméke</t>
        </is>
      </c>
    </row>
    <row r="744">
      <c r="A744" s="17" t="inlineStr">
        <is>
          <t>GRO2065</t>
        </is>
      </c>
      <c r="B744" s="17" t="inlineStr">
        <is>
          <t>BioNova N 27 kloridmentes folyékony nitrogénműtrágya 250 ml</t>
        </is>
      </c>
      <c r="C744" s="17" t="inlineStr">
        <is>
          <t>–</t>
        </is>
      </c>
      <c r="D744" s="17" t="inlineStr"/>
      <c r="E744" s="17" t="inlineStr">
        <is>
          <t>Nem tartozik ide</t>
        </is>
      </c>
      <c r="F744" s="17" t="inlineStr">
        <is>
          <t>az elmúlt 30 napban</t>
        </is>
      </c>
      <c r="G744" s="17" t="inlineStr">
        <is>
          <t>Más főkategória terméke</t>
        </is>
      </c>
    </row>
    <row r="745">
      <c r="A745" s="17" t="inlineStr">
        <is>
          <t>GRO2066</t>
        </is>
      </c>
      <c r="B745" s="17" t="inlineStr">
        <is>
          <t>BioNova P 20 folyékony foszforműtrágya foszforhiányra 250 ml</t>
        </is>
      </c>
      <c r="C745" s="17" t="inlineStr">
        <is>
          <t>–</t>
        </is>
      </c>
      <c r="D745" s="17" t="inlineStr"/>
      <c r="E745" s="17" t="inlineStr">
        <is>
          <t>Nem tartozik ide</t>
        </is>
      </c>
      <c r="F745" s="17" t="inlineStr">
        <is>
          <t>az elmúlt 30 napban</t>
        </is>
      </c>
      <c r="G745" s="17" t="inlineStr">
        <is>
          <t>Más főkategória terméke</t>
        </is>
      </c>
    </row>
    <row r="746">
      <c r="A746" s="17" t="inlineStr">
        <is>
          <t>GRO2067</t>
        </is>
      </c>
      <c r="B746" s="17" t="inlineStr">
        <is>
          <t>BioNova K 20 250 ml</t>
        </is>
      </c>
      <c r="C746" s="17" t="inlineStr">
        <is>
          <t>–</t>
        </is>
      </c>
      <c r="D746" s="17" t="inlineStr"/>
      <c r="E746" s="17" t="inlineStr">
        <is>
          <t>Nem tartozik ide</t>
        </is>
      </c>
      <c r="F746" s="17" t="inlineStr">
        <is>
          <t>2025-10 – 2026-04</t>
        </is>
      </c>
      <c r="G746" s="17" t="inlineStr">
        <is>
          <t>Más főkategória terméke</t>
        </is>
      </c>
    </row>
    <row r="747">
      <c r="A747" s="17" t="inlineStr">
        <is>
          <t>GRO2068</t>
        </is>
      </c>
      <c r="B747" s="17" t="inlineStr">
        <is>
          <t>BioNova Ca 15 folyékony kalciumműtrágya kalciumhiányra 250 ml</t>
        </is>
      </c>
      <c r="C747" s="17" t="inlineStr">
        <is>
          <t>–</t>
        </is>
      </c>
      <c r="D747" s="17" t="inlineStr"/>
      <c r="E747" s="17" t="inlineStr">
        <is>
          <t>Nem tartozik ide</t>
        </is>
      </c>
      <c r="F747" s="17" t="inlineStr">
        <is>
          <t>az elmúlt 30 napban</t>
        </is>
      </c>
      <c r="G747" s="17" t="inlineStr">
        <is>
          <t>Más főkategória terméke</t>
        </is>
      </c>
    </row>
    <row r="748">
      <c r="A748" s="17" t="inlineStr">
        <is>
          <t>GRO2069</t>
        </is>
      </c>
      <c r="B748" s="17" t="inlineStr">
        <is>
          <t>BioNova MgO 10 folyékony magnéziumműtrágya magnéziumhiányra 250 ml</t>
        </is>
      </c>
      <c r="C748" s="17" t="inlineStr">
        <is>
          <t>–</t>
        </is>
      </c>
      <c r="D748" s="17" t="inlineStr"/>
      <c r="E748" s="17" t="inlineStr">
        <is>
          <t>Nem tartozik ide</t>
        </is>
      </c>
      <c r="F748" s="17" t="inlineStr">
        <is>
          <t>az elmúlt 30 napban</t>
        </is>
      </c>
      <c r="G748" s="17" t="inlineStr">
        <is>
          <t>Más főkategória terméke</t>
        </is>
      </c>
    </row>
    <row r="749">
      <c r="A749" s="17" t="inlineStr">
        <is>
          <t>GRO2072</t>
        </is>
      </c>
      <c r="B749" s="17" t="inlineStr">
        <is>
          <t>Atami Bloombastic PK 14-15 virágzásserkentő, 5,5 liter</t>
        </is>
      </c>
      <c r="C749" s="17" t="inlineStr">
        <is>
          <t>–</t>
        </is>
      </c>
      <c r="D749" s="17" t="inlineStr"/>
      <c r="E749" s="17" t="inlineStr">
        <is>
          <t>Nem tartozik ide</t>
        </is>
      </c>
      <c r="F749" s="17" t="inlineStr">
        <is>
          <t>az elmúlt 30 napban</t>
        </is>
      </c>
      <c r="G749" s="17" t="inlineStr">
        <is>
          <t>Más főkategória terméke</t>
        </is>
      </c>
    </row>
    <row r="750">
      <c r="A750" s="17" t="inlineStr">
        <is>
          <t>GRO2076</t>
        </is>
      </c>
      <c r="B750" s="17" t="inlineStr">
        <is>
          <t>Hesi Pro-Line Bloom 500 ml</t>
        </is>
      </c>
      <c r="C750" s="17" t="inlineStr">
        <is>
          <t>–</t>
        </is>
      </c>
      <c r="D750" s="17" t="inlineStr"/>
      <c r="E750" s="17" t="inlineStr">
        <is>
          <t>Nem tartozik ide</t>
        </is>
      </c>
      <c r="F750" s="17" t="inlineStr">
        <is>
          <t>az elmúlt 6 hónapban</t>
        </is>
      </c>
      <c r="G750" s="17" t="inlineStr">
        <is>
          <t>Más főkategória terméke</t>
        </is>
      </c>
    </row>
    <row r="751">
      <c r="A751" s="17" t="inlineStr">
        <is>
          <t>GRO2082</t>
        </is>
      </c>
      <c r="B751" s="17" t="inlineStr">
        <is>
          <t>BioBizz Root-Juice gyökérserkentő 500 ml</t>
        </is>
      </c>
      <c r="C751" s="17" t="inlineStr">
        <is>
          <t>–</t>
        </is>
      </c>
      <c r="D751" s="17" t="inlineStr"/>
      <c r="E751" s="17" t="inlineStr">
        <is>
          <t>Nem tartozik ide</t>
        </is>
      </c>
      <c r="F751" s="17" t="inlineStr">
        <is>
          <t>az elmúlt 30 napban</t>
        </is>
      </c>
      <c r="G751" s="17" t="inlineStr">
        <is>
          <t>Más főkategória terméke</t>
        </is>
      </c>
    </row>
    <row r="752">
      <c r="A752" s="17" t="inlineStr">
        <is>
          <t>GRO2083</t>
        </is>
      </c>
      <c r="B752" s="17" t="inlineStr">
        <is>
          <t>Plagron Cocos A/B kétkomponensű ásványi alaptáp kókuszhoz 10 liter</t>
        </is>
      </c>
      <c r="C752" s="17" t="inlineStr">
        <is>
          <t>–</t>
        </is>
      </c>
      <c r="D752" s="17" t="inlineStr"/>
      <c r="E752" s="17" t="inlineStr">
        <is>
          <t>Nem tartozik ide</t>
        </is>
      </c>
      <c r="F752" s="17" t="inlineStr">
        <is>
          <t>az elmúlt 30 napban</t>
        </is>
      </c>
      <c r="G752" s="17" t="inlineStr">
        <is>
          <t>Más főkategória terméke</t>
        </is>
      </c>
    </row>
    <row r="753">
      <c r="A753" s="17" t="inlineStr">
        <is>
          <t>GRO2086</t>
        </is>
      </c>
      <c r="B753" s="17" t="inlineStr">
        <is>
          <t>ADWA AD100 digitális zseb pH mérő -2,0–16,0 pH, automatikus kalibrálással</t>
        </is>
      </c>
      <c r="C753" s="17" t="inlineStr">
        <is>
          <t>–</t>
        </is>
      </c>
      <c r="D753" s="17" t="inlineStr"/>
      <c r="E753" s="17" t="inlineStr">
        <is>
          <t>Nem tartozik ide</t>
        </is>
      </c>
      <c r="F753" s="17" t="inlineStr">
        <is>
          <t>az elmúlt 30 napban</t>
        </is>
      </c>
      <c r="G753" s="17" t="inlineStr">
        <is>
          <t>Más főkategória terméke</t>
        </is>
      </c>
    </row>
    <row r="754">
      <c r="A754" s="17" t="inlineStr">
        <is>
          <t>GRO2089</t>
        </is>
      </c>
      <c r="B754" s="17" t="inlineStr">
        <is>
          <t>Páramentesítő 12 l/nap</t>
        </is>
      </c>
      <c r="C754" s="17" t="inlineStr">
        <is>
          <t>–</t>
        </is>
      </c>
      <c r="D754" s="17" t="inlineStr"/>
      <c r="E754" s="17" t="inlineStr">
        <is>
          <t>Nem tartozik ide</t>
        </is>
      </c>
      <c r="F754" s="17" t="inlineStr">
        <is>
          <t>2025-10 – 2026-04</t>
        </is>
      </c>
      <c r="G754" s="17" t="inlineStr">
        <is>
          <t>Más főkategória terméke</t>
        </is>
      </c>
    </row>
    <row r="755">
      <c r="A755" s="17" t="inlineStr">
        <is>
          <t>GRO2092</t>
        </is>
      </c>
      <c r="B755" s="17" t="inlineStr">
        <is>
          <t>ADWA AD11 vízálló pH és hőmérséklet mérő cserélhető szondával, 0,1 pH</t>
        </is>
      </c>
      <c r="C755" s="17" t="inlineStr">
        <is>
          <t>–</t>
        </is>
      </c>
      <c r="D755" s="17" t="inlineStr"/>
      <c r="E755" s="17" t="inlineStr">
        <is>
          <t>Nem tartozik ide</t>
        </is>
      </c>
      <c r="F755" s="17" t="inlineStr">
        <is>
          <t>az elmúlt 30 napban</t>
        </is>
      </c>
      <c r="G755" s="17" t="inlineStr">
        <is>
          <t>Más főkategória terméke</t>
        </is>
      </c>
    </row>
    <row r="756">
      <c r="A756" s="17" t="inlineStr">
        <is>
          <t>GRO2093</t>
        </is>
      </c>
      <c r="B756" s="17" t="inlineStr">
        <is>
          <t>ADWA AD101 digitális zseb pH mérő 0,01 pH felbontással, automatikus kalibrálással</t>
        </is>
      </c>
      <c r="C756" s="17" t="inlineStr">
        <is>
          <t>–</t>
        </is>
      </c>
      <c r="D756" s="17" t="inlineStr"/>
      <c r="E756" s="17" t="inlineStr">
        <is>
          <t>Nem tartozik ide</t>
        </is>
      </c>
      <c r="F756" s="17" t="inlineStr">
        <is>
          <t>az elmúlt 30 napban</t>
        </is>
      </c>
      <c r="G756" s="17" t="inlineStr">
        <is>
          <t>Más főkategória terméke</t>
        </is>
      </c>
    </row>
    <row r="757">
      <c r="A757" s="17" t="inlineStr">
        <is>
          <t>GRO2094</t>
        </is>
      </c>
      <c r="B757" s="17" t="inlineStr">
        <is>
          <t>Can Filters Silencer CFS07 ventilátor hangtompító 250 mm, 45 cm, ásványgyapot szigeteléssel</t>
        </is>
      </c>
      <c r="C757" s="17" t="inlineStr">
        <is>
          <t>–</t>
        </is>
      </c>
      <c r="D757" s="17" t="inlineStr"/>
      <c r="E757" s="17" t="inlineStr">
        <is>
          <t>Nem tartozik ide</t>
        </is>
      </c>
      <c r="F757" s="17" t="inlineStr">
        <is>
          <t>az elmúlt 30 napban</t>
        </is>
      </c>
      <c r="G757" s="17" t="inlineStr">
        <is>
          <t>Más főkategória terméke</t>
        </is>
      </c>
    </row>
    <row r="758">
      <c r="A758" s="17" t="inlineStr">
        <is>
          <t>GRO2095</t>
        </is>
      </c>
      <c r="B758" s="17" t="inlineStr">
        <is>
          <t>Milwaukee EC kalibráló folyadék 12880 μS/cm, 230 ml, EC és TDS mérőkhöz</t>
        </is>
      </c>
      <c r="C758" s="17" t="inlineStr">
        <is>
          <t>–</t>
        </is>
      </c>
      <c r="D758" s="17" t="inlineStr"/>
      <c r="E758" s="17" t="inlineStr">
        <is>
          <t>Nem tartozik ide</t>
        </is>
      </c>
      <c r="F758" s="17" t="inlineStr">
        <is>
          <t>az elmúlt 30 napban</t>
        </is>
      </c>
      <c r="G758" s="17" t="inlineStr">
        <is>
          <t>Más főkategória terméke</t>
        </is>
      </c>
    </row>
    <row r="759">
      <c r="A759" s="17" t="inlineStr">
        <is>
          <t>GRO2096</t>
        </is>
      </c>
      <c r="B759" s="17" t="inlineStr">
        <is>
          <t>Milwaukee EC kalibráló folyadék 1413 μS/cm, 230 ml, EC és TDS mérőkhöz</t>
        </is>
      </c>
      <c r="C759" s="17" t="inlineStr">
        <is>
          <t>–</t>
        </is>
      </c>
      <c r="D759" s="17" t="inlineStr"/>
      <c r="E759" s="17" t="inlineStr">
        <is>
          <t>Nem tartozik ide</t>
        </is>
      </c>
      <c r="F759" s="17" t="inlineStr">
        <is>
          <t>az elmúlt 30 napban</t>
        </is>
      </c>
      <c r="G759" s="17" t="inlineStr">
        <is>
          <t>Más főkategória terméke</t>
        </is>
      </c>
    </row>
    <row r="760">
      <c r="A760" s="17" t="inlineStr">
        <is>
          <t>GRO2097</t>
        </is>
      </c>
      <c r="B760" s="17" t="inlineStr">
        <is>
          <t>Milwaukee elektródatisztító folyadék 230 ml pH és EC mérőkhöz</t>
        </is>
      </c>
      <c r="C760" s="17" t="inlineStr">
        <is>
          <t>–</t>
        </is>
      </c>
      <c r="D760" s="17" t="inlineStr"/>
      <c r="E760" s="17" t="inlineStr">
        <is>
          <t>Nem tartozik ide</t>
        </is>
      </c>
      <c r="F760" s="17" t="inlineStr">
        <is>
          <t>az elmúlt 30 napban</t>
        </is>
      </c>
      <c r="G760" s="17" t="inlineStr">
        <is>
          <t>Más főkategória terméke</t>
        </is>
      </c>
    </row>
    <row r="761">
      <c r="A761" s="17" t="inlineStr">
        <is>
          <t>GRO2098</t>
        </is>
      </c>
      <c r="B761" s="17" t="inlineStr">
        <is>
          <t>Milwaukee pH Szonda MW100 Teszterhez</t>
        </is>
      </c>
      <c r="C761" s="17" t="inlineStr">
        <is>
          <t>–</t>
        </is>
      </c>
      <c r="D761" s="17" t="inlineStr"/>
      <c r="E761" s="17" t="inlineStr">
        <is>
          <t>Nem tartozik ide</t>
        </is>
      </c>
      <c r="F761" s="17" t="inlineStr">
        <is>
          <t>2024-10 – 2025-09 (lehet, hogy már nem aktív)</t>
        </is>
      </c>
      <c r="G761" s="17" t="inlineStr">
        <is>
          <t>Más főkategória terméke</t>
        </is>
      </c>
    </row>
    <row r="762">
      <c r="A762" s="17" t="inlineStr">
        <is>
          <t>GRO2119</t>
        </is>
      </c>
      <c r="B762" s="17" t="inlineStr">
        <is>
          <t>Canna Flush talajtisztító 250 ml</t>
        </is>
      </c>
      <c r="C762" s="17" t="inlineStr">
        <is>
          <t>–</t>
        </is>
      </c>
      <c r="D762" s="17" t="inlineStr"/>
      <c r="E762" s="17" t="inlineStr">
        <is>
          <t>Nem tartozik ide</t>
        </is>
      </c>
      <c r="F762" s="17" t="inlineStr">
        <is>
          <t>az elmúlt 6 hónapban</t>
        </is>
      </c>
      <c r="G762" s="17" t="inlineStr">
        <is>
          <t>Más főkategória terméke</t>
        </is>
      </c>
    </row>
    <row r="763">
      <c r="A763" s="17" t="inlineStr">
        <is>
          <t>GRO2129</t>
        </is>
      </c>
      <c r="B763" s="17" t="inlineStr">
        <is>
          <t>Milwaukee MW302 EC teszter</t>
        </is>
      </c>
      <c r="C763" s="17" t="inlineStr">
        <is>
          <t>–</t>
        </is>
      </c>
      <c r="D763" s="17" t="inlineStr"/>
      <c r="E763" s="17" t="inlineStr">
        <is>
          <t>Nem tartozik ide</t>
        </is>
      </c>
      <c r="F763" s="17" t="inlineStr">
        <is>
          <t>az elmúlt 6 hónapban</t>
        </is>
      </c>
      <c r="G763" s="17" t="inlineStr">
        <is>
          <t>Más főkategória terméke</t>
        </is>
      </c>
    </row>
    <row r="764">
      <c r="A764" s="17" t="inlineStr">
        <is>
          <t>GRO2131</t>
        </is>
      </c>
      <c r="B764" s="17" t="inlineStr">
        <is>
          <t>Vents VK 200 Un csatornaventilátor termosztáttal, sebességszabályzóval és kábellel, 200 mm, 780 m3/h</t>
        </is>
      </c>
      <c r="C764" s="17" t="inlineStr">
        <is>
          <t>–</t>
        </is>
      </c>
      <c r="D764" s="17" t="inlineStr"/>
      <c r="E764" s="17" t="inlineStr">
        <is>
          <t>Nem tartozik ide</t>
        </is>
      </c>
      <c r="F764" s="17" t="inlineStr">
        <is>
          <t>az elmúlt 30 napban</t>
        </is>
      </c>
      <c r="G764" s="17" t="inlineStr">
        <is>
          <t>Más főkategória terméke</t>
        </is>
      </c>
    </row>
    <row r="765">
      <c r="A765" s="17" t="inlineStr">
        <is>
          <t>GRO2132</t>
        </is>
      </c>
      <c r="B765" s="17" t="inlineStr">
        <is>
          <t>Vents VK Un termosztát + dimmer kapcsoló + kábel 250 Un</t>
        </is>
      </c>
      <c r="C765" s="17" t="inlineStr">
        <is>
          <t>–</t>
        </is>
      </c>
      <c r="D765" s="17" t="inlineStr"/>
      <c r="E765" s="17" t="inlineStr">
        <is>
          <t>Nem tartozik ide</t>
        </is>
      </c>
      <c r="F765" s="17" t="inlineStr">
        <is>
          <t>az elmúlt 30 napban</t>
        </is>
      </c>
      <c r="G765" s="17" t="inlineStr">
        <is>
          <t>Más főkategória terméke</t>
        </is>
      </c>
    </row>
    <row r="766">
      <c r="A766" s="17" t="inlineStr">
        <is>
          <t>GRO2136</t>
        </is>
      </c>
      <c r="B766" s="17" t="inlineStr">
        <is>
          <t>Vents TT PRO 150 kevert áramlású csőventilátor 150 mm, kétsebességes motorral</t>
        </is>
      </c>
      <c r="C766" s="17" t="inlineStr">
        <is>
          <t>–</t>
        </is>
      </c>
      <c r="D766" s="17" t="inlineStr"/>
      <c r="E766" s="17" t="inlineStr">
        <is>
          <t>Nem tartozik ide</t>
        </is>
      </c>
      <c r="F766" s="17" t="inlineStr">
        <is>
          <t>az elmúlt 30 napban</t>
        </is>
      </c>
      <c r="G766" s="17" t="inlineStr">
        <is>
          <t>Más főkategória terméke</t>
        </is>
      </c>
    </row>
    <row r="767">
      <c r="A767" s="17" t="inlineStr">
        <is>
          <t>GRO2137</t>
        </is>
      </c>
      <c r="B767" s="17" t="inlineStr">
        <is>
          <t>Vents TT Silent-M 200 hangszigetelt csőventilátor 200 mm, két sebesség, 1020 m3/h</t>
        </is>
      </c>
      <c r="C767" s="17" t="inlineStr">
        <is>
          <t>–</t>
        </is>
      </c>
      <c r="D767" s="17" t="inlineStr"/>
      <c r="E767" s="17" t="inlineStr">
        <is>
          <t>Nem tartozik ide</t>
        </is>
      </c>
      <c r="F767" s="17" t="inlineStr">
        <is>
          <t>az elmúlt 30 napban</t>
        </is>
      </c>
      <c r="G767" s="17" t="inlineStr">
        <is>
          <t>Más főkategória terméke</t>
        </is>
      </c>
    </row>
    <row r="768">
      <c r="A768" s="17" t="inlineStr">
        <is>
          <t>GRO2140</t>
        </is>
      </c>
      <c r="B768" s="17" t="inlineStr">
        <is>
          <t>Duct Tape szürke ragasztószalag 50 mm, 10 m, légcsövekhez és javításokhoz</t>
        </is>
      </c>
      <c r="C768" s="17" t="inlineStr">
        <is>
          <t>–</t>
        </is>
      </c>
      <c r="D768" s="17" t="inlineStr"/>
      <c r="E768" s="17" t="inlineStr">
        <is>
          <t>Nem tartozik ide</t>
        </is>
      </c>
      <c r="F768" s="17" t="inlineStr">
        <is>
          <t>az elmúlt 30 napban</t>
        </is>
      </c>
      <c r="G768" s="17" t="inlineStr">
        <is>
          <t>Más főkategória terméke</t>
        </is>
      </c>
    </row>
    <row r="769">
      <c r="A769" s="17" t="inlineStr">
        <is>
          <t>GRO2141</t>
        </is>
      </c>
      <c r="B769" s="17" t="inlineStr">
        <is>
          <t>Duct Tape PVC ragasztószalag 50 mm, 30 m, légcsövekhez és javításokhoz</t>
        </is>
      </c>
      <c r="C769" s="17" t="inlineStr">
        <is>
          <t>–</t>
        </is>
      </c>
      <c r="D769" s="17" t="inlineStr"/>
      <c r="E769" s="17" t="inlineStr">
        <is>
          <t>Nem tartozik ide</t>
        </is>
      </c>
      <c r="F769" s="17" t="inlineStr">
        <is>
          <t>az elmúlt 30 napban</t>
        </is>
      </c>
      <c r="G769" s="17" t="inlineStr">
        <is>
          <t>Más főkategória terméke</t>
        </is>
      </c>
    </row>
    <row r="770">
      <c r="A770" s="17" t="inlineStr">
        <is>
          <t>GRO2142</t>
        </is>
      </c>
      <c r="B770" s="17" t="inlineStr">
        <is>
          <t>Duct Tape PVC ragasztószalag 50 mm, 10 m, légcsövekhez és javításokhoz</t>
        </is>
      </c>
      <c r="C770" s="17" t="inlineStr">
        <is>
          <t>–</t>
        </is>
      </c>
      <c r="D770" s="17" t="inlineStr"/>
      <c r="E770" s="17" t="inlineStr">
        <is>
          <t>Nem tartozik ide</t>
        </is>
      </c>
      <c r="F770" s="17" t="inlineStr">
        <is>
          <t>az elmúlt 30 napban</t>
        </is>
      </c>
      <c r="G770" s="17" t="inlineStr">
        <is>
          <t>Más főkategória terméke</t>
        </is>
      </c>
    </row>
    <row r="771">
      <c r="A771" s="17" t="inlineStr">
        <is>
          <t>GRO2143</t>
        </is>
      </c>
      <c r="B771" s="17" t="inlineStr">
        <is>
          <t>Vents KM Zn fém keresztidom 125 mm</t>
        </is>
      </c>
      <c r="C771" s="17" t="inlineStr">
        <is>
          <t>–</t>
        </is>
      </c>
      <c r="D771" s="17" t="inlineStr"/>
      <c r="E771" s="17" t="inlineStr">
        <is>
          <t>Nem tartozik ide</t>
        </is>
      </c>
      <c r="F771" s="17" t="inlineStr">
        <is>
          <t>2024-10 – 2025-09 (lehet, hogy már nem aktív)</t>
        </is>
      </c>
      <c r="G771" s="17" t="inlineStr">
        <is>
          <t>Más főkategória terméke</t>
        </is>
      </c>
    </row>
    <row r="772">
      <c r="A772" s="17" t="inlineStr">
        <is>
          <t>GRO2144</t>
        </is>
      </c>
      <c r="B772" s="17" t="inlineStr">
        <is>
          <t>Fém keresztidom 150 mm légcsatornák négyirányú összekötéséhez</t>
        </is>
      </c>
      <c r="C772" s="17" t="inlineStr">
        <is>
          <t>–</t>
        </is>
      </c>
      <c r="D772" s="17" t="inlineStr"/>
      <c r="E772" s="17" t="inlineStr">
        <is>
          <t>Nem tartozik ide</t>
        </is>
      </c>
      <c r="F772" s="17" t="inlineStr">
        <is>
          <t>az elmúlt 30 napban</t>
        </is>
      </c>
      <c r="G772" s="17" t="inlineStr">
        <is>
          <t>Más főkategória terméke</t>
        </is>
      </c>
    </row>
    <row r="773">
      <c r="A773" s="17" t="inlineStr">
        <is>
          <t>GRO2153</t>
        </is>
      </c>
      <c r="B773" s="17" t="inlineStr">
        <is>
          <t>Keskeny légtechnikai bilincs 190–210 mm, horganyzott acél, Vents C 200 Zn</t>
        </is>
      </c>
      <c r="C773" s="17" t="inlineStr">
        <is>
          <t>–</t>
        </is>
      </c>
      <c r="D773" s="17" t="inlineStr"/>
      <c r="E773" s="17" t="inlineStr">
        <is>
          <t>Nem tartozik ide</t>
        </is>
      </c>
      <c r="F773" s="17" t="inlineStr">
        <is>
          <t>az elmúlt 30 napban</t>
        </is>
      </c>
      <c r="G773" s="17" t="inlineStr">
        <is>
          <t>Más főkategória terméke</t>
        </is>
      </c>
    </row>
    <row r="774">
      <c r="A774" s="17" t="inlineStr">
        <is>
          <t>GRO2154</t>
        </is>
      </c>
      <c r="B774" s="17" t="inlineStr">
        <is>
          <t>Keskeny légtechnikai bilincs 240–260 mm, horganyzott acél, Vents C 250 Zn</t>
        </is>
      </c>
      <c r="C774" s="17" t="inlineStr">
        <is>
          <t>–</t>
        </is>
      </c>
      <c r="D774" s="17" t="inlineStr"/>
      <c r="E774" s="17" t="inlineStr">
        <is>
          <t>Nem tartozik ide</t>
        </is>
      </c>
      <c r="F774" s="17" t="inlineStr">
        <is>
          <t>az elmúlt 30 napban</t>
        </is>
      </c>
      <c r="G774" s="17" t="inlineStr">
        <is>
          <t>Más főkategória terméke</t>
        </is>
      </c>
    </row>
    <row r="775">
      <c r="A775" s="17" t="inlineStr">
        <is>
          <t>GRO2155</t>
        </is>
      </c>
      <c r="B775" s="17" t="inlineStr">
        <is>
          <t>Keskeny légtechnikai bilincs 300–330 mm, horganyzott acél, Vents C 315 Zn</t>
        </is>
      </c>
      <c r="C775" s="17" t="inlineStr">
        <is>
          <t>–</t>
        </is>
      </c>
      <c r="D775" s="17" t="inlineStr"/>
      <c r="E775" s="17" t="inlineStr">
        <is>
          <t>Nem tartozik ide</t>
        </is>
      </c>
      <c r="F775" s="17" t="inlineStr">
        <is>
          <t>az elmúlt 30 napban</t>
        </is>
      </c>
      <c r="G775" s="17" t="inlineStr">
        <is>
          <t>Más főkategória terméke</t>
        </is>
      </c>
    </row>
    <row r="776">
      <c r="A776" s="17" t="inlineStr">
        <is>
          <t>GRO2156</t>
        </is>
      </c>
      <c r="B776" s="17" t="inlineStr">
        <is>
          <t>Csatos széles légtechnikai bilincs 250 mm, rezgéscsillapító, légcsövekhez</t>
        </is>
      </c>
      <c r="C776" s="17" t="inlineStr">
        <is>
          <t>–</t>
        </is>
      </c>
      <c r="D776" s="17" t="inlineStr"/>
      <c r="E776" s="17" t="inlineStr">
        <is>
          <t>Nem tartozik ide</t>
        </is>
      </c>
      <c r="F776" s="17" t="inlineStr">
        <is>
          <t>az elmúlt 30 napban</t>
        </is>
      </c>
      <c r="G776" s="17" t="inlineStr">
        <is>
          <t>Más főkategória terméke</t>
        </is>
      </c>
    </row>
    <row r="777">
      <c r="A777" s="17" t="inlineStr">
        <is>
          <t>GRO2157</t>
        </is>
      </c>
      <c r="B777" s="17" t="inlineStr">
        <is>
          <t>Csatos széles légtechnikai bilincs 315 mm, rezgéscsillapító, légcsövekhez</t>
        </is>
      </c>
      <c r="C777" s="17" t="inlineStr">
        <is>
          <t>–</t>
        </is>
      </c>
      <c r="D777" s="17" t="inlineStr"/>
      <c r="E777" s="17" t="inlineStr">
        <is>
          <t>Nem tartozik ide</t>
        </is>
      </c>
      <c r="F777" s="17" t="inlineStr">
        <is>
          <t>az elmúlt 30 napban</t>
        </is>
      </c>
      <c r="G777" s="17" t="inlineStr">
        <is>
          <t>Más főkategória terméke</t>
        </is>
      </c>
    </row>
    <row r="778">
      <c r="A778" s="17" t="inlineStr">
        <is>
          <t>GRO2164</t>
        </is>
      </c>
      <c r="B778" s="17" t="inlineStr">
        <is>
          <t>Vents horganyzott fém T idom 100 mm légcsatorna elágaztatásához</t>
        </is>
      </c>
      <c r="C778" s="17" t="inlineStr">
        <is>
          <t>–</t>
        </is>
      </c>
      <c r="D778" s="17" t="inlineStr"/>
      <c r="E778" s="17" t="inlineStr">
        <is>
          <t>Nem tartozik ide</t>
        </is>
      </c>
      <c r="F778" s="17" t="inlineStr">
        <is>
          <t>az elmúlt 30 napban</t>
        </is>
      </c>
      <c r="G778" s="17" t="inlineStr">
        <is>
          <t>Más főkategória terméke</t>
        </is>
      </c>
    </row>
    <row r="779">
      <c r="A779" s="17" t="inlineStr">
        <is>
          <t>GRO2168</t>
        </is>
      </c>
      <c r="B779" s="17" t="inlineStr">
        <is>
          <t>Fém légtechnikai csatlakozó csonk 315 mm légcsatornákhoz és ventilátorokhoz</t>
        </is>
      </c>
      <c r="C779" s="17" t="inlineStr">
        <is>
          <t>–</t>
        </is>
      </c>
      <c r="D779" s="17" t="inlineStr"/>
      <c r="E779" s="17" t="inlineStr">
        <is>
          <t>Nem tartozik ide</t>
        </is>
      </c>
      <c r="F779" s="17" t="inlineStr">
        <is>
          <t>az elmúlt 30 napban</t>
        </is>
      </c>
      <c r="G779" s="17" t="inlineStr">
        <is>
          <t>Más főkategória terméke</t>
        </is>
      </c>
    </row>
    <row r="780">
      <c r="A780" s="17" t="inlineStr">
        <is>
          <t>GRO2174</t>
        </is>
      </c>
      <c r="B780" s="17" t="inlineStr">
        <is>
          <t>ADWA AD31 vízálló EC, TDS és hőmérséklet mérő 0–3999 μS/cm, cserélhető szondával</t>
        </is>
      </c>
      <c r="C780" s="17" t="inlineStr">
        <is>
          <t>–</t>
        </is>
      </c>
      <c r="D780" s="17" t="inlineStr"/>
      <c r="E780" s="17" t="inlineStr">
        <is>
          <t>Nem tartozik ide</t>
        </is>
      </c>
      <c r="F780" s="17" t="inlineStr">
        <is>
          <t>az elmúlt 30 napban</t>
        </is>
      </c>
      <c r="G780" s="17" t="inlineStr">
        <is>
          <t>Más főkategória terméke</t>
        </is>
      </c>
    </row>
    <row r="781">
      <c r="A781" s="17" t="inlineStr">
        <is>
          <t>GRO2180</t>
        </is>
      </c>
      <c r="B781" s="17" t="inlineStr">
        <is>
          <t>Milwaukee Mi56P pH és hőmérséklet csereszonda Martini pH55 és pH56 teszterekhez</t>
        </is>
      </c>
      <c r="C781" s="17" t="inlineStr">
        <is>
          <t>–</t>
        </is>
      </c>
      <c r="D781" s="17" t="inlineStr"/>
      <c r="E781" s="17" t="inlineStr">
        <is>
          <t>Nem tartozik ide</t>
        </is>
      </c>
      <c r="F781" s="17" t="inlineStr">
        <is>
          <t>az elmúlt 30 napban</t>
        </is>
      </c>
      <c r="G781" s="17" t="inlineStr">
        <is>
          <t>Más főkategória terméke</t>
        </is>
      </c>
    </row>
    <row r="782">
      <c r="A782" s="17" t="inlineStr">
        <is>
          <t>GRO2181</t>
        </is>
      </c>
      <c r="B782" s="17" t="inlineStr">
        <is>
          <t>ADWA AD14 vízálló pH, ORP és hőmérséklet mérő cserélhető szondával, 0,01 pH</t>
        </is>
      </c>
      <c r="C782" s="17" t="inlineStr">
        <is>
          <t>–</t>
        </is>
      </c>
      <c r="D782" s="17" t="inlineStr"/>
      <c r="E782" s="17" t="inlineStr">
        <is>
          <t>Nem tartozik ide</t>
        </is>
      </c>
      <c r="F782" s="17" t="inlineStr">
        <is>
          <t>az elmúlt 30 napban</t>
        </is>
      </c>
      <c r="G782" s="17" t="inlineStr">
        <is>
          <t>Más főkategória terméke</t>
        </is>
      </c>
    </row>
    <row r="783">
      <c r="A783" s="17" t="inlineStr">
        <is>
          <t>GRO2182</t>
        </is>
      </c>
      <c r="B783" s="17" t="inlineStr">
        <is>
          <t>Can Filters Can-Lite műanyag szűrővég 100 mm, Can-Lite 150, 300 és 425 szénszűrőhöz</t>
        </is>
      </c>
      <c r="C783" s="17" t="inlineStr">
        <is>
          <t>–</t>
        </is>
      </c>
      <c r="D783" s="17" t="inlineStr"/>
      <c r="E783" s="17" t="inlineStr">
        <is>
          <t>Nem tartozik ide</t>
        </is>
      </c>
      <c r="F783" s="17" t="inlineStr">
        <is>
          <t>az elmúlt 30 napban</t>
        </is>
      </c>
      <c r="G783" s="17" t="inlineStr">
        <is>
          <t>Más főkategória terméke</t>
        </is>
      </c>
    </row>
    <row r="784">
      <c r="A784" s="17" t="inlineStr">
        <is>
          <t>GRO2183</t>
        </is>
      </c>
      <c r="B784" s="17" t="inlineStr">
        <is>
          <t>Vents VK 150 Un csatornaventilátor termosztáttal, sebességszabályzóval és kábellel, 150 mm</t>
        </is>
      </c>
      <c r="C784" s="17" t="inlineStr">
        <is>
          <t>–</t>
        </is>
      </c>
      <c r="D784" s="17" t="inlineStr"/>
      <c r="E784" s="17" t="inlineStr">
        <is>
          <t>Nem tartozik ide</t>
        </is>
      </c>
      <c r="F784" s="17" t="inlineStr">
        <is>
          <t>az elmúlt 30 napban</t>
        </is>
      </c>
      <c r="G784" s="17" t="inlineStr">
        <is>
          <t>Más főkategória terméke</t>
        </is>
      </c>
    </row>
    <row r="785">
      <c r="A785" s="17" t="inlineStr">
        <is>
          <t>GRO2185</t>
        </is>
      </c>
      <c r="B785" s="17" t="inlineStr">
        <is>
          <t>CANNA COGr Buffering Agent pufferoló koncentrátum COGr kókuszlapokhoz 1 liter</t>
        </is>
      </c>
      <c r="C785" s="17" t="inlineStr">
        <is>
          <t>–</t>
        </is>
      </c>
      <c r="D785" s="17" t="inlineStr"/>
      <c r="E785" s="17" t="inlineStr">
        <is>
          <t>Nem tartozik ide</t>
        </is>
      </c>
      <c r="F785" s="17" t="inlineStr">
        <is>
          <t>az elmúlt 30 napban</t>
        </is>
      </c>
      <c r="G785" s="17" t="inlineStr">
        <is>
          <t>Más főkategória terméke</t>
        </is>
      </c>
    </row>
    <row r="786">
      <c r="A786" s="17" t="inlineStr">
        <is>
          <t>GRO2186</t>
        </is>
      </c>
      <c r="B786" s="17" t="inlineStr">
        <is>
          <t>Canna COGr Buffering Agent 5 liter</t>
        </is>
      </c>
      <c r="C786" s="17" t="inlineStr">
        <is>
          <t>–</t>
        </is>
      </c>
      <c r="D786" s="17" t="inlineStr"/>
      <c r="E786" s="17" t="inlineStr">
        <is>
          <t>Nem tartozik ide</t>
        </is>
      </c>
      <c r="F786" s="17" t="inlineStr">
        <is>
          <t>az elmúlt 6 hónapban</t>
        </is>
      </c>
      <c r="G786" s="17" t="inlineStr">
        <is>
          <t>Más főkategória terméke</t>
        </is>
      </c>
    </row>
    <row r="787">
      <c r="A787" s="17" t="inlineStr">
        <is>
          <t>GRO2188</t>
        </is>
      </c>
      <c r="B787" s="17" t="inlineStr">
        <is>
          <t>CANNA COGr Vega A/B kétkomponensű növekedési táp kókuszhoz 10 liter</t>
        </is>
      </c>
      <c r="C787" s="17" t="inlineStr">
        <is>
          <t>–</t>
        </is>
      </c>
      <c r="D787" s="17" t="inlineStr"/>
      <c r="E787" s="17" t="inlineStr">
        <is>
          <t>Nem tartozik ide</t>
        </is>
      </c>
      <c r="F787" s="17" t="inlineStr">
        <is>
          <t>az elmúlt 30 napban</t>
        </is>
      </c>
      <c r="G787" s="17" t="inlineStr">
        <is>
          <t>Más főkategória terméke</t>
        </is>
      </c>
    </row>
    <row r="788">
      <c r="A788" s="17" t="inlineStr">
        <is>
          <t>GRO2196</t>
        </is>
      </c>
      <c r="B788" s="17" t="inlineStr">
        <is>
          <t>ADWA AD32 EC, TDS és hőmérséklet mérő 0–20 mS/cm, cserélhető AD32P szondával</t>
        </is>
      </c>
      <c r="C788" s="17" t="inlineStr">
        <is>
          <t>–</t>
        </is>
      </c>
      <c r="D788" s="17" t="inlineStr"/>
      <c r="E788" s="17" t="inlineStr">
        <is>
          <t>Nem tartozik ide</t>
        </is>
      </c>
      <c r="F788" s="17" t="inlineStr">
        <is>
          <t>az elmúlt 30 napban</t>
        </is>
      </c>
      <c r="G788" s="17" t="inlineStr">
        <is>
          <t>Más főkategória terméke</t>
        </is>
      </c>
    </row>
    <row r="789">
      <c r="A789" s="17" t="inlineStr">
        <is>
          <t>GRO2220</t>
        </is>
      </c>
      <c r="B789" s="17" t="inlineStr">
        <is>
          <t>Can Filters Can-Lite műanyag szűrővég 125 mm, Can-Lite 150, 300 és 425 szénszűrőhöz</t>
        </is>
      </c>
      <c r="C789" s="17" t="inlineStr">
        <is>
          <t>–</t>
        </is>
      </c>
      <c r="D789" s="17" t="inlineStr"/>
      <c r="E789" s="17" t="inlineStr">
        <is>
          <t>Nem tartozik ide</t>
        </is>
      </c>
      <c r="F789" s="17" t="inlineStr">
        <is>
          <t>az elmúlt 30 napban</t>
        </is>
      </c>
      <c r="G789" s="17" t="inlineStr">
        <is>
          <t>Más főkategória terméke</t>
        </is>
      </c>
    </row>
    <row r="790">
      <c r="A790" s="17" t="inlineStr">
        <is>
          <t>GRO2224</t>
        </is>
      </c>
      <c r="B790" s="17" t="inlineStr">
        <is>
          <t>Kertészeti perlit, duzzasztott steril talajjavító és gyökereztető közeg 10 liter</t>
        </is>
      </c>
      <c r="C790" s="17" t="inlineStr">
        <is>
          <t>–</t>
        </is>
      </c>
      <c r="D790" s="17" t="inlineStr"/>
      <c r="E790" s="17" t="inlineStr">
        <is>
          <t>Nem tartozik ide</t>
        </is>
      </c>
      <c r="F790" s="17" t="inlineStr">
        <is>
          <t>az elmúlt 30 napban</t>
        </is>
      </c>
      <c r="G790" s="17" t="inlineStr">
        <is>
          <t>Más főkategória terméke</t>
        </is>
      </c>
    </row>
    <row r="791">
      <c r="A791" s="17" t="inlineStr">
        <is>
          <t>GRO2225</t>
        </is>
      </c>
      <c r="B791" s="17" t="inlineStr">
        <is>
          <t>Perlit 50 liter</t>
        </is>
      </c>
      <c r="C791" s="17" t="inlineStr">
        <is>
          <t>–</t>
        </is>
      </c>
      <c r="D791" s="17" t="inlineStr"/>
      <c r="E791" s="17" t="inlineStr">
        <is>
          <t>Nem tartozik ide</t>
        </is>
      </c>
      <c r="F791" s="17" t="inlineStr">
        <is>
          <t>az elmúlt 30 napban</t>
        </is>
      </c>
      <c r="G791" s="17" t="inlineStr">
        <is>
          <t>Más főkategória terméke</t>
        </is>
      </c>
    </row>
    <row r="792">
      <c r="A792" s="17" t="inlineStr">
        <is>
          <t>GRO2226</t>
        </is>
      </c>
      <c r="B792" s="17" t="inlineStr">
        <is>
          <t>Kertészeti perlit, duzzasztott steril talajjavító és gyökereztető közeg 100 liter</t>
        </is>
      </c>
      <c r="C792" s="17" t="inlineStr">
        <is>
          <t>–</t>
        </is>
      </c>
      <c r="D792" s="17" t="inlineStr"/>
      <c r="E792" s="17" t="inlineStr">
        <is>
          <t>Nem tartozik ide</t>
        </is>
      </c>
      <c r="F792" s="17" t="inlineStr">
        <is>
          <t>az elmúlt 30 napban</t>
        </is>
      </c>
      <c r="G792" s="17" t="inlineStr">
        <is>
          <t>Más főkategória terméke</t>
        </is>
      </c>
    </row>
    <row r="793">
      <c r="A793" s="17" t="inlineStr">
        <is>
          <t>GRO2228</t>
        </is>
      </c>
      <c r="B793" s="17" t="inlineStr">
        <is>
          <t>Dugvillával szerelt kábel 3 x 1 mm², fehér, 2 m, 300/500 V, trafókhoz és lámpákhoz</t>
        </is>
      </c>
      <c r="C793" s="17" t="inlineStr">
        <is>
          <t>–</t>
        </is>
      </c>
      <c r="D793" s="17" t="inlineStr"/>
      <c r="E793" s="17" t="inlineStr">
        <is>
          <t>Nem tartozik ide</t>
        </is>
      </c>
      <c r="F793" s="17" t="inlineStr">
        <is>
          <t>az elmúlt 30 napban</t>
        </is>
      </c>
      <c r="G793" s="17" t="inlineStr">
        <is>
          <t>Más főkategória terméke</t>
        </is>
      </c>
    </row>
    <row r="794">
      <c r="A794" s="17" t="inlineStr">
        <is>
          <t>GRO2229</t>
        </is>
      </c>
      <c r="B794" s="17" t="inlineStr">
        <is>
          <t>Plagron PK 13-14 foszfor-kálium virágzásfokozó, NPK 0-13-14, 5 liter</t>
        </is>
      </c>
      <c r="C794" s="17" t="inlineStr">
        <is>
          <t>–</t>
        </is>
      </c>
      <c r="D794" s="17" t="inlineStr"/>
      <c r="E794" s="17" t="inlineStr">
        <is>
          <t>Nem tartozik ide</t>
        </is>
      </c>
      <c r="F794" s="17" t="inlineStr">
        <is>
          <t>az elmúlt 30 napban</t>
        </is>
      </c>
      <c r="G794" s="17" t="inlineStr">
        <is>
          <t>Más főkategória terméke</t>
        </is>
      </c>
    </row>
    <row r="795">
      <c r="A795" s="17" t="inlineStr">
        <is>
          <t>GRO2234</t>
        </is>
      </c>
      <c r="B795" s="17" t="inlineStr">
        <is>
          <t>Jiffy tőzegkorong 30 mm 2000 darab</t>
        </is>
      </c>
      <c r="C795" s="17" t="inlineStr">
        <is>
          <t>–</t>
        </is>
      </c>
      <c r="D795" s="17" t="inlineStr"/>
      <c r="E795" s="17" t="inlineStr">
        <is>
          <t>Nem tartozik ide</t>
        </is>
      </c>
      <c r="F795" s="17" t="inlineStr">
        <is>
          <t>2025-10 – 2026-04</t>
        </is>
      </c>
      <c r="G795" s="17" t="inlineStr">
        <is>
          <t>Más főkategória terméke</t>
        </is>
      </c>
    </row>
    <row r="796">
      <c r="A796" s="17" t="inlineStr">
        <is>
          <t>GRO2235</t>
        </is>
      </c>
      <c r="B796" s="17" t="inlineStr">
        <is>
          <t>Jiffy tőzegkorong 44 mm 1000 darab</t>
        </is>
      </c>
      <c r="C796" s="17" t="inlineStr">
        <is>
          <t>–</t>
        </is>
      </c>
      <c r="D796" s="17" t="inlineStr"/>
      <c r="E796" s="17" t="inlineStr">
        <is>
          <t>Nem tartozik ide</t>
        </is>
      </c>
      <c r="F796" s="17" t="inlineStr">
        <is>
          <t>2025-10 – 2026-04</t>
        </is>
      </c>
      <c r="G796" s="17" t="inlineStr">
        <is>
          <t>Más főkategória terméke</t>
        </is>
      </c>
    </row>
    <row r="797">
      <c r="A797" s="17" t="inlineStr">
        <is>
          <t>GRO2248</t>
        </is>
      </c>
      <c r="B797" s="17" t="inlineStr">
        <is>
          <t>Neptune hydroponics Propagátor fűtő lap 90W</t>
        </is>
      </c>
      <c r="C797" s="17" t="inlineStr">
        <is>
          <t>–</t>
        </is>
      </c>
      <c r="D797" s="17" t="inlineStr"/>
      <c r="E797" s="17" t="inlineStr">
        <is>
          <t>Nem tartozik ide</t>
        </is>
      </c>
      <c r="F797" s="17" t="inlineStr">
        <is>
          <t>2024-10 – 2025-09 (lehet, hogy már nem aktív)</t>
        </is>
      </c>
      <c r="G797" s="17" t="inlineStr">
        <is>
          <t>Más főkategória terméke</t>
        </is>
      </c>
    </row>
    <row r="798">
      <c r="A798" s="17" t="inlineStr">
        <is>
          <t>GRO2251</t>
        </is>
      </c>
      <c r="B798" s="17" t="inlineStr">
        <is>
          <t>Nutriculture X-Stream Heat Thermoset digitális termosztát fűthető propagátorokhoz, 5–30 °C, 1000 W</t>
        </is>
      </c>
      <c r="C798" s="17" t="inlineStr">
        <is>
          <t>–</t>
        </is>
      </c>
      <c r="D798" s="17" t="inlineStr"/>
      <c r="E798" s="17" t="inlineStr">
        <is>
          <t>Nem tartozik ide</t>
        </is>
      </c>
      <c r="F798" s="17" t="inlineStr">
        <is>
          <t>az elmúlt 30 napban</t>
        </is>
      </c>
      <c r="G798" s="17" t="inlineStr">
        <is>
          <t>Más főkategória terméke</t>
        </is>
      </c>
    </row>
    <row r="799">
      <c r="A799" s="17" t="inlineStr">
        <is>
          <t>GRO2253</t>
        </is>
      </c>
      <c r="B799" s="17" t="inlineStr">
        <is>
          <t>Canna Flush 5 liter</t>
        </is>
      </c>
      <c r="C799" s="17" t="inlineStr">
        <is>
          <t>–</t>
        </is>
      </c>
      <c r="D799" s="17" t="inlineStr"/>
      <c r="E799" s="17" t="inlineStr">
        <is>
          <t>Nem tartozik ide</t>
        </is>
      </c>
      <c r="F799" s="17" t="inlineStr">
        <is>
          <t>az elmúlt 6 hónapban</t>
        </is>
      </c>
      <c r="G799" s="17" t="inlineStr">
        <is>
          <t>Más főkategória terméke</t>
        </is>
      </c>
    </row>
    <row r="800">
      <c r="A800" s="17" t="inlineStr">
        <is>
          <t>GRO2271</t>
        </is>
      </c>
      <c r="B800" s="17" t="inlineStr">
        <is>
          <t>Sylvania SHP-T GroXpress HPS nátriumlámpa izzó 250 W, E40, 2000 K</t>
        </is>
      </c>
      <c r="C800" s="17" t="inlineStr">
        <is>
          <t>–</t>
        </is>
      </c>
      <c r="D800" s="17" t="inlineStr"/>
      <c r="E800" s="17" t="inlineStr">
        <is>
          <t>Nem tartozik ide</t>
        </is>
      </c>
      <c r="F800" s="17" t="inlineStr">
        <is>
          <t>az elmúlt 30 napban</t>
        </is>
      </c>
      <c r="G800" s="17" t="inlineStr">
        <is>
          <t>Más főkategória terméke</t>
        </is>
      </c>
    </row>
    <row r="801">
      <c r="A801" s="17" t="inlineStr">
        <is>
          <t>GRO2273</t>
        </is>
      </c>
      <c r="B801" s="17" t="inlineStr">
        <is>
          <t>Kókusztégla 4,5 kg</t>
        </is>
      </c>
      <c r="C801" s="17" t="inlineStr">
        <is>
          <t>–</t>
        </is>
      </c>
      <c r="D801" s="17" t="inlineStr"/>
      <c r="E801" s="17" t="inlineStr">
        <is>
          <t>Nem tartozik ide</t>
        </is>
      </c>
      <c r="F801" s="17" t="inlineStr">
        <is>
          <t>2025-10 – 2026-04</t>
        </is>
      </c>
      <c r="G801" s="17" t="inlineStr">
        <is>
          <t>Más főkategória terméke</t>
        </is>
      </c>
    </row>
    <row r="802">
      <c r="A802" s="17" t="inlineStr">
        <is>
          <t>GRO2274</t>
        </is>
      </c>
      <c r="B802" s="17" t="inlineStr">
        <is>
          <t>ADWA AD11P pH csereszonda ADWA AD11 és AD12 pH mérőkhöz</t>
        </is>
      </c>
      <c r="C802" s="17" t="inlineStr">
        <is>
          <t>–</t>
        </is>
      </c>
      <c r="D802" s="17" t="inlineStr"/>
      <c r="E802" s="17" t="inlineStr">
        <is>
          <t>Nem tartozik ide</t>
        </is>
      </c>
      <c r="F802" s="17" t="inlineStr">
        <is>
          <t>az elmúlt 30 napban</t>
        </is>
      </c>
      <c r="G802" s="17" t="inlineStr">
        <is>
          <t>Más főkategória terméke</t>
        </is>
      </c>
    </row>
    <row r="803">
      <c r="A803" s="17" t="inlineStr">
        <is>
          <t>GRO2299</t>
        </is>
      </c>
      <c r="B803" s="17" t="inlineStr">
        <is>
          <t>Csatlakozó Kábel Digitális Trafókhoz</t>
        </is>
      </c>
      <c r="C803" s="17" t="inlineStr">
        <is>
          <t>–</t>
        </is>
      </c>
      <c r="D803" s="17" t="inlineStr"/>
      <c r="E803" s="17" t="inlineStr">
        <is>
          <t>Nem tartozik ide</t>
        </is>
      </c>
      <c r="F803" s="17" t="inlineStr">
        <is>
          <t>2024-10 – 2025-09 (lehet, hogy már nem aktív)</t>
        </is>
      </c>
      <c r="G803" s="17" t="inlineStr">
        <is>
          <t>Más főkategória terméke</t>
        </is>
      </c>
    </row>
    <row r="804">
      <c r="A804" s="17" t="inlineStr">
        <is>
          <t>GRO2308</t>
        </is>
      </c>
      <c r="B804" s="17" t="inlineStr">
        <is>
          <t>Plagron PK 13-14 foszfor-kálium virágzásfokozó, NPK 0-13-14, 250 ml</t>
        </is>
      </c>
      <c r="C804" s="17" t="inlineStr">
        <is>
          <t>–</t>
        </is>
      </c>
      <c r="D804" s="17" t="inlineStr"/>
      <c r="E804" s="17" t="inlineStr">
        <is>
          <t>Nem tartozik ide</t>
        </is>
      </c>
      <c r="F804" s="17" t="inlineStr">
        <is>
          <t>az elmúlt 30 napban</t>
        </is>
      </c>
      <c r="G804" s="17" t="inlineStr">
        <is>
          <t>Más főkategória terméke</t>
        </is>
      </c>
    </row>
    <row r="805">
      <c r="A805" s="17" t="inlineStr">
        <is>
          <t>GRO2309</t>
        </is>
      </c>
      <c r="B805" s="17" t="inlineStr">
        <is>
          <t>Plagron PK 13-14 foszfor-kálium virágzásfokozó, NPK 0-13-14, 500 ml</t>
        </is>
      </c>
      <c r="C805" s="17" t="inlineStr">
        <is>
          <t>–</t>
        </is>
      </c>
      <c r="D805" s="17" t="inlineStr"/>
      <c r="E805" s="17" t="inlineStr">
        <is>
          <t>Nem tartozik ide</t>
        </is>
      </c>
      <c r="F805" s="17" t="inlineStr">
        <is>
          <t>az elmúlt 30 napban</t>
        </is>
      </c>
      <c r="G805" s="17" t="inlineStr">
        <is>
          <t>Más főkategória terméke</t>
        </is>
      </c>
    </row>
    <row r="806">
      <c r="A806" s="17" t="inlineStr">
        <is>
          <t>GRO2310</t>
        </is>
      </c>
      <c r="B806" s="17" t="inlineStr">
        <is>
          <t>BioNova Ca 15 folyékony kalciumműtrágya kalciumhiányra 5 liter</t>
        </is>
      </c>
      <c r="C806" s="17" t="inlineStr">
        <is>
          <t>–</t>
        </is>
      </c>
      <c r="D806" s="17" t="inlineStr"/>
      <c r="E806" s="17" t="inlineStr">
        <is>
          <t>Nem tartozik ide</t>
        </is>
      </c>
      <c r="F806" s="17" t="inlineStr">
        <is>
          <t>az elmúlt 30 napban</t>
        </is>
      </c>
      <c r="G806" s="17" t="inlineStr">
        <is>
          <t>Más főkategória terméke</t>
        </is>
      </c>
    </row>
    <row r="807">
      <c r="A807" s="17" t="inlineStr">
        <is>
          <t>GRO2311</t>
        </is>
      </c>
      <c r="B807" s="17" t="inlineStr">
        <is>
          <t>BioNova Aero Supermix alaptáp aeropóniás rendszerekhez 5 liter</t>
        </is>
      </c>
      <c r="C807" s="17" t="inlineStr">
        <is>
          <t>–</t>
        </is>
      </c>
      <c r="D807" s="17" t="inlineStr"/>
      <c r="E807" s="17" t="inlineStr">
        <is>
          <t>Nem tartozik ide</t>
        </is>
      </c>
      <c r="F807" s="17" t="inlineStr">
        <is>
          <t>az elmúlt 30 napban</t>
        </is>
      </c>
      <c r="G807" s="17" t="inlineStr">
        <is>
          <t>Más főkategória terméke</t>
        </is>
      </c>
    </row>
    <row r="808">
      <c r="A808" s="17" t="inlineStr">
        <is>
          <t>GRO2314</t>
        </is>
      </c>
      <c r="B808" s="17" t="inlineStr">
        <is>
          <t>Vents TT Silent-M 150 hangszigetelt csőventilátor 150 mm, két sebesség, 555 m3/h</t>
        </is>
      </c>
      <c r="C808" s="17" t="inlineStr">
        <is>
          <t>–</t>
        </is>
      </c>
      <c r="D808" s="17" t="inlineStr"/>
      <c r="E808" s="17" t="inlineStr">
        <is>
          <t>Nem tartozik ide</t>
        </is>
      </c>
      <c r="F808" s="17" t="inlineStr">
        <is>
          <t>az elmúlt 30 napban</t>
        </is>
      </c>
      <c r="G808" s="17" t="inlineStr">
        <is>
          <t>Más főkategória terméke</t>
        </is>
      </c>
    </row>
    <row r="809">
      <c r="A809" s="17" t="inlineStr">
        <is>
          <t>GRO2316</t>
        </is>
      </c>
      <c r="B809" s="17" t="inlineStr">
        <is>
          <t>Fém Y idom 315 mm</t>
        </is>
      </c>
      <c r="C809" s="17" t="inlineStr">
        <is>
          <t>–</t>
        </is>
      </c>
      <c r="D809" s="17" t="inlineStr"/>
      <c r="E809" s="17" t="inlineStr">
        <is>
          <t>Nem tartozik ide</t>
        </is>
      </c>
      <c r="F809" s="17" t="inlineStr">
        <is>
          <t>2025-10 – 2026-04</t>
        </is>
      </c>
      <c r="G809" s="17" t="inlineStr">
        <is>
          <t>Más főkategória terméke</t>
        </is>
      </c>
    </row>
    <row r="810">
      <c r="A810" s="17" t="inlineStr">
        <is>
          <t>GRO2317</t>
        </is>
      </c>
      <c r="B810" s="17" t="inlineStr">
        <is>
          <t>Nadrág idom 100 mm</t>
        </is>
      </c>
      <c r="C810" s="17" t="inlineStr">
        <is>
          <t>–</t>
        </is>
      </c>
      <c r="D810" s="17" t="inlineStr"/>
      <c r="E810" s="17" t="inlineStr">
        <is>
          <t>Nem tartozik ide</t>
        </is>
      </c>
      <c r="F810" s="17" t="inlineStr">
        <is>
          <t>2024-10 – 2025-09 (lehet, hogy már nem aktív)</t>
        </is>
      </c>
      <c r="G810" s="17" t="inlineStr">
        <is>
          <t>Más főkategória terméke</t>
        </is>
      </c>
    </row>
    <row r="811">
      <c r="A811" s="17" t="inlineStr">
        <is>
          <t>GRO2345</t>
        </is>
      </c>
      <c r="B811" s="17" t="inlineStr">
        <is>
          <t>BioNova P 20 folyékony foszforműtrágya foszforhiányra 5 liter</t>
        </is>
      </c>
      <c r="C811" s="17" t="inlineStr">
        <is>
          <t>–</t>
        </is>
      </c>
      <c r="D811" s="17" t="inlineStr"/>
      <c r="E811" s="17" t="inlineStr">
        <is>
          <t>Nem tartozik ide</t>
        </is>
      </c>
      <c r="F811" s="17" t="inlineStr">
        <is>
          <t>az elmúlt 30 napban</t>
        </is>
      </c>
      <c r="G811" s="17" t="inlineStr">
        <is>
          <t>Más főkategória terméke</t>
        </is>
      </c>
    </row>
    <row r="812">
      <c r="A812" s="17" t="inlineStr">
        <is>
          <t>GRO2346</t>
        </is>
      </c>
      <c r="B812" s="17" t="inlineStr">
        <is>
          <t>BioNova K 20 folyékony káliumműtrágya káliumhiányra 5 liter</t>
        </is>
      </c>
      <c r="C812" s="17" t="inlineStr">
        <is>
          <t>–</t>
        </is>
      </c>
      <c r="D812" s="17" t="inlineStr"/>
      <c r="E812" s="17" t="inlineStr">
        <is>
          <t>Nem tartozik ide</t>
        </is>
      </c>
      <c r="F812" s="17" t="inlineStr">
        <is>
          <t>az elmúlt 30 napban</t>
        </is>
      </c>
      <c r="G812" s="17" t="inlineStr">
        <is>
          <t>Más főkategória terméke</t>
        </is>
      </c>
    </row>
    <row r="813">
      <c r="A813" s="17" t="inlineStr">
        <is>
          <t>GRO2349</t>
        </is>
      </c>
      <c r="B813" s="17" t="inlineStr">
        <is>
          <t>Plagron Euro Pebbles agyaggolyó hidrokultúrához, 8–16 mm, 10 liter</t>
        </is>
      </c>
      <c r="C813" s="17" t="inlineStr">
        <is>
          <t>–</t>
        </is>
      </c>
      <c r="D813" s="17" t="inlineStr"/>
      <c r="E813" s="17" t="inlineStr">
        <is>
          <t>Nem tartozik ide</t>
        </is>
      </c>
      <c r="F813" s="17" t="inlineStr">
        <is>
          <t>az elmúlt 30 napban</t>
        </is>
      </c>
      <c r="G813" s="17" t="inlineStr">
        <is>
          <t>Más főkategória terméke</t>
        </is>
      </c>
    </row>
    <row r="814">
      <c r="A814" s="17" t="inlineStr">
        <is>
          <t>GRO2362</t>
        </is>
      </c>
      <c r="B814" s="17" t="inlineStr">
        <is>
          <t>Hailea Levegőkompresszor ACO-328</t>
        </is>
      </c>
      <c r="C814" s="17" t="inlineStr">
        <is>
          <t>–</t>
        </is>
      </c>
      <c r="D814" s="17" t="inlineStr"/>
      <c r="E814" s="17" t="inlineStr">
        <is>
          <t>Nem tartozik ide</t>
        </is>
      </c>
      <c r="F814" s="17" t="inlineStr">
        <is>
          <t>2025-10 – 2026-04</t>
        </is>
      </c>
      <c r="G814" s="17" t="inlineStr">
        <is>
          <t>Más főkategória terméke</t>
        </is>
      </c>
    </row>
    <row r="815">
      <c r="A815" s="17" t="inlineStr">
        <is>
          <t>GRO2363</t>
        </is>
      </c>
      <c r="B815" s="17" t="inlineStr">
        <is>
          <t>Levegőkompresszor Hailea ACO-388D, 80 l/perc, elektromágneses</t>
        </is>
      </c>
      <c r="C815" s="17" t="inlineStr">
        <is>
          <t>–</t>
        </is>
      </c>
      <c r="D815" s="17" t="inlineStr"/>
      <c r="E815" s="17" t="inlineStr">
        <is>
          <t>Nem tartozik ide</t>
        </is>
      </c>
      <c r="F815" s="17" t="inlineStr">
        <is>
          <t>az elmúlt 30 napban</t>
        </is>
      </c>
      <c r="G815" s="17" t="inlineStr">
        <is>
          <t>Más főkategória terméke</t>
        </is>
      </c>
    </row>
    <row r="816">
      <c r="A816" s="17" t="inlineStr">
        <is>
          <t>GRO2365</t>
        </is>
      </c>
      <c r="B816" s="17" t="inlineStr">
        <is>
          <t>Levegőztető porlasztókő gyűrű 10 cm</t>
        </is>
      </c>
      <c r="C816" s="17" t="inlineStr">
        <is>
          <t>–</t>
        </is>
      </c>
      <c r="D816" s="17" t="inlineStr"/>
      <c r="E816" s="17" t="inlineStr">
        <is>
          <t>Nem tartozik ide</t>
        </is>
      </c>
      <c r="F816" s="17" t="inlineStr">
        <is>
          <t>az elmúlt 30 napban</t>
        </is>
      </c>
      <c r="G816" s="17" t="inlineStr">
        <is>
          <t>Más főkategória terméke</t>
        </is>
      </c>
    </row>
    <row r="817">
      <c r="A817" s="17" t="inlineStr">
        <is>
          <t>GRO2366</t>
        </is>
      </c>
      <c r="B817" s="17" t="inlineStr">
        <is>
          <t>Porlasztókő kör 12,5 cm</t>
        </is>
      </c>
      <c r="C817" s="17" t="inlineStr">
        <is>
          <t>–</t>
        </is>
      </c>
      <c r="D817" s="17" t="inlineStr"/>
      <c r="E817" s="17" t="inlineStr">
        <is>
          <t>Nem tartozik ide</t>
        </is>
      </c>
      <c r="F817" s="17" t="inlineStr">
        <is>
          <t>2024-10 – 2025-09 (lehet, hogy már nem aktív)</t>
        </is>
      </c>
      <c r="G817" s="17" t="inlineStr">
        <is>
          <t>Más főkategória terméke</t>
        </is>
      </c>
    </row>
    <row r="818">
      <c r="A818" s="17" t="inlineStr">
        <is>
          <t>GRO2369</t>
        </is>
      </c>
      <c r="B818" s="17" t="inlineStr">
        <is>
          <t>Zöld fényű fejlámpa 8 LED-del munkához a termesztőtérben sötét periódusban</t>
        </is>
      </c>
      <c r="C818" s="17" t="inlineStr">
        <is>
          <t>–</t>
        </is>
      </c>
      <c r="D818" s="17" t="inlineStr"/>
      <c r="E818" s="17" t="inlineStr">
        <is>
          <t>Nem tartozik ide</t>
        </is>
      </c>
      <c r="F818" s="17" t="inlineStr">
        <is>
          <t>az elmúlt 30 napban</t>
        </is>
      </c>
      <c r="G818" s="17" t="inlineStr">
        <is>
          <t>Más főkategória terméke</t>
        </is>
      </c>
    </row>
    <row r="819">
      <c r="A819" s="17" t="inlineStr">
        <is>
          <t>GRO2371</t>
        </is>
      </c>
      <c r="B819" s="17" t="inlineStr">
        <is>
          <t>BioNova pH- foszforsav alapú pH csökkentő folyadék 5 liter</t>
        </is>
      </c>
      <c r="C819" s="17" t="inlineStr">
        <is>
          <t>–</t>
        </is>
      </c>
      <c r="D819" s="17" t="inlineStr"/>
      <c r="E819" s="17" t="inlineStr">
        <is>
          <t>Nem tartozik ide</t>
        </is>
      </c>
      <c r="F819" s="17" t="inlineStr">
        <is>
          <t>az elmúlt 30 napban</t>
        </is>
      </c>
      <c r="G819" s="17" t="inlineStr">
        <is>
          <t>Más főkategória terméke</t>
        </is>
      </c>
    </row>
    <row r="820">
      <c r="A820" s="17" t="inlineStr">
        <is>
          <t>GRO2382</t>
        </is>
      </c>
      <c r="B820" s="17" t="inlineStr">
        <is>
          <t>Aluflex cső 254mm 3m</t>
        </is>
      </c>
      <c r="C820" s="17" t="inlineStr">
        <is>
          <t>–</t>
        </is>
      </c>
      <c r="D820" s="17" t="inlineStr"/>
      <c r="E820" s="17" t="inlineStr">
        <is>
          <t>Nem tartozik ide</t>
        </is>
      </c>
      <c r="F820" s="17" t="inlineStr">
        <is>
          <t>az elmúlt 30 napban</t>
        </is>
      </c>
      <c r="G820" s="17" t="inlineStr">
        <is>
          <t>Más főkategória terméke</t>
        </is>
      </c>
    </row>
    <row r="821">
      <c r="A821" s="17" t="inlineStr">
        <is>
          <t>GRO2383</t>
        </is>
      </c>
      <c r="B821" s="17" t="inlineStr">
        <is>
          <t>Flexibilis alumínium légcsatorna cső Aluflex 315 mm, 3 m</t>
        </is>
      </c>
      <c r="C821" s="17" t="inlineStr">
        <is>
          <t>–</t>
        </is>
      </c>
      <c r="D821" s="17" t="inlineStr"/>
      <c r="E821" s="17" t="inlineStr">
        <is>
          <t>Nem tartozik ide</t>
        </is>
      </c>
      <c r="F821" s="17" t="inlineStr">
        <is>
          <t>az elmúlt 30 napban</t>
        </is>
      </c>
      <c r="G821" s="17" t="inlineStr">
        <is>
          <t>Más főkategória terméke</t>
        </is>
      </c>
    </row>
    <row r="822">
      <c r="A822" s="17" t="inlineStr">
        <is>
          <t>GRO2390</t>
        </is>
      </c>
      <c r="B822" s="17" t="inlineStr">
        <is>
          <t>Műanyag szűkítő / bővítő cső 120–129 mm légcsatornákhoz, szellőzőrendszerekhez</t>
        </is>
      </c>
      <c r="C822" s="17" t="inlineStr">
        <is>
          <t>–</t>
        </is>
      </c>
      <c r="D822" s="17" t="inlineStr"/>
      <c r="E822" s="17" t="inlineStr">
        <is>
          <t>Nem tartozik ide</t>
        </is>
      </c>
      <c r="F822" s="17" t="inlineStr">
        <is>
          <t>az elmúlt 30 napban</t>
        </is>
      </c>
      <c r="G822" s="17" t="inlineStr">
        <is>
          <t>Más főkategória terméke</t>
        </is>
      </c>
    </row>
    <row r="823">
      <c r="A823" s="17" t="inlineStr">
        <is>
          <t>GRO2391</t>
        </is>
      </c>
      <c r="B823" s="17" t="inlineStr">
        <is>
          <t>Duct Tape szürke ragasztószalag 50 mm, 30 m, légcsövekhez és javításokhoz</t>
        </is>
      </c>
      <c r="C823" s="17" t="inlineStr">
        <is>
          <t>–</t>
        </is>
      </c>
      <c r="D823" s="17" t="inlineStr"/>
      <c r="E823" s="17" t="inlineStr">
        <is>
          <t>Nem tartozik ide</t>
        </is>
      </c>
      <c r="F823" s="17" t="inlineStr">
        <is>
          <t>az elmúlt 30 napban</t>
        </is>
      </c>
      <c r="G823" s="17" t="inlineStr">
        <is>
          <t>Más főkategória terméke</t>
        </is>
      </c>
    </row>
    <row r="824">
      <c r="A824" s="17" t="inlineStr">
        <is>
          <t>GRO2392</t>
        </is>
      </c>
      <c r="B824" s="17" t="inlineStr">
        <is>
          <t>Vents RT-10 mechanikus hőmérséklet-szabályzó termosztát 10–30 °C, 230 V, 10 A</t>
        </is>
      </c>
      <c r="C824" s="17" t="inlineStr">
        <is>
          <t>–</t>
        </is>
      </c>
      <c r="D824" s="17" t="inlineStr"/>
      <c r="E824" s="17" t="inlineStr">
        <is>
          <t>Nem tartozik ide</t>
        </is>
      </c>
      <c r="F824" s="17" t="inlineStr">
        <is>
          <t>az elmúlt 30 napban</t>
        </is>
      </c>
      <c r="G824" s="17" t="inlineStr">
        <is>
          <t>Más főkategória terméke</t>
        </is>
      </c>
    </row>
    <row r="825">
      <c r="A825" s="17" t="inlineStr">
        <is>
          <t>GRO2395</t>
        </is>
      </c>
      <c r="B825" s="17" t="inlineStr">
        <is>
          <t>GrowMax Water víztisztító SUPER GROW 800</t>
        </is>
      </c>
      <c r="C825" s="17" t="inlineStr">
        <is>
          <t>–</t>
        </is>
      </c>
      <c r="D825" s="17" t="inlineStr"/>
      <c r="E825" s="17" t="inlineStr">
        <is>
          <t>Nem tartozik ide</t>
        </is>
      </c>
      <c r="F825" s="17" t="inlineStr">
        <is>
          <t>2025-10 – 2026-04</t>
        </is>
      </c>
      <c r="G825" s="17" t="inlineStr">
        <is>
          <t>Más főkategória terméke</t>
        </is>
      </c>
    </row>
    <row r="826">
      <c r="A826" s="17" t="inlineStr">
        <is>
          <t>GRO2396</t>
        </is>
      </c>
      <c r="B826" s="17" t="inlineStr">
        <is>
          <t>GrowMax Water víztisztító POWER GROW 500</t>
        </is>
      </c>
      <c r="C826" s="17" t="inlineStr">
        <is>
          <t>–</t>
        </is>
      </c>
      <c r="D826" s="17" t="inlineStr"/>
      <c r="E826" s="17" t="inlineStr">
        <is>
          <t>Nem tartozik ide</t>
        </is>
      </c>
      <c r="F826" s="17" t="inlineStr">
        <is>
          <t>2024-10 – 2025-09 (lehet, hogy már nem aktív)</t>
        </is>
      </c>
      <c r="G826" s="17" t="inlineStr">
        <is>
          <t>Más főkategória terméke</t>
        </is>
      </c>
    </row>
    <row r="827">
      <c r="A827" s="17" t="inlineStr">
        <is>
          <t>GRO2397</t>
        </is>
      </c>
      <c r="B827" s="17" t="inlineStr">
        <is>
          <t>GrowMax Water víztisztító MEGA GROW 1000</t>
        </is>
      </c>
      <c r="C827" s="17" t="inlineStr">
        <is>
          <t>–</t>
        </is>
      </c>
      <c r="D827" s="17" t="inlineStr"/>
      <c r="E827" s="17" t="inlineStr">
        <is>
          <t>Nem tartozik ide</t>
        </is>
      </c>
      <c r="F827" s="17" t="inlineStr">
        <is>
          <t>2025-10 – 2026-04</t>
        </is>
      </c>
      <c r="G827" s="17" t="inlineStr">
        <is>
          <t>Más főkategória terméke</t>
        </is>
      </c>
    </row>
    <row r="828">
      <c r="A828" s="17" t="inlineStr">
        <is>
          <t>GRO2415</t>
        </is>
      </c>
      <c r="B828" s="17" t="inlineStr">
        <is>
          <t>Jiffy tőzegkorong 30 mm 50 darab</t>
        </is>
      </c>
      <c r="C828" s="17" t="inlineStr">
        <is>
          <t>–</t>
        </is>
      </c>
      <c r="D828" s="17" t="inlineStr"/>
      <c r="E828" s="17" t="inlineStr">
        <is>
          <t>Nem tartozik ide</t>
        </is>
      </c>
      <c r="F828" s="17" t="inlineStr">
        <is>
          <t>2025-10 – 2026-04</t>
        </is>
      </c>
      <c r="G828" s="17" t="inlineStr">
        <is>
          <t>Más főkategória terméke</t>
        </is>
      </c>
    </row>
    <row r="829">
      <c r="A829" s="17" t="inlineStr">
        <is>
          <t>GRO2416</t>
        </is>
      </c>
      <c r="B829" s="17" t="inlineStr">
        <is>
          <t>Jiffy tőzegkorong 41 mm 50 darab</t>
        </is>
      </c>
      <c r="C829" s="17" t="inlineStr">
        <is>
          <t>–</t>
        </is>
      </c>
      <c r="D829" s="17" t="inlineStr"/>
      <c r="E829" s="17" t="inlineStr">
        <is>
          <t>Nem tartozik ide</t>
        </is>
      </c>
      <c r="F829" s="17" t="inlineStr">
        <is>
          <t>az elmúlt 6 hónapban</t>
        </is>
      </c>
      <c r="G829" s="17" t="inlineStr">
        <is>
          <t>Más főkategória terméke</t>
        </is>
      </c>
    </row>
    <row r="830">
      <c r="A830" s="17" t="inlineStr">
        <is>
          <t>GRO2417</t>
        </is>
      </c>
      <c r="B830" s="17" t="inlineStr">
        <is>
          <t>Jiffy tőzegkorong 44 mm 50 darab</t>
        </is>
      </c>
      <c r="C830" s="17" t="inlineStr">
        <is>
          <t>–</t>
        </is>
      </c>
      <c r="D830" s="17" t="inlineStr"/>
      <c r="E830" s="17" t="inlineStr">
        <is>
          <t>Nem tartozik ide</t>
        </is>
      </c>
      <c r="F830" s="17" t="inlineStr">
        <is>
          <t>az elmúlt 6 hónapban</t>
        </is>
      </c>
      <c r="G830" s="17" t="inlineStr">
        <is>
          <t>Más főkategória terméke</t>
        </is>
      </c>
    </row>
    <row r="831">
      <c r="A831" s="17" t="inlineStr">
        <is>
          <t>GRO2421</t>
        </is>
      </c>
      <c r="B831" s="17" t="inlineStr">
        <is>
          <t>Secret Jardin DARKROOM Grow Box R3.00 Secret Jardin DR120</t>
        </is>
      </c>
      <c r="C831" s="17" t="inlineStr">
        <is>
          <t>–</t>
        </is>
      </c>
      <c r="D831" s="17" t="inlineStr"/>
      <c r="E831" s="17" t="inlineStr">
        <is>
          <t>Nem tartozik ide</t>
        </is>
      </c>
      <c r="F831" s="17" t="inlineStr">
        <is>
          <t>2024-10 – 2025-09 (lehet, hogy már nem aktív)</t>
        </is>
      </c>
      <c r="G831" s="17" t="inlineStr">
        <is>
          <t>Más főkategória terméke</t>
        </is>
      </c>
    </row>
    <row r="832">
      <c r="A832" s="17" t="inlineStr">
        <is>
          <t>GRO2422</t>
        </is>
      </c>
      <c r="B832" s="17" t="inlineStr">
        <is>
          <t>Secret Jardin Darkroom DR150 R3.00 termesztősátor 150x150x235 cm</t>
        </is>
      </c>
      <c r="C832" s="17" t="inlineStr">
        <is>
          <t>–</t>
        </is>
      </c>
      <c r="D832" s="17" t="inlineStr"/>
      <c r="E832" s="17" t="inlineStr">
        <is>
          <t>Nem tartozik ide</t>
        </is>
      </c>
      <c r="F832" s="17" t="inlineStr">
        <is>
          <t>az elmúlt 30 napban</t>
        </is>
      </c>
      <c r="G832" s="17" t="inlineStr">
        <is>
          <t>Más főkategória terméke</t>
        </is>
      </c>
    </row>
    <row r="833">
      <c r="A833" s="17" t="inlineStr">
        <is>
          <t>GRO2424</t>
        </is>
      </c>
      <c r="B833" s="17" t="inlineStr">
        <is>
          <t>Secret Jardin DARKROOM Grow Box R4.00 DR300W</t>
        </is>
      </c>
      <c r="C833" s="17" t="inlineStr">
        <is>
          <t>–</t>
        </is>
      </c>
      <c r="D833" s="17" t="inlineStr"/>
      <c r="E833" s="17" t="inlineStr">
        <is>
          <t>Nem tartozik ide</t>
        </is>
      </c>
      <c r="F833" s="17" t="inlineStr">
        <is>
          <t>az elmúlt 6 hónapban</t>
        </is>
      </c>
      <c r="G833" s="17" t="inlineStr">
        <is>
          <t>Más főkategória terméke</t>
        </is>
      </c>
    </row>
    <row r="834">
      <c r="A834" s="17" t="inlineStr">
        <is>
          <t>GRO2425</t>
        </is>
      </c>
      <c r="B834" s="17" t="inlineStr">
        <is>
          <t>Secret Jardin Dark Street DS60 R4.00 termesztősátor 60x60x158 cm</t>
        </is>
      </c>
      <c r="C834" s="17" t="inlineStr">
        <is>
          <t>–</t>
        </is>
      </c>
      <c r="D834" s="17" t="inlineStr"/>
      <c r="E834" s="17" t="inlineStr">
        <is>
          <t>Nem tartozik ide</t>
        </is>
      </c>
      <c r="F834" s="17" t="inlineStr">
        <is>
          <t>az elmúlt 30 napban</t>
        </is>
      </c>
      <c r="G834" s="17" t="inlineStr">
        <is>
          <t>Más főkategória terméke</t>
        </is>
      </c>
    </row>
    <row r="835">
      <c r="A835" s="17" t="inlineStr">
        <is>
          <t>GRO2426</t>
        </is>
      </c>
      <c r="B835" s="17" t="inlineStr">
        <is>
          <t>Secret Jardin Dark Street DS90 R4.00 termesztősátor 90x90x178 cm</t>
        </is>
      </c>
      <c r="C835" s="17" t="inlineStr">
        <is>
          <t>–</t>
        </is>
      </c>
      <c r="D835" s="17" t="inlineStr"/>
      <c r="E835" s="17" t="inlineStr">
        <is>
          <t>Nem tartozik ide</t>
        </is>
      </c>
      <c r="F835" s="17" t="inlineStr">
        <is>
          <t>az elmúlt 30 napban</t>
        </is>
      </c>
      <c r="G835" s="17" t="inlineStr">
        <is>
          <t>Más főkategória terméke</t>
        </is>
      </c>
    </row>
    <row r="836">
      <c r="A836" s="17" t="inlineStr">
        <is>
          <t>GRO2427</t>
        </is>
      </c>
      <c r="B836" s="17" t="inlineStr">
        <is>
          <t>Secret Jardin Dark Street DS120 R4.00 termesztősátor 120x120x200 cm</t>
        </is>
      </c>
      <c r="C836" s="17" t="inlineStr">
        <is>
          <t>–</t>
        </is>
      </c>
      <c r="D836" s="17" t="inlineStr"/>
      <c r="E836" s="17" t="inlineStr">
        <is>
          <t>Nem tartozik ide</t>
        </is>
      </c>
      <c r="F836" s="17" t="inlineStr">
        <is>
          <t>az elmúlt 30 napban</t>
        </is>
      </c>
      <c r="G836" s="17" t="inlineStr">
        <is>
          <t>Más főkategória terméke</t>
        </is>
      </c>
    </row>
    <row r="837">
      <c r="A837" s="17" t="inlineStr">
        <is>
          <t>GRO2435</t>
        </is>
      </c>
      <c r="B837" s="17" t="inlineStr">
        <is>
          <t>Secret Jardin Dark Propagator DP90 R4.00 nevelősátor 90x60x98 cm</t>
        </is>
      </c>
      <c r="C837" s="17" t="inlineStr">
        <is>
          <t>–</t>
        </is>
      </c>
      <c r="D837" s="17" t="inlineStr"/>
      <c r="E837" s="17" t="inlineStr">
        <is>
          <t>Nem tartozik ide</t>
        </is>
      </c>
      <c r="F837" s="17" t="inlineStr">
        <is>
          <t>az elmúlt 30 napban</t>
        </is>
      </c>
      <c r="G837" s="17" t="inlineStr">
        <is>
          <t>Más főkategória terméke</t>
        </is>
      </c>
    </row>
    <row r="838">
      <c r="A838" s="17" t="inlineStr">
        <is>
          <t>GRO2437</t>
        </is>
      </c>
      <c r="B838" s="17" t="inlineStr">
        <is>
          <t>Secret Jardin Hydro Shoot HS40 termesztősátor 40x40x120 cm</t>
        </is>
      </c>
      <c r="C838" s="17" t="inlineStr">
        <is>
          <t>–</t>
        </is>
      </c>
      <c r="D838" s="17" t="inlineStr"/>
      <c r="E838" s="17" t="inlineStr">
        <is>
          <t>Nem tartozik ide</t>
        </is>
      </c>
      <c r="F838" s="17" t="inlineStr">
        <is>
          <t>az elmúlt 30 napban</t>
        </is>
      </c>
      <c r="G838" s="17" t="inlineStr">
        <is>
          <t>Más főkategória terméke</t>
        </is>
      </c>
    </row>
    <row r="839">
      <c r="A839" s="17" t="inlineStr">
        <is>
          <t>GRO2438</t>
        </is>
      </c>
      <c r="B839" s="17" t="inlineStr">
        <is>
          <t>Secret Jardin Hydro Shoot HS60 termesztősátor 60x60x158 cm</t>
        </is>
      </c>
      <c r="C839" s="17" t="inlineStr">
        <is>
          <t>–</t>
        </is>
      </c>
      <c r="D839" s="17" t="inlineStr"/>
      <c r="E839" s="17" t="inlineStr">
        <is>
          <t>Nem tartozik ide</t>
        </is>
      </c>
      <c r="F839" s="17" t="inlineStr">
        <is>
          <t>az elmúlt 30 napban</t>
        </is>
      </c>
      <c r="G839" s="17" t="inlineStr">
        <is>
          <t>Más főkategória terméke</t>
        </is>
      </c>
    </row>
    <row r="840">
      <c r="A840" s="17" t="inlineStr">
        <is>
          <t>GRO2439</t>
        </is>
      </c>
      <c r="B840" s="17" t="inlineStr">
        <is>
          <t>Secret Jardin Hydro Shoot HS80 termesztősátor 80x80x178 cm</t>
        </is>
      </c>
      <c r="C840" s="17" t="inlineStr">
        <is>
          <t>–</t>
        </is>
      </c>
      <c r="D840" s="17" t="inlineStr"/>
      <c r="E840" s="17" t="inlineStr">
        <is>
          <t>Nem tartozik ide</t>
        </is>
      </c>
      <c r="F840" s="17" t="inlineStr">
        <is>
          <t>az elmúlt 30 napban</t>
        </is>
      </c>
      <c r="G840" s="17" t="inlineStr">
        <is>
          <t>Más főkategória terméke</t>
        </is>
      </c>
    </row>
    <row r="841">
      <c r="A841" s="17" t="inlineStr">
        <is>
          <t>GRO2442</t>
        </is>
      </c>
      <c r="B841" s="17" t="inlineStr">
        <is>
          <t>Secret Jardin Darkstreet Y Sarokelem Ø16 mm</t>
        </is>
      </c>
      <c r="C841" s="17" t="inlineStr">
        <is>
          <t>–</t>
        </is>
      </c>
      <c r="D841" s="17" t="inlineStr"/>
      <c r="E841" s="17" t="inlineStr">
        <is>
          <t>Nem tartozik ide</t>
        </is>
      </c>
      <c r="F841" s="17" t="inlineStr">
        <is>
          <t>2024-10 – 2025-09 (lehet, hogy már nem aktív)</t>
        </is>
      </c>
      <c r="G841" s="17" t="inlineStr">
        <is>
          <t>Más főkategória terméke</t>
        </is>
      </c>
    </row>
    <row r="842">
      <c r="A842" s="17" t="inlineStr">
        <is>
          <t>GRO2443</t>
        </is>
      </c>
      <c r="B842" s="17" t="inlineStr">
        <is>
          <t>Secret Jardin Darkstreet Y Sarokelem Ø19 mm</t>
        </is>
      </c>
      <c r="C842" s="17" t="inlineStr">
        <is>
          <t>–</t>
        </is>
      </c>
      <c r="D842" s="17" t="inlineStr"/>
      <c r="E842" s="17" t="inlineStr">
        <is>
          <t>Nem tartozik ide</t>
        </is>
      </c>
      <c r="F842" s="17" t="inlineStr">
        <is>
          <t>2024-10 – 2025-09 (lehet, hogy már nem aktív)</t>
        </is>
      </c>
      <c r="G842" s="17" t="inlineStr">
        <is>
          <t>Más főkategória terméke</t>
        </is>
      </c>
    </row>
    <row r="843">
      <c r="A843" s="17" t="inlineStr">
        <is>
          <t>GRO2444</t>
        </is>
      </c>
      <c r="B843" s="17" t="inlineStr">
        <is>
          <t>Secret Jardin WEBIT növénytartó háló (SCROG) 60x60 cm</t>
        </is>
      </c>
      <c r="C843" s="17" t="inlineStr">
        <is>
          <t>–</t>
        </is>
      </c>
      <c r="D843" s="17" t="inlineStr"/>
      <c r="E843" s="17" t="inlineStr">
        <is>
          <t>Nem tartozik ide</t>
        </is>
      </c>
      <c r="F843" s="17" t="inlineStr">
        <is>
          <t>az elmúlt 30 napban</t>
        </is>
      </c>
      <c r="G843" s="17" t="inlineStr">
        <is>
          <t>Más főkategória terméke</t>
        </is>
      </c>
    </row>
    <row r="844">
      <c r="A844" s="17" t="inlineStr">
        <is>
          <t>GRO2445</t>
        </is>
      </c>
      <c r="B844" s="17" t="inlineStr">
        <is>
          <t>Secret Jardin WEBIT növénytartó háló (SCROG) 90x90 cm</t>
        </is>
      </c>
      <c r="C844" s="17" t="inlineStr">
        <is>
          <t>–</t>
        </is>
      </c>
      <c r="D844" s="17" t="inlineStr"/>
      <c r="E844" s="17" t="inlineStr">
        <is>
          <t>Nem tartozik ide</t>
        </is>
      </c>
      <c r="F844" s="17" t="inlineStr">
        <is>
          <t>az elmúlt 30 napban</t>
        </is>
      </c>
      <c r="G844" s="17" t="inlineStr">
        <is>
          <t>Más főkategória terméke</t>
        </is>
      </c>
    </row>
    <row r="845">
      <c r="A845" s="17" t="inlineStr">
        <is>
          <t>GRO2447</t>
        </is>
      </c>
      <c r="B845" s="17" t="inlineStr">
        <is>
          <t>Késleltetés és hőmérséklet szabályzó ventilátorhoz</t>
        </is>
      </c>
      <c r="C845" s="17" t="inlineStr">
        <is>
          <t>–</t>
        </is>
      </c>
      <c r="D845" s="17" t="inlineStr"/>
      <c r="E845" s="17" t="inlineStr">
        <is>
          <t>Nem tartozik ide</t>
        </is>
      </c>
      <c r="F845" s="17" t="inlineStr">
        <is>
          <t>az elmúlt 6 hónapban</t>
        </is>
      </c>
      <c r="G845" s="17" t="inlineStr">
        <is>
          <t>Más főkategória terméke</t>
        </is>
      </c>
    </row>
    <row r="846">
      <c r="A846" s="17" t="inlineStr">
        <is>
          <t>GRO2458</t>
        </is>
      </c>
      <c r="B846" s="17" t="inlineStr">
        <is>
          <t>Secret Jardin Hydro Shoot HS100 termesztősátor 100x100x198 cm</t>
        </is>
      </c>
      <c r="C846" s="17" t="inlineStr">
        <is>
          <t>–</t>
        </is>
      </c>
      <c r="D846" s="17" t="inlineStr"/>
      <c r="E846" s="17" t="inlineStr">
        <is>
          <t>Nem tartozik ide</t>
        </is>
      </c>
      <c r="F846" s="17" t="inlineStr">
        <is>
          <t>az elmúlt 30 napban</t>
        </is>
      </c>
      <c r="G846" s="17" t="inlineStr">
        <is>
          <t>Más főkategória terméke</t>
        </is>
      </c>
    </row>
    <row r="847">
      <c r="A847" s="17" t="inlineStr">
        <is>
          <t>GRO2459</t>
        </is>
      </c>
      <c r="B847" s="17" t="inlineStr">
        <is>
          <t>Secret Jardin Hydro Shoot HS120 termesztősátor 120x120x200 cm</t>
        </is>
      </c>
      <c r="C847" s="17" t="inlineStr">
        <is>
          <t>–</t>
        </is>
      </c>
      <c r="D847" s="17" t="inlineStr"/>
      <c r="E847" s="17" t="inlineStr">
        <is>
          <t>Nem tartozik ide</t>
        </is>
      </c>
      <c r="F847" s="17" t="inlineStr">
        <is>
          <t>az elmúlt 30 napban</t>
        </is>
      </c>
      <c r="G847" s="17" t="inlineStr">
        <is>
          <t>Más főkategória terméke</t>
        </is>
      </c>
    </row>
    <row r="848">
      <c r="A848" s="17" t="inlineStr">
        <is>
          <t>GRO2466</t>
        </is>
      </c>
      <c r="B848" s="17" t="inlineStr">
        <is>
          <t>Aquatek 3in1 analóg talajteszter pH, nedvesség és fény mérésére, elem nélkül</t>
        </is>
      </c>
      <c r="C848" s="17" t="inlineStr">
        <is>
          <t>–</t>
        </is>
      </c>
      <c r="D848" s="17" t="inlineStr"/>
      <c r="E848" s="17" t="inlineStr">
        <is>
          <t>Nem tartozik ide</t>
        </is>
      </c>
      <c r="F848" s="17" t="inlineStr">
        <is>
          <t>az elmúlt 30 napban</t>
        </is>
      </c>
      <c r="G848" s="17" t="inlineStr">
        <is>
          <t>Más főkategória terméke</t>
        </is>
      </c>
    </row>
    <row r="849">
      <c r="A849" s="17" t="inlineStr">
        <is>
          <t>GRO2467</t>
        </is>
      </c>
      <c r="B849" s="17" t="inlineStr">
        <is>
          <t>Aquatek 4in1 digitális talajteszter pH, nedvesség, fény és hőmérséklet mérésére</t>
        </is>
      </c>
      <c r="C849" s="17" t="inlineStr">
        <is>
          <t>–</t>
        </is>
      </c>
      <c r="D849" s="17" t="inlineStr"/>
      <c r="E849" s="17" t="inlineStr">
        <is>
          <t>Nem tartozik ide</t>
        </is>
      </c>
      <c r="F849" s="17" t="inlineStr">
        <is>
          <t>az elmúlt 30 napban</t>
        </is>
      </c>
      <c r="G849" s="17" t="inlineStr">
        <is>
          <t>Más főkategória terméke</t>
        </is>
      </c>
    </row>
    <row r="850">
      <c r="A850" s="17" t="inlineStr">
        <is>
          <t>GRO2471</t>
        </is>
      </c>
      <c r="B850" s="17" t="inlineStr">
        <is>
          <t>Plagron Perlit, RHP minősítésű kertészeti perlit földhöz és hidrokultúrához 10 liter</t>
        </is>
      </c>
      <c r="C850" s="17" t="inlineStr">
        <is>
          <t>–</t>
        </is>
      </c>
      <c r="D850" s="17" t="inlineStr"/>
      <c r="E850" s="17" t="inlineStr">
        <is>
          <t>Nem tartozik ide</t>
        </is>
      </c>
      <c r="F850" s="17" t="inlineStr">
        <is>
          <t>az elmúlt 30 napban</t>
        </is>
      </c>
      <c r="G850" s="17" t="inlineStr">
        <is>
          <t>Más főkategória terméke</t>
        </is>
      </c>
    </row>
    <row r="851">
      <c r="A851" s="17" t="inlineStr">
        <is>
          <t>GRO2472</t>
        </is>
      </c>
      <c r="B851" s="17" t="inlineStr">
        <is>
          <t>ONA Block szagsemlegesítő tömb Pro illat, 170 g, kis helyekre és légcsatornába</t>
        </is>
      </c>
      <c r="C851" s="17" t="inlineStr">
        <is>
          <t>–</t>
        </is>
      </c>
      <c r="D851" s="17" t="inlineStr"/>
      <c r="E851" s="17" t="inlineStr">
        <is>
          <t>Nem tartozik ide</t>
        </is>
      </c>
      <c r="F851" s="17" t="inlineStr">
        <is>
          <t>az elmúlt 30 napban</t>
        </is>
      </c>
      <c r="G851" s="17" t="inlineStr">
        <is>
          <t>Más főkategória terméke</t>
        </is>
      </c>
    </row>
    <row r="852">
      <c r="A852" s="17" t="inlineStr">
        <is>
          <t>GRO2473</t>
        </is>
      </c>
      <c r="B852" s="17" t="inlineStr">
        <is>
          <t>ONA Block szagsemlegesítő tömb Polar Crystal illat, 170 g, kis helyekre és légcsatornába</t>
        </is>
      </c>
      <c r="C852" s="17" t="inlineStr">
        <is>
          <t>–</t>
        </is>
      </c>
      <c r="D852" s="17" t="inlineStr"/>
      <c r="E852" s="17" t="inlineStr">
        <is>
          <t>Nem tartozik ide</t>
        </is>
      </c>
      <c r="F852" s="17" t="inlineStr">
        <is>
          <t>az elmúlt 30 napban</t>
        </is>
      </c>
      <c r="G852" s="17" t="inlineStr">
        <is>
          <t>Más főkategória terméke</t>
        </is>
      </c>
    </row>
    <row r="853">
      <c r="A853" s="17" t="inlineStr">
        <is>
          <t>GRO2474</t>
        </is>
      </c>
      <c r="B853" s="17" t="inlineStr">
        <is>
          <t>ONA Block szagsemlegesítő tömb Fresh Linen illat, 170 g, kis helyekre és légcsatornába</t>
        </is>
      </c>
      <c r="C853" s="17" t="inlineStr">
        <is>
          <t>–</t>
        </is>
      </c>
      <c r="D853" s="17" t="inlineStr"/>
      <c r="E853" s="17" t="inlineStr">
        <is>
          <t>Nem tartozik ide</t>
        </is>
      </c>
      <c r="F853" s="17" t="inlineStr">
        <is>
          <t>az elmúlt 30 napban</t>
        </is>
      </c>
      <c r="G853" s="17" t="inlineStr">
        <is>
          <t>Más főkategória terméke</t>
        </is>
      </c>
    </row>
    <row r="854">
      <c r="A854" s="17" t="inlineStr">
        <is>
          <t>GRO2475</t>
        </is>
      </c>
      <c r="B854" s="17" t="inlineStr">
        <is>
          <t>ONA Gel szagsemlegesítő zselé Pro illat, 500 ml (400 g)</t>
        </is>
      </c>
      <c r="C854" s="17" t="inlineStr">
        <is>
          <t>–</t>
        </is>
      </c>
      <c r="D854" s="17" t="inlineStr"/>
      <c r="E854" s="17" t="inlineStr">
        <is>
          <t>Nem tartozik ide</t>
        </is>
      </c>
      <c r="F854" s="17" t="inlineStr">
        <is>
          <t>az elmúlt 30 napban</t>
        </is>
      </c>
      <c r="G854" s="17" t="inlineStr">
        <is>
          <t>Más főkategória terméke</t>
        </is>
      </c>
    </row>
    <row r="855">
      <c r="A855" s="17" t="inlineStr">
        <is>
          <t>GRO2476</t>
        </is>
      </c>
      <c r="B855" s="17" t="inlineStr">
        <is>
          <t>ONA Gel szagsemlegesítő zselé (Pro) 1 liter</t>
        </is>
      </c>
      <c r="C855" s="17" t="inlineStr">
        <is>
          <t>–</t>
        </is>
      </c>
      <c r="D855" s="17" t="inlineStr"/>
      <c r="E855" s="17" t="inlineStr">
        <is>
          <t>Nem tartozik ide</t>
        </is>
      </c>
      <c r="F855" s="17" t="inlineStr">
        <is>
          <t>az elmúlt 30 napban</t>
        </is>
      </c>
      <c r="G855" s="17" t="inlineStr">
        <is>
          <t>Más főkategória terméke</t>
        </is>
      </c>
    </row>
    <row r="856">
      <c r="A856" s="17" t="inlineStr">
        <is>
          <t>GRO2477</t>
        </is>
      </c>
      <c r="B856" s="17" t="inlineStr">
        <is>
          <t>ONA Gel szagsemlegesítő zselé (Pro) 4 liter</t>
        </is>
      </c>
      <c r="C856" s="17" t="inlineStr">
        <is>
          <t>–</t>
        </is>
      </c>
      <c r="D856" s="17" t="inlineStr"/>
      <c r="E856" s="17" t="inlineStr">
        <is>
          <t>Nem tartozik ide</t>
        </is>
      </c>
      <c r="F856" s="17" t="inlineStr">
        <is>
          <t>az elmúlt 6 hónapban</t>
        </is>
      </c>
      <c r="G856" s="17" t="inlineStr">
        <is>
          <t>Más főkategória terméke</t>
        </is>
      </c>
    </row>
    <row r="857">
      <c r="A857" s="17" t="inlineStr">
        <is>
          <t>GRO2478</t>
        </is>
      </c>
      <c r="B857" s="17" t="inlineStr">
        <is>
          <t>ONA Gel szagsemlegesítő zselé Polar Crystal illat, 500 ml (400 g)</t>
        </is>
      </c>
      <c r="C857" s="17" t="inlineStr">
        <is>
          <t>–</t>
        </is>
      </c>
      <c r="D857" s="17" t="inlineStr"/>
      <c r="E857" s="17" t="inlineStr">
        <is>
          <t>Nem tartozik ide</t>
        </is>
      </c>
      <c r="F857" s="17" t="inlineStr">
        <is>
          <t>az elmúlt 30 napban</t>
        </is>
      </c>
      <c r="G857" s="17" t="inlineStr">
        <is>
          <t>Más főkategória terméke</t>
        </is>
      </c>
    </row>
    <row r="858">
      <c r="A858" s="17" t="inlineStr">
        <is>
          <t>GRO2479</t>
        </is>
      </c>
      <c r="B858" s="17" t="inlineStr">
        <is>
          <t>ONA Gel szagsemlegesítő zselé Polar Crystal illat, 1 liter (732 g)</t>
        </is>
      </c>
      <c r="C858" s="17" t="inlineStr">
        <is>
          <t>–</t>
        </is>
      </c>
      <c r="D858" s="17" t="inlineStr"/>
      <c r="E858" s="17" t="inlineStr">
        <is>
          <t>Nem tartozik ide</t>
        </is>
      </c>
      <c r="F858" s="17" t="inlineStr">
        <is>
          <t>az elmúlt 30 napban</t>
        </is>
      </c>
      <c r="G858" s="17" t="inlineStr">
        <is>
          <t>Más főkategória terméke</t>
        </is>
      </c>
    </row>
    <row r="859">
      <c r="A859" s="17" t="inlineStr">
        <is>
          <t>GRO2480</t>
        </is>
      </c>
      <c r="B859" s="17" t="inlineStr">
        <is>
          <t>ONA Gel szagsemlegesítő zselé (Polar Crystal) 4 liter</t>
        </is>
      </c>
      <c r="C859" s="17" t="inlineStr">
        <is>
          <t>–</t>
        </is>
      </c>
      <c r="D859" s="17" t="inlineStr"/>
      <c r="E859" s="17" t="inlineStr">
        <is>
          <t>Nem tartozik ide</t>
        </is>
      </c>
      <c r="F859" s="17" t="inlineStr">
        <is>
          <t>az elmúlt 6 hónapban</t>
        </is>
      </c>
      <c r="G859" s="17" t="inlineStr">
        <is>
          <t>Más főkategória terméke</t>
        </is>
      </c>
    </row>
    <row r="860">
      <c r="A860" s="17" t="inlineStr">
        <is>
          <t>GRO2481</t>
        </is>
      </c>
      <c r="B860" s="17" t="inlineStr">
        <is>
          <t>ONA Gel szagsemlegesítő zselé Fresh Linen illat, 500 ml (400 g)</t>
        </is>
      </c>
      <c r="C860" s="17" t="inlineStr">
        <is>
          <t>–</t>
        </is>
      </c>
      <c r="D860" s="17" t="inlineStr"/>
      <c r="E860" s="17" t="inlineStr">
        <is>
          <t>Nem tartozik ide</t>
        </is>
      </c>
      <c r="F860" s="17" t="inlineStr">
        <is>
          <t>az elmúlt 30 napban</t>
        </is>
      </c>
      <c r="G860" s="17" t="inlineStr">
        <is>
          <t>Más főkategória terméke</t>
        </is>
      </c>
    </row>
    <row r="861">
      <c r="A861" s="17" t="inlineStr">
        <is>
          <t>GRO2482</t>
        </is>
      </c>
      <c r="B861" s="17" t="inlineStr">
        <is>
          <t>ONA Gel szagsemlegesítő zselé (Fresh Linen) 1 liter</t>
        </is>
      </c>
      <c r="C861" s="17" t="inlineStr">
        <is>
          <t>–</t>
        </is>
      </c>
      <c r="D861" s="17" t="inlineStr"/>
      <c r="E861" s="17" t="inlineStr">
        <is>
          <t>Nem tartozik ide</t>
        </is>
      </c>
      <c r="F861" s="17" t="inlineStr">
        <is>
          <t>az elmúlt 30 napban</t>
        </is>
      </c>
      <c r="G861" s="17" t="inlineStr">
        <is>
          <t>Más főkategória terméke</t>
        </is>
      </c>
    </row>
    <row r="862">
      <c r="A862" s="17" t="inlineStr">
        <is>
          <t>GRO2483</t>
        </is>
      </c>
      <c r="B862" s="17" t="inlineStr">
        <is>
          <t>ONA Gel szagsemlegesítő zselé Fresh Linen illat, 4 liter (3,8 kg)</t>
        </is>
      </c>
      <c r="C862" s="17" t="inlineStr">
        <is>
          <t>–</t>
        </is>
      </c>
      <c r="D862" s="17" t="inlineStr"/>
      <c r="E862" s="17" t="inlineStr">
        <is>
          <t>Nem tartozik ide</t>
        </is>
      </c>
      <c r="F862" s="17" t="inlineStr">
        <is>
          <t>az elmúlt 30 napban</t>
        </is>
      </c>
      <c r="G862" s="17" t="inlineStr">
        <is>
          <t>Más főkategória terméke</t>
        </is>
      </c>
    </row>
    <row r="863">
      <c r="A863" s="17" t="inlineStr">
        <is>
          <t>GRO2485</t>
        </is>
      </c>
      <c r="B863" s="17" t="inlineStr">
        <is>
          <t>ONA Air Filter beépíthető szagtalanító ONA Block tömbökhöz, 100 mm-es légcsatornába</t>
        </is>
      </c>
      <c r="C863" s="17" t="inlineStr">
        <is>
          <t>–</t>
        </is>
      </c>
      <c r="D863" s="17" t="inlineStr"/>
      <c r="E863" s="17" t="inlineStr">
        <is>
          <t>Nem tartozik ide</t>
        </is>
      </c>
      <c r="F863" s="17" t="inlineStr">
        <is>
          <t>az elmúlt 30 napban</t>
        </is>
      </c>
      <c r="G863" s="17" t="inlineStr">
        <is>
          <t>Más főkategória terméke</t>
        </is>
      </c>
    </row>
    <row r="864">
      <c r="A864" s="17" t="inlineStr">
        <is>
          <t>GRO2486</t>
        </is>
      </c>
      <c r="B864" s="17" t="inlineStr">
        <is>
          <t>ONA Air Filter beépíthető szagtalanító ONA Block tömbökhöz, 125 mm-es légcsatornába</t>
        </is>
      </c>
      <c r="C864" s="17" t="inlineStr">
        <is>
          <t>–</t>
        </is>
      </c>
      <c r="D864" s="17" t="inlineStr"/>
      <c r="E864" s="17" t="inlineStr">
        <is>
          <t>Nem tartozik ide</t>
        </is>
      </c>
      <c r="F864" s="17" t="inlineStr">
        <is>
          <t>az elmúlt 30 napban</t>
        </is>
      </c>
      <c r="G864" s="17" t="inlineStr">
        <is>
          <t>Más főkategória terméke</t>
        </is>
      </c>
    </row>
    <row r="865">
      <c r="A865" s="17" t="inlineStr">
        <is>
          <t>GRO2487</t>
        </is>
      </c>
      <c r="B865" s="17" t="inlineStr">
        <is>
          <t>ONA Air Filter beépíthető szagtalanító ONA Block tömbökhöz, 150 mm-es légcsatornába</t>
        </is>
      </c>
      <c r="C865" s="17" t="inlineStr">
        <is>
          <t>–</t>
        </is>
      </c>
      <c r="D865" s="17" t="inlineStr"/>
      <c r="E865" s="17" t="inlineStr">
        <is>
          <t>Nem tartozik ide</t>
        </is>
      </c>
      <c r="F865" s="17" t="inlineStr">
        <is>
          <t>az elmúlt 30 napban</t>
        </is>
      </c>
      <c r="G865" s="17" t="inlineStr">
        <is>
          <t>Más főkategória terméke</t>
        </is>
      </c>
    </row>
    <row r="866">
      <c r="A866" s="17" t="inlineStr">
        <is>
          <t>GRO2488</t>
        </is>
      </c>
      <c r="B866" s="17" t="inlineStr">
        <is>
          <t>ONA Air Filter beépíthető szagtalanító ONA Block tömbökhöz, 200 mm-es légcsatornába</t>
        </is>
      </c>
      <c r="C866" s="17" t="inlineStr">
        <is>
          <t>–</t>
        </is>
      </c>
      <c r="D866" s="17" t="inlineStr"/>
      <c r="E866" s="17" t="inlineStr">
        <is>
          <t>Nem tartozik ide</t>
        </is>
      </c>
      <c r="F866" s="17" t="inlineStr">
        <is>
          <t>az elmúlt 30 napban</t>
        </is>
      </c>
      <c r="G866" s="17" t="inlineStr">
        <is>
          <t>Más főkategória terméke</t>
        </is>
      </c>
    </row>
    <row r="867">
      <c r="A867" s="17" t="inlineStr">
        <is>
          <t>GRO2489</t>
        </is>
      </c>
      <c r="B867" s="17" t="inlineStr">
        <is>
          <t>ONA Air Filter beépíthető szagtalanító ONA Block tömbökhöz, 250 mm-es légcsatornába</t>
        </is>
      </c>
      <c r="C867" s="17" t="inlineStr">
        <is>
          <t>–</t>
        </is>
      </c>
      <c r="D867" s="17" t="inlineStr"/>
      <c r="E867" s="17" t="inlineStr">
        <is>
          <t>Nem tartozik ide</t>
        </is>
      </c>
      <c r="F867" s="17" t="inlineStr">
        <is>
          <t>az elmúlt 30 napban</t>
        </is>
      </c>
      <c r="G867" s="17" t="inlineStr">
        <is>
          <t>Más főkategória terméke</t>
        </is>
      </c>
    </row>
    <row r="868">
      <c r="A868" s="17" t="inlineStr">
        <is>
          <t>GRO2490</t>
        </is>
      </c>
      <c r="B868" s="17" t="inlineStr">
        <is>
          <t>ExHale Original CO2 termelő zsák micéliummal, termesztősátorba, 6 hónapig</t>
        </is>
      </c>
      <c r="C868" s="17" t="inlineStr">
        <is>
          <t>–</t>
        </is>
      </c>
      <c r="D868" s="17" t="inlineStr"/>
      <c r="E868" s="17" t="inlineStr">
        <is>
          <t>Nem tartozik ide</t>
        </is>
      </c>
      <c r="F868" s="17" t="inlineStr">
        <is>
          <t>az elmúlt 30 napban</t>
        </is>
      </c>
      <c r="G868" s="17" t="inlineStr">
        <is>
          <t>Más főkategória terméke</t>
        </is>
      </c>
    </row>
    <row r="869">
      <c r="A869" s="17" t="inlineStr">
        <is>
          <t>GRO2510</t>
        </is>
      </c>
      <c r="B869" s="17" t="inlineStr">
        <is>
          <t>Can Filter Can Lite Szénszűrő (acél) 3500 m3/h szűrővég: 355 mm</t>
        </is>
      </c>
      <c r="C869" s="17" t="inlineStr">
        <is>
          <t>–</t>
        </is>
      </c>
      <c r="D869" s="17" t="inlineStr"/>
      <c r="E869" s="17" t="inlineStr">
        <is>
          <t>Nem tartozik ide</t>
        </is>
      </c>
      <c r="F869" s="17" t="inlineStr">
        <is>
          <t>az elmúlt 6 hónapban</t>
        </is>
      </c>
      <c r="G869" s="17" t="inlineStr">
        <is>
          <t>Más főkategória terméke</t>
        </is>
      </c>
    </row>
    <row r="870">
      <c r="A870" s="17" t="inlineStr">
        <is>
          <t>GRO2512</t>
        </is>
      </c>
      <c r="B870" s="17" t="inlineStr">
        <is>
          <t>Metrop Enzymes enzimes közegtisztító adalék a gyökérzónához 1 liter</t>
        </is>
      </c>
      <c r="C870" s="17" t="inlineStr">
        <is>
          <t>–</t>
        </is>
      </c>
      <c r="D870" s="17" t="inlineStr"/>
      <c r="E870" s="17" t="inlineStr">
        <is>
          <t>Nem tartozik ide</t>
        </is>
      </c>
      <c r="F870" s="17" t="inlineStr">
        <is>
          <t>az elmúlt 30 napban</t>
        </is>
      </c>
      <c r="G870" s="17" t="inlineStr">
        <is>
          <t>Más főkategória terméke</t>
        </is>
      </c>
    </row>
    <row r="871">
      <c r="A871" s="17" t="inlineStr">
        <is>
          <t>GRO2514</t>
        </is>
      </c>
      <c r="B871" s="17" t="inlineStr">
        <is>
          <t>Milwaukee pH szabályozó szett MC122 szabályozóval, MP810 adagolópumpával és pH szondával</t>
        </is>
      </c>
      <c r="C871" s="17" t="inlineStr">
        <is>
          <t>–</t>
        </is>
      </c>
      <c r="D871" s="17" t="inlineStr"/>
      <c r="E871" s="17" t="inlineStr">
        <is>
          <t>Nem tartozik ide</t>
        </is>
      </c>
      <c r="F871" s="17" t="inlineStr">
        <is>
          <t>az elmúlt 30 napban</t>
        </is>
      </c>
      <c r="G871" s="17" t="inlineStr">
        <is>
          <t>Más főkategória terméke</t>
        </is>
      </c>
    </row>
    <row r="872">
      <c r="A872" s="17" t="inlineStr">
        <is>
          <t>GRO2515</t>
        </is>
      </c>
      <c r="B872" s="17" t="inlineStr">
        <is>
          <t>Milwaukee MP810 perisztaltikus adagoló szivattyú pH szabályozókhoz, 230 V, 6 mm-es csőcsatlakozással</t>
        </is>
      </c>
      <c r="C872" s="17" t="inlineStr">
        <is>
          <t>–</t>
        </is>
      </c>
      <c r="D872" s="17" t="inlineStr"/>
      <c r="E872" s="17" t="inlineStr">
        <is>
          <t>Nem tartozik ide</t>
        </is>
      </c>
      <c r="F872" s="17" t="inlineStr">
        <is>
          <t>az elmúlt 30 napban</t>
        </is>
      </c>
      <c r="G872" s="17" t="inlineStr">
        <is>
          <t>Más főkategória terméke</t>
        </is>
      </c>
    </row>
    <row r="873">
      <c r="A873" s="17" t="inlineStr">
        <is>
          <t>GRO2520</t>
        </is>
      </c>
      <c r="B873" s="17" t="inlineStr">
        <is>
          <t>Sylvania Grolux HPS nátriumlámpa izzó 250 W, E40, virágzáshoz</t>
        </is>
      </c>
      <c r="C873" s="17" t="inlineStr">
        <is>
          <t>–</t>
        </is>
      </c>
      <c r="D873" s="17" t="inlineStr"/>
      <c r="E873" s="17" t="inlineStr">
        <is>
          <t>Nem tartozik ide</t>
        </is>
      </c>
      <c r="F873" s="17" t="inlineStr">
        <is>
          <t>az elmúlt 30 napban</t>
        </is>
      </c>
      <c r="G873" s="17" t="inlineStr">
        <is>
          <t>Más főkategória terméke</t>
        </is>
      </c>
    </row>
    <row r="874">
      <c r="A874" s="17" t="inlineStr">
        <is>
          <t>GRO2521</t>
        </is>
      </c>
      <c r="B874" s="17" t="inlineStr">
        <is>
          <t>Philips Master HPI-T 1000W Fémhalogén Izzó</t>
        </is>
      </c>
      <c r="C874" s="17" t="inlineStr">
        <is>
          <t>–</t>
        </is>
      </c>
      <c r="D874" s="17" t="inlineStr"/>
      <c r="E874" s="17" t="inlineStr">
        <is>
          <t>Nem tartozik ide</t>
        </is>
      </c>
      <c r="F874" s="17" t="inlineStr">
        <is>
          <t>2024-10 – 2025-09 (lehet, hogy már nem aktív)</t>
        </is>
      </c>
      <c r="G874" s="17" t="inlineStr">
        <is>
          <t>Más főkategória terméke</t>
        </is>
      </c>
    </row>
    <row r="875">
      <c r="A875" s="17" t="inlineStr">
        <is>
          <t>GRO2574</t>
        </is>
      </c>
      <c r="B875" s="17" t="inlineStr">
        <is>
          <t>Rovarfogó és jelző lapok kék, ragacsos lapok 10 x 25 cm, 10 db</t>
        </is>
      </c>
      <c r="C875" s="17" t="inlineStr">
        <is>
          <t>–</t>
        </is>
      </c>
      <c r="D875" s="17" t="inlineStr"/>
      <c r="E875" s="17" t="inlineStr">
        <is>
          <t>Nem tartozik ide</t>
        </is>
      </c>
      <c r="F875" s="17" t="inlineStr">
        <is>
          <t>az elmúlt 30 napban</t>
        </is>
      </c>
      <c r="G875" s="17" t="inlineStr">
        <is>
          <t>Más főkategória terméke</t>
        </is>
      </c>
    </row>
    <row r="876">
      <c r="A876" s="17" t="inlineStr">
        <is>
          <t>GRO2575</t>
        </is>
      </c>
      <c r="B876" s="17" t="inlineStr">
        <is>
          <t>Rovarfogó és jelző lapok sárga, ragacsos lapok 10 x 25 cm, 10 db</t>
        </is>
      </c>
      <c r="C876" s="17" t="inlineStr">
        <is>
          <t>–</t>
        </is>
      </c>
      <c r="D876" s="17" t="inlineStr"/>
      <c r="E876" s="17" t="inlineStr">
        <is>
          <t>Nem tartozik ide</t>
        </is>
      </c>
      <c r="F876" s="17" t="inlineStr">
        <is>
          <t>az elmúlt 30 napban</t>
        </is>
      </c>
      <c r="G876" s="17" t="inlineStr">
        <is>
          <t>Más főkategória terméke</t>
        </is>
      </c>
    </row>
    <row r="877">
      <c r="A877" s="17" t="inlineStr">
        <is>
          <t>GRO2576</t>
        </is>
      </c>
      <c r="B877" s="17" t="inlineStr">
        <is>
          <t>Pollenháló 1,2 x 1,5 m, 97% hatásfokú védőháló pollen, por és korom ellen</t>
        </is>
      </c>
      <c r="C877" s="17" t="inlineStr">
        <is>
          <t>–</t>
        </is>
      </c>
      <c r="D877" s="17" t="inlineStr"/>
      <c r="E877" s="17" t="inlineStr">
        <is>
          <t>Nem tartozik ide</t>
        </is>
      </c>
      <c r="F877" s="17" t="inlineStr">
        <is>
          <t>az elmúlt 30 napban</t>
        </is>
      </c>
      <c r="G877" s="17" t="inlineStr">
        <is>
          <t>Más főkategória terméke</t>
        </is>
      </c>
    </row>
    <row r="878">
      <c r="A878" s="17" t="inlineStr">
        <is>
          <t>GRO2584</t>
        </is>
      </c>
      <c r="B878" s="17" t="inlineStr">
        <is>
          <t>Neoprén tartókorong fekete 75 mm aeropóniás rendszerekhez</t>
        </is>
      </c>
      <c r="C878" s="17" t="inlineStr">
        <is>
          <t>–</t>
        </is>
      </c>
      <c r="D878" s="17" t="inlineStr"/>
      <c r="E878" s="17" t="inlineStr">
        <is>
          <t>Nem tartozik ide</t>
        </is>
      </c>
      <c r="F878" s="17" t="inlineStr">
        <is>
          <t>az elmúlt 30 napban</t>
        </is>
      </c>
      <c r="G878" s="17" t="inlineStr">
        <is>
          <t>Más főkategória terméke</t>
        </is>
      </c>
    </row>
    <row r="879">
      <c r="A879" s="17" t="inlineStr">
        <is>
          <t>GRO2585</t>
        </is>
      </c>
      <c r="B879" s="17" t="inlineStr">
        <is>
          <t>Osram T5 827 BLOOM fénycső 54 W, 116 cm, Lightwave LW44–LW48 reflektorhoz</t>
        </is>
      </c>
      <c r="C879" s="17" t="inlineStr">
        <is>
          <t>–</t>
        </is>
      </c>
      <c r="D879" s="17" t="inlineStr"/>
      <c r="E879" s="17" t="inlineStr">
        <is>
          <t>Nem tartozik ide</t>
        </is>
      </c>
      <c r="F879" s="17" t="inlineStr">
        <is>
          <t>az elmúlt 30 napban</t>
        </is>
      </c>
      <c r="G879" s="17" t="inlineStr">
        <is>
          <t>Más főkategória terméke</t>
        </is>
      </c>
    </row>
    <row r="880">
      <c r="A880" s="17" t="inlineStr">
        <is>
          <t>GRO2586</t>
        </is>
      </c>
      <c r="B880" s="17" t="inlineStr">
        <is>
          <t>HOMEbox Ambient Q120 termesztősátor 120x120x200 cm, PAR+ belsővel</t>
        </is>
      </c>
      <c r="C880" s="17" t="inlineStr">
        <is>
          <t>–</t>
        </is>
      </c>
      <c r="D880" s="17" t="inlineStr"/>
      <c r="E880" s="17" t="inlineStr">
        <is>
          <t>Nem tartozik ide</t>
        </is>
      </c>
      <c r="F880" s="17" t="inlineStr">
        <is>
          <t>az elmúlt 30 napban</t>
        </is>
      </c>
      <c r="G880" s="17" t="inlineStr">
        <is>
          <t>Más főkategória terméke</t>
        </is>
      </c>
    </row>
    <row r="881">
      <c r="A881" s="17" t="inlineStr">
        <is>
          <t>GRO2587</t>
        </is>
      </c>
      <c r="B881" s="17" t="inlineStr">
        <is>
          <t>Műanyag csőtoldó és idomkapcsoló beépítőkerettel 100 mm légcsatornához</t>
        </is>
      </c>
      <c r="C881" s="17" t="inlineStr">
        <is>
          <t>–</t>
        </is>
      </c>
      <c r="D881" s="17" t="inlineStr"/>
      <c r="E881" s="17" t="inlineStr">
        <is>
          <t>Nem tartozik ide</t>
        </is>
      </c>
      <c r="F881" s="17" t="inlineStr">
        <is>
          <t>az elmúlt 30 napban</t>
        </is>
      </c>
      <c r="G881" s="17" t="inlineStr">
        <is>
          <t>Más főkategória terméke</t>
        </is>
      </c>
    </row>
    <row r="882">
      <c r="A882" s="17" t="inlineStr">
        <is>
          <t>GRO2588</t>
        </is>
      </c>
      <c r="B882" s="17" t="inlineStr">
        <is>
          <t>Műanyag csőtoldó visszacsapószeleppel és beépítőkerettel 100 mm légcsatornához</t>
        </is>
      </c>
      <c r="C882" s="17" t="inlineStr">
        <is>
          <t>–</t>
        </is>
      </c>
      <c r="D882" s="17" t="inlineStr"/>
      <c r="E882" s="17" t="inlineStr">
        <is>
          <t>Nem tartozik ide</t>
        </is>
      </c>
      <c r="F882" s="17" t="inlineStr">
        <is>
          <t>az elmúlt 30 napban</t>
        </is>
      </c>
      <c r="G882" s="17" t="inlineStr">
        <is>
          <t>Más főkategória terméke</t>
        </is>
      </c>
    </row>
    <row r="883">
      <c r="A883" s="17" t="inlineStr">
        <is>
          <t>GRO2589</t>
        </is>
      </c>
      <c r="B883" s="17" t="inlineStr">
        <is>
          <t>Műanyag csőtoldó és idomkapcsoló beépítőkerettel 125 mm légcsatornához</t>
        </is>
      </c>
      <c r="C883" s="17" t="inlineStr">
        <is>
          <t>–</t>
        </is>
      </c>
      <c r="D883" s="17" t="inlineStr"/>
      <c r="E883" s="17" t="inlineStr">
        <is>
          <t>Nem tartozik ide</t>
        </is>
      </c>
      <c r="F883" s="17" t="inlineStr">
        <is>
          <t>az elmúlt 30 napban</t>
        </is>
      </c>
      <c r="G883" s="17" t="inlineStr">
        <is>
          <t>Más főkategória terméke</t>
        </is>
      </c>
    </row>
    <row r="884">
      <c r="A884" s="17" t="inlineStr">
        <is>
          <t>GRO2590</t>
        </is>
      </c>
      <c r="B884" s="17" t="inlineStr">
        <is>
          <t>Műanyag csőtoldó visszacsapószeleppel és beépítőkerettel 125 mm légcsatornához</t>
        </is>
      </c>
      <c r="C884" s="17" t="inlineStr">
        <is>
          <t>–</t>
        </is>
      </c>
      <c r="D884" s="17" t="inlineStr"/>
      <c r="E884" s="17" t="inlineStr">
        <is>
          <t>Nem tartozik ide</t>
        </is>
      </c>
      <c r="F884" s="17" t="inlineStr">
        <is>
          <t>az elmúlt 30 napban</t>
        </is>
      </c>
      <c r="G884" s="17" t="inlineStr">
        <is>
          <t>Más főkategória terméke</t>
        </is>
      </c>
    </row>
    <row r="885">
      <c r="A885" s="17" t="inlineStr">
        <is>
          <t>GRO2591</t>
        </is>
      </c>
      <c r="B885" s="17" t="inlineStr">
        <is>
          <t>Műanyag csőtoldó és idomkapcsoló beépítőkerettel 150 mm légcsatornához</t>
        </is>
      </c>
      <c r="C885" s="17" t="inlineStr">
        <is>
          <t>–</t>
        </is>
      </c>
      <c r="D885" s="17" t="inlineStr"/>
      <c r="E885" s="17" t="inlineStr">
        <is>
          <t>Nem tartozik ide</t>
        </is>
      </c>
      <c r="F885" s="17" t="inlineStr">
        <is>
          <t>az elmúlt 30 napban</t>
        </is>
      </c>
      <c r="G885" s="17" t="inlineStr">
        <is>
          <t>Más főkategória terméke</t>
        </is>
      </c>
    </row>
    <row r="886">
      <c r="A886" s="17" t="inlineStr">
        <is>
          <t>GRO2592</t>
        </is>
      </c>
      <c r="B886" s="17" t="inlineStr">
        <is>
          <t>Műanyag csőtoldó visszacsapószeleppel és beépítőkerettel 150 mm légcsatornához</t>
        </is>
      </c>
      <c r="C886" s="17" t="inlineStr">
        <is>
          <t>–</t>
        </is>
      </c>
      <c r="D886" s="17" t="inlineStr"/>
      <c r="E886" s="17" t="inlineStr">
        <is>
          <t>Nem tartozik ide</t>
        </is>
      </c>
      <c r="F886" s="17" t="inlineStr">
        <is>
          <t>az elmúlt 30 napban</t>
        </is>
      </c>
      <c r="G886" s="17" t="inlineStr">
        <is>
          <t>Más főkategória terméke</t>
        </is>
      </c>
    </row>
    <row r="887">
      <c r="A887" s="17" t="inlineStr">
        <is>
          <t>GRO2593</t>
        </is>
      </c>
      <c r="B887" s="17" t="inlineStr">
        <is>
          <t>Műanyag csőtoldó és idomkapcsoló beépítőkerettel 200 mm légcsatornához</t>
        </is>
      </c>
      <c r="C887" s="17" t="inlineStr">
        <is>
          <t>–</t>
        </is>
      </c>
      <c r="D887" s="17" t="inlineStr"/>
      <c r="E887" s="17" t="inlineStr">
        <is>
          <t>Nem tartozik ide</t>
        </is>
      </c>
      <c r="F887" s="17" t="inlineStr">
        <is>
          <t>az elmúlt 30 napban</t>
        </is>
      </c>
      <c r="G887" s="17" t="inlineStr">
        <is>
          <t>Más főkategória terméke</t>
        </is>
      </c>
    </row>
    <row r="888">
      <c r="A888" s="17" t="inlineStr">
        <is>
          <t>GRO2594</t>
        </is>
      </c>
      <c r="B888" s="17" t="inlineStr">
        <is>
          <t>Műanyag csőtoldó visszacsapószeleppel és beépítőkerettel 200 mm légcsatornához</t>
        </is>
      </c>
      <c r="C888" s="17" t="inlineStr">
        <is>
          <t>–</t>
        </is>
      </c>
      <c r="D888" s="17" t="inlineStr"/>
      <c r="E888" s="17" t="inlineStr">
        <is>
          <t>Nem tartozik ide</t>
        </is>
      </c>
      <c r="F888" s="17" t="inlineStr">
        <is>
          <t>az elmúlt 30 napban</t>
        </is>
      </c>
      <c r="G888" s="17" t="inlineStr">
        <is>
          <t>Más főkategória terméke</t>
        </is>
      </c>
    </row>
    <row r="889">
      <c r="A889" s="17" t="inlineStr">
        <is>
          <t>GRO2595</t>
        </is>
      </c>
      <c r="B889" s="17" t="inlineStr">
        <is>
          <t>Vents TT PRO 100 kevert áramlású csőventilátor 100 mm, kétsebességes motorral</t>
        </is>
      </c>
      <c r="C889" s="17" t="inlineStr">
        <is>
          <t>–</t>
        </is>
      </c>
      <c r="D889" s="17" t="inlineStr"/>
      <c r="E889" s="17" t="inlineStr">
        <is>
          <t>Nem tartozik ide</t>
        </is>
      </c>
      <c r="F889" s="17" t="inlineStr">
        <is>
          <t>az elmúlt 30 napban</t>
        </is>
      </c>
      <c r="G889" s="17" t="inlineStr">
        <is>
          <t>Más főkategória terméke</t>
        </is>
      </c>
    </row>
    <row r="890">
      <c r="A890" s="17" t="inlineStr">
        <is>
          <t>GRO2596</t>
        </is>
      </c>
      <c r="B890" s="17" t="inlineStr">
        <is>
          <t>Üvegszál erősítésű alumínium ragasztószalag 50 mm, 50 m, légcsatornákhoz</t>
        </is>
      </c>
      <c r="C890" s="17" t="inlineStr">
        <is>
          <t>–</t>
        </is>
      </c>
      <c r="D890" s="17" t="inlineStr"/>
      <c r="E890" s="17" t="inlineStr">
        <is>
          <t>Nem tartozik ide</t>
        </is>
      </c>
      <c r="F890" s="17" t="inlineStr">
        <is>
          <t>az elmúlt 30 napban</t>
        </is>
      </c>
      <c r="G890" s="17" t="inlineStr">
        <is>
          <t>Más főkategória terméke</t>
        </is>
      </c>
    </row>
    <row r="891">
      <c r="A891" s="17" t="inlineStr">
        <is>
          <t>GRO2597</t>
        </is>
      </c>
      <c r="B891" s="17" t="inlineStr">
        <is>
          <t>Duct Tape PVC ragasztószalag 50 mm, 50 m, légcsövekhez és javításokhoz</t>
        </is>
      </c>
      <c r="C891" s="17" t="inlineStr">
        <is>
          <t>–</t>
        </is>
      </c>
      <c r="D891" s="17" t="inlineStr"/>
      <c r="E891" s="17" t="inlineStr">
        <is>
          <t>Nem tartozik ide</t>
        </is>
      </c>
      <c r="F891" s="17" t="inlineStr">
        <is>
          <t>az elmúlt 30 napban</t>
        </is>
      </c>
      <c r="G891" s="17" t="inlineStr">
        <is>
          <t>Más főkategória terméke</t>
        </is>
      </c>
    </row>
    <row r="892">
      <c r="A892" s="17" t="inlineStr">
        <is>
          <t>GRO2598</t>
        </is>
      </c>
      <c r="B892" s="17" t="inlineStr">
        <is>
          <t>Bővítő cső 100–150 mm légcsatornához, szellőzőrendszerekhez</t>
        </is>
      </c>
      <c r="C892" s="17" t="inlineStr">
        <is>
          <t>–</t>
        </is>
      </c>
      <c r="D892" s="17" t="inlineStr"/>
      <c r="E892" s="17" t="inlineStr">
        <is>
          <t>Nem tartozik ide</t>
        </is>
      </c>
      <c r="F892" s="17" t="inlineStr">
        <is>
          <t>az elmúlt 30 napban</t>
        </is>
      </c>
      <c r="G892" s="17" t="inlineStr">
        <is>
          <t>Más főkategória terméke</t>
        </is>
      </c>
    </row>
    <row r="893">
      <c r="A893" s="17" t="inlineStr">
        <is>
          <t>GRO2601</t>
        </is>
      </c>
      <c r="B893" s="17" t="inlineStr">
        <is>
          <t>Keskeny légtechnikai bilincs 90–110 mm, horganyzott acél, Vents C 100 Zn</t>
        </is>
      </c>
      <c r="C893" s="17" t="inlineStr">
        <is>
          <t>–</t>
        </is>
      </c>
      <c r="D893" s="17" t="inlineStr"/>
      <c r="E893" s="17" t="inlineStr">
        <is>
          <t>Nem tartozik ide</t>
        </is>
      </c>
      <c r="F893" s="17" t="inlineStr">
        <is>
          <t>az elmúlt 30 napban</t>
        </is>
      </c>
      <c r="G893" s="17" t="inlineStr">
        <is>
          <t>Más főkategória terméke</t>
        </is>
      </c>
    </row>
    <row r="894">
      <c r="A894" s="17" t="inlineStr">
        <is>
          <t>GRO2602</t>
        </is>
      </c>
      <c r="B894" s="17" t="inlineStr">
        <is>
          <t>Csatos széles légtechnikai bilincs 200 mm, rezgéscsillapító, légcsövekhez</t>
        </is>
      </c>
      <c r="C894" s="17" t="inlineStr">
        <is>
          <t>–</t>
        </is>
      </c>
      <c r="D894" s="17" t="inlineStr"/>
      <c r="E894" s="17" t="inlineStr">
        <is>
          <t>Nem tartozik ide</t>
        </is>
      </c>
      <c r="F894" s="17" t="inlineStr">
        <is>
          <t>az elmúlt 30 napban</t>
        </is>
      </c>
      <c r="G894" s="17" t="inlineStr">
        <is>
          <t>Más főkategória terméke</t>
        </is>
      </c>
    </row>
    <row r="895">
      <c r="A895" s="17" t="inlineStr">
        <is>
          <t>GRO2603</t>
        </is>
      </c>
      <c r="B895" s="17" t="inlineStr">
        <is>
          <t>Falhoz rögzíthető csatos légtechnikai bilincs 315 mm, galvanizált acél</t>
        </is>
      </c>
      <c r="C895" s="17" t="inlineStr">
        <is>
          <t>–</t>
        </is>
      </c>
      <c r="D895" s="17" t="inlineStr"/>
      <c r="E895" s="17" t="inlineStr">
        <is>
          <t>Nem tartozik ide</t>
        </is>
      </c>
      <c r="F895" s="17" t="inlineStr">
        <is>
          <t>az elmúlt 30 napban</t>
        </is>
      </c>
      <c r="G895" s="17" t="inlineStr">
        <is>
          <t>Más főkategória terméke</t>
        </is>
      </c>
    </row>
    <row r="896">
      <c r="A896" s="17" t="inlineStr">
        <is>
          <t>GRO2604</t>
        </is>
      </c>
      <c r="B896" s="17" t="inlineStr">
        <is>
          <t>VENTS fém T idom 315 mm</t>
        </is>
      </c>
      <c r="C896" s="17" t="inlineStr">
        <is>
          <t>–</t>
        </is>
      </c>
      <c r="D896" s="17" t="inlineStr"/>
      <c r="E896" s="17" t="inlineStr">
        <is>
          <t>Nem tartozik ide</t>
        </is>
      </c>
      <c r="F896" s="17" t="inlineStr">
        <is>
          <t>2024-10 – 2025-09 (lehet, hogy már nem aktív)</t>
        </is>
      </c>
      <c r="G896" s="17" t="inlineStr">
        <is>
          <t>Más főkategória terméke</t>
        </is>
      </c>
    </row>
    <row r="897">
      <c r="A897" s="17" t="inlineStr">
        <is>
          <t>GRO2607</t>
        </is>
      </c>
      <c r="B897" s="17" t="inlineStr">
        <is>
          <t>Trafó Compact digitális dimmelhető, passzív hűtéssel 600 W</t>
        </is>
      </c>
      <c r="C897" s="17" t="inlineStr">
        <is>
          <t>–</t>
        </is>
      </c>
      <c r="D897" s="17" t="inlineStr"/>
      <c r="E897" s="17" t="inlineStr">
        <is>
          <t>Nem tartozik ide</t>
        </is>
      </c>
      <c r="F897" s="17" t="inlineStr">
        <is>
          <t>2025-10 – 2026-04</t>
        </is>
      </c>
      <c r="G897" s="17" t="inlineStr">
        <is>
          <t>Más főkategória terméke</t>
        </is>
      </c>
    </row>
    <row r="898">
      <c r="A898" s="17" t="inlineStr">
        <is>
          <t>GRO2608</t>
        </is>
      </c>
      <c r="B898" s="17" t="inlineStr">
        <is>
          <t>Trafó Premium digitális dimmelhető, passzív hűtéssel 600 W</t>
        </is>
      </c>
      <c r="C898" s="17" t="inlineStr">
        <is>
          <t>–</t>
        </is>
      </c>
      <c r="D898" s="17" t="inlineStr"/>
      <c r="E898" s="17" t="inlineStr">
        <is>
          <t>Nem tartozik ide</t>
        </is>
      </c>
      <c r="F898" s="17" t="inlineStr">
        <is>
          <t>2025-10 – 2026-04</t>
        </is>
      </c>
      <c r="G898" s="17" t="inlineStr">
        <is>
          <t>Más főkategória terméke</t>
        </is>
      </c>
    </row>
    <row r="899">
      <c r="A899" s="17" t="inlineStr">
        <is>
          <t>GRO2609</t>
        </is>
      </c>
      <c r="B899" s="17" t="inlineStr">
        <is>
          <t>Hesi Pro-Line Root 500 ml</t>
        </is>
      </c>
      <c r="C899" s="17" t="inlineStr">
        <is>
          <t>–</t>
        </is>
      </c>
      <c r="D899" s="17" t="inlineStr"/>
      <c r="E899" s="17" t="inlineStr">
        <is>
          <t>Nem tartozik ide</t>
        </is>
      </c>
      <c r="F899" s="17" t="inlineStr">
        <is>
          <t>az elmúlt 30 napban</t>
        </is>
      </c>
      <c r="G899" s="17" t="inlineStr">
        <is>
          <t>Más főkategória terméke</t>
        </is>
      </c>
    </row>
    <row r="900">
      <c r="A900" s="17" t="inlineStr">
        <is>
          <t>GRO2610</t>
        </is>
      </c>
      <c r="B900" s="17" t="inlineStr">
        <is>
          <t>Hesi Pro-Line Root 1 liter</t>
        </is>
      </c>
      <c r="C900" s="17" t="inlineStr">
        <is>
          <t>–</t>
        </is>
      </c>
      <c r="D900" s="17" t="inlineStr"/>
      <c r="E900" s="17" t="inlineStr">
        <is>
          <t>Nem tartozik ide</t>
        </is>
      </c>
      <c r="F900" s="17" t="inlineStr">
        <is>
          <t>2025-10 – 2026-04</t>
        </is>
      </c>
      <c r="G900" s="17" t="inlineStr">
        <is>
          <t>Más főkategória terméke</t>
        </is>
      </c>
    </row>
    <row r="901">
      <c r="A901" s="17" t="inlineStr">
        <is>
          <t>GRO2611</t>
        </is>
      </c>
      <c r="B901" s="17" t="inlineStr">
        <is>
          <t>Hesi Pro-Line Root 5 liter</t>
        </is>
      </c>
      <c r="C901" s="17" t="inlineStr">
        <is>
          <t>–</t>
        </is>
      </c>
      <c r="D901" s="17" t="inlineStr"/>
      <c r="E901" s="17" t="inlineStr">
        <is>
          <t>Nem tartozik ide</t>
        </is>
      </c>
      <c r="F901" s="17" t="inlineStr">
        <is>
          <t>2024-10 – 2025-09 (lehet, hogy már nem aktív)</t>
        </is>
      </c>
      <c r="G901" s="17" t="inlineStr">
        <is>
          <t>Más főkategória terméke</t>
        </is>
      </c>
    </row>
    <row r="902">
      <c r="A902" s="17" t="inlineStr">
        <is>
          <t>GRO2624</t>
        </is>
      </c>
      <c r="B902" s="17" t="inlineStr">
        <is>
          <t>Hailea HC-1000A vízhűtő (chiller) titán hőcserélővel, 1 HP, 300–2000 literes víztérfogathoz</t>
        </is>
      </c>
      <c r="C902" s="17" t="inlineStr">
        <is>
          <t>–</t>
        </is>
      </c>
      <c r="D902" s="17" t="inlineStr"/>
      <c r="E902" s="17" t="inlineStr">
        <is>
          <t>Nem tartozik ide</t>
        </is>
      </c>
      <c r="F902" s="17" t="inlineStr">
        <is>
          <t>az elmúlt 30 napban</t>
        </is>
      </c>
      <c r="G902" s="17" t="inlineStr">
        <is>
          <t>Más főkategória terméke</t>
        </is>
      </c>
    </row>
    <row r="903">
      <c r="A903" s="17" t="inlineStr">
        <is>
          <t>GRO2625</t>
        </is>
      </c>
      <c r="B903" s="17" t="inlineStr">
        <is>
          <t>Levegőelosztó fém 4 kimenettel, szabályozószelepekkel, 6x4 mm-es csőhöz</t>
        </is>
      </c>
      <c r="C903" s="17" t="inlineStr">
        <is>
          <t>–</t>
        </is>
      </c>
      <c r="D903" s="17" t="inlineStr"/>
      <c r="E903" s="17" t="inlineStr">
        <is>
          <t>Nem tartozik ide</t>
        </is>
      </c>
      <c r="F903" s="17" t="inlineStr">
        <is>
          <t>az elmúlt 30 napban</t>
        </is>
      </c>
      <c r="G903" s="17" t="inlineStr">
        <is>
          <t>Más főkategória terméke</t>
        </is>
      </c>
    </row>
    <row r="904">
      <c r="A904" s="17" t="inlineStr">
        <is>
          <t>GRO2628</t>
        </is>
      </c>
      <c r="B904" s="17" t="inlineStr">
        <is>
          <t>Levegőelosztó műanyag 10 kimenettel, 8 mm bemenet, 5 mm kimenetek</t>
        </is>
      </c>
      <c r="C904" s="17" t="inlineStr">
        <is>
          <t>–</t>
        </is>
      </c>
      <c r="D904" s="17" t="inlineStr"/>
      <c r="E904" s="17" t="inlineStr">
        <is>
          <t>Nem tartozik ide</t>
        </is>
      </c>
      <c r="F904" s="17" t="inlineStr">
        <is>
          <t>az elmúlt 30 napban</t>
        </is>
      </c>
      <c r="G904" s="17" t="inlineStr">
        <is>
          <t>Más főkategória terméke</t>
        </is>
      </c>
    </row>
    <row r="905">
      <c r="A905" s="17" t="inlineStr">
        <is>
          <t>GRO2630</t>
        </is>
      </c>
      <c r="B905" s="17" t="inlineStr">
        <is>
          <t>Fonatos PVC cső 8 mm, áttetsző, hidropóniához és akváriumhoz, méterre</t>
        </is>
      </c>
      <c r="C905" s="17" t="inlineStr">
        <is>
          <t>–</t>
        </is>
      </c>
      <c r="D905" s="17" t="inlineStr"/>
      <c r="E905" s="17" t="inlineStr">
        <is>
          <t>Nem tartozik ide</t>
        </is>
      </c>
      <c r="F905" s="17" t="inlineStr">
        <is>
          <t>az elmúlt 30 napban</t>
        </is>
      </c>
      <c r="G905" s="17" t="inlineStr">
        <is>
          <t>Más főkategória terméke</t>
        </is>
      </c>
    </row>
    <row r="906">
      <c r="A906" s="17" t="inlineStr">
        <is>
          <t>GRO2631</t>
        </is>
      </c>
      <c r="B906" s="17" t="inlineStr">
        <is>
          <t>Levegőztető porlasztókő henger 25 mm</t>
        </is>
      </c>
      <c r="C906" s="17" t="inlineStr">
        <is>
          <t>–</t>
        </is>
      </c>
      <c r="D906" s="17" t="inlineStr"/>
      <c r="E906" s="17" t="inlineStr">
        <is>
          <t>Nem tartozik ide</t>
        </is>
      </c>
      <c r="F906" s="17" t="inlineStr">
        <is>
          <t>az elmúlt 30 napban</t>
        </is>
      </c>
      <c r="G906" s="17" t="inlineStr">
        <is>
          <t>Más főkategória terméke</t>
        </is>
      </c>
    </row>
    <row r="907">
      <c r="A907" s="17" t="inlineStr">
        <is>
          <t>GRO2632</t>
        </is>
      </c>
      <c r="B907" s="17" t="inlineStr">
        <is>
          <t>Hesi Pro-Line Boost 1 liter</t>
        </is>
      </c>
      <c r="C907" s="17" t="inlineStr">
        <is>
          <t>–</t>
        </is>
      </c>
      <c r="D907" s="17" t="inlineStr"/>
      <c r="E907" s="17" t="inlineStr">
        <is>
          <t>Nem tartozik ide</t>
        </is>
      </c>
      <c r="F907" s="17" t="inlineStr">
        <is>
          <t>az elmúlt 6 hónapban</t>
        </is>
      </c>
      <c r="G907" s="17" t="inlineStr">
        <is>
          <t>Más főkategória terméke</t>
        </is>
      </c>
    </row>
    <row r="908">
      <c r="A908" s="17" t="inlineStr">
        <is>
          <t>GRO2633</t>
        </is>
      </c>
      <c r="B908" s="17" t="inlineStr">
        <is>
          <t>Hesi Pro-Line Boost 5 liter</t>
        </is>
      </c>
      <c r="C908" s="17" t="inlineStr">
        <is>
          <t>–</t>
        </is>
      </c>
      <c r="D908" s="17" t="inlineStr"/>
      <c r="E908" s="17" t="inlineStr">
        <is>
          <t>Nem tartozik ide</t>
        </is>
      </c>
      <c r="F908" s="17" t="inlineStr">
        <is>
          <t>az elmúlt 6 hónapban</t>
        </is>
      </c>
      <c r="G908" s="17" t="inlineStr">
        <is>
          <t>Más főkategória terméke</t>
        </is>
      </c>
    </row>
    <row r="909">
      <c r="A909" s="17" t="inlineStr">
        <is>
          <t>GRO2634</t>
        </is>
      </c>
      <c r="B909" s="17" t="inlineStr">
        <is>
          <t>Hesi Pro-Line SuperVit 50 ml</t>
        </is>
      </c>
      <c r="C909" s="17" t="inlineStr">
        <is>
          <t>–</t>
        </is>
      </c>
      <c r="D909" s="17" t="inlineStr"/>
      <c r="E909" s="17" t="inlineStr">
        <is>
          <t>Nem tartozik ide</t>
        </is>
      </c>
      <c r="F909" s="17" t="inlineStr">
        <is>
          <t>az elmúlt 6 hónapban</t>
        </is>
      </c>
      <c r="G909" s="17" t="inlineStr">
        <is>
          <t>Más főkategória terméke</t>
        </is>
      </c>
    </row>
    <row r="910">
      <c r="A910" s="17" t="inlineStr">
        <is>
          <t>GRO2635</t>
        </is>
      </c>
      <c r="B910" s="17" t="inlineStr">
        <is>
          <t>Hesi Pro-Line SuperVit 100 ml</t>
        </is>
      </c>
      <c r="C910" s="17" t="inlineStr">
        <is>
          <t>–</t>
        </is>
      </c>
      <c r="D910" s="17" t="inlineStr"/>
      <c r="E910" s="17" t="inlineStr">
        <is>
          <t>Nem tartozik ide</t>
        </is>
      </c>
      <c r="F910" s="17" t="inlineStr">
        <is>
          <t>az elmúlt 6 hónapban</t>
        </is>
      </c>
      <c r="G910" s="17" t="inlineStr">
        <is>
          <t>Más főkategória terméke</t>
        </is>
      </c>
    </row>
    <row r="911">
      <c r="A911" s="17" t="inlineStr">
        <is>
          <t>GRO2636</t>
        </is>
      </c>
      <c r="B911" s="17" t="inlineStr">
        <is>
          <t>Milwaukee pH kalibráló folyadék pH 10,01, 230 ml, pH mérőkhöz</t>
        </is>
      </c>
      <c r="C911" s="17" t="inlineStr">
        <is>
          <t>–</t>
        </is>
      </c>
      <c r="D911" s="17" t="inlineStr"/>
      <c r="E911" s="17" t="inlineStr">
        <is>
          <t>Nem tartozik ide</t>
        </is>
      </c>
      <c r="F911" s="17" t="inlineStr">
        <is>
          <t>az elmúlt 30 napban</t>
        </is>
      </c>
      <c r="G911" s="17" t="inlineStr">
        <is>
          <t>Más főkategória terméke</t>
        </is>
      </c>
    </row>
    <row r="912">
      <c r="A912" s="17" t="inlineStr">
        <is>
          <t>GRO2651</t>
        </is>
      </c>
      <c r="B912" s="17" t="inlineStr">
        <is>
          <t>BioNova MgO 10 folyékony magnéziumműtrágya magnéziumhiányra 5 liter</t>
        </is>
      </c>
      <c r="C912" s="17" t="inlineStr">
        <is>
          <t>–</t>
        </is>
      </c>
      <c r="D912" s="17" t="inlineStr"/>
      <c r="E912" s="17" t="inlineStr">
        <is>
          <t>Nem tartozik ide</t>
        </is>
      </c>
      <c r="F912" s="17" t="inlineStr">
        <is>
          <t>az elmúlt 30 napban</t>
        </is>
      </c>
      <c r="G912" s="17" t="inlineStr">
        <is>
          <t>Más főkategória terméke</t>
        </is>
      </c>
    </row>
    <row r="913">
      <c r="A913" s="17" t="inlineStr">
        <is>
          <t>GRO2653</t>
        </is>
      </c>
      <c r="B913" s="17" t="inlineStr">
        <is>
          <t>ONA Air Filter beépíthető szagtalanító ONA Block tömbökhöz, 315 mm-es légcsatornába</t>
        </is>
      </c>
      <c r="C913" s="17" t="inlineStr">
        <is>
          <t>–</t>
        </is>
      </c>
      <c r="D913" s="17" t="inlineStr"/>
      <c r="E913" s="17" t="inlineStr">
        <is>
          <t>Nem tartozik ide</t>
        </is>
      </c>
      <c r="F913" s="17" t="inlineStr">
        <is>
          <t>az elmúlt 30 napban</t>
        </is>
      </c>
      <c r="G913" s="17" t="inlineStr">
        <is>
          <t>Más főkategória terméke</t>
        </is>
      </c>
    </row>
    <row r="914">
      <c r="A914" s="17" t="inlineStr">
        <is>
          <t>GRO2663</t>
        </is>
      </c>
      <c r="B914" s="17" t="inlineStr">
        <is>
          <t>Hesi Pro-Line SuperVit 10 ml</t>
        </is>
      </c>
      <c r="C914" s="17" t="inlineStr">
        <is>
          <t>–</t>
        </is>
      </c>
      <c r="D914" s="17" t="inlineStr"/>
      <c r="E914" s="17" t="inlineStr">
        <is>
          <t>Nem tartozik ide</t>
        </is>
      </c>
      <c r="F914" s="17" t="inlineStr">
        <is>
          <t>az elmúlt 6 hónapban</t>
        </is>
      </c>
      <c r="G914" s="17" t="inlineStr">
        <is>
          <t>Más főkategória terméke</t>
        </is>
      </c>
    </row>
    <row r="915">
      <c r="A915" s="17" t="inlineStr">
        <is>
          <t>GRO2697</t>
        </is>
      </c>
      <c r="B915" s="17" t="inlineStr">
        <is>
          <t>HOMEbox Ambient Q30 termesztősátor 30x30x60 cm, PAR+ belsővel</t>
        </is>
      </c>
      <c r="C915" s="17" t="inlineStr">
        <is>
          <t>–</t>
        </is>
      </c>
      <c r="D915" s="17" t="inlineStr"/>
      <c r="E915" s="17" t="inlineStr">
        <is>
          <t>Nem tartozik ide</t>
        </is>
      </c>
      <c r="F915" s="17" t="inlineStr">
        <is>
          <t>az elmúlt 30 napban</t>
        </is>
      </c>
      <c r="G915" s="17" t="inlineStr">
        <is>
          <t>Más főkategória terméke</t>
        </is>
      </c>
    </row>
    <row r="916">
      <c r="A916" s="17" t="inlineStr">
        <is>
          <t>GRO2699</t>
        </is>
      </c>
      <c r="B916" s="17" t="inlineStr">
        <is>
          <t>HOMEbox Ambient R80S termesztősátor 80x60x70 cm, PAR+ belsővel</t>
        </is>
      </c>
      <c r="C916" s="17" t="inlineStr">
        <is>
          <t>–</t>
        </is>
      </c>
      <c r="D916" s="17" t="inlineStr"/>
      <c r="E916" s="17" t="inlineStr">
        <is>
          <t>Nem tartozik ide</t>
        </is>
      </c>
      <c r="F916" s="17" t="inlineStr">
        <is>
          <t>az elmúlt 30 napban</t>
        </is>
      </c>
      <c r="G916" s="17" t="inlineStr">
        <is>
          <t>Más főkategória terméke</t>
        </is>
      </c>
    </row>
    <row r="917">
      <c r="A917" s="17" t="inlineStr">
        <is>
          <t>GRO2701</t>
        </is>
      </c>
      <c r="B917" s="17" t="inlineStr">
        <is>
          <t>Homebox Ambient Növény sátor Q100</t>
        </is>
      </c>
      <c r="C917" s="17" t="inlineStr">
        <is>
          <t>–</t>
        </is>
      </c>
      <c r="D917" s="17" t="inlineStr"/>
      <c r="E917" s="17" t="inlineStr">
        <is>
          <t>Nem tartozik ide</t>
        </is>
      </c>
      <c r="F917" s="17" t="inlineStr">
        <is>
          <t>az elmúlt 30 napban</t>
        </is>
      </c>
      <c r="G917" s="17" t="inlineStr">
        <is>
          <t>Más főkategória terméke</t>
        </is>
      </c>
    </row>
    <row r="918">
      <c r="A918" s="17" t="inlineStr">
        <is>
          <t>GRO2702</t>
        </is>
      </c>
      <c r="B918" s="17" t="inlineStr">
        <is>
          <t>HOMEbox Ambient R120 termesztősátor 120x90x180 cm, PAR+ belsővel</t>
        </is>
      </c>
      <c r="C918" s="17" t="inlineStr">
        <is>
          <t>–</t>
        </is>
      </c>
      <c r="D918" s="17" t="inlineStr"/>
      <c r="E918" s="17" t="inlineStr">
        <is>
          <t>Nem tartozik ide</t>
        </is>
      </c>
      <c r="F918" s="17" t="inlineStr">
        <is>
          <t>az elmúlt 30 napban</t>
        </is>
      </c>
      <c r="G918" s="17" t="inlineStr">
        <is>
          <t>Más főkategória terméke</t>
        </is>
      </c>
    </row>
    <row r="919">
      <c r="A919" s="17" t="inlineStr">
        <is>
          <t>GRO2703</t>
        </is>
      </c>
      <c r="B919" s="17" t="inlineStr">
        <is>
          <t>HOMEbox Ambient R240 termesztősátor 240x120x200 cm, PAR+ belsővel</t>
        </is>
      </c>
      <c r="C919" s="17" t="inlineStr">
        <is>
          <t>–</t>
        </is>
      </c>
      <c r="D919" s="17" t="inlineStr"/>
      <c r="E919" s="17" t="inlineStr">
        <is>
          <t>Nem tartozik ide</t>
        </is>
      </c>
      <c r="F919" s="17" t="inlineStr">
        <is>
          <t>az elmúlt 30 napban</t>
        </is>
      </c>
      <c r="G919" s="17" t="inlineStr">
        <is>
          <t>Más főkategória terméke</t>
        </is>
      </c>
    </row>
    <row r="920">
      <c r="A920" s="17" t="inlineStr">
        <is>
          <t>GRO2707</t>
        </is>
      </c>
      <c r="B920" s="17" t="inlineStr">
        <is>
          <t>Eazy Plug CT24 magvető és dugványozó kocka tálcában, 24 darab</t>
        </is>
      </c>
      <c r="C920" s="17" t="inlineStr">
        <is>
          <t>–</t>
        </is>
      </c>
      <c r="D920" s="17" t="inlineStr"/>
      <c r="E920" s="17" t="inlineStr">
        <is>
          <t>Nem tartozik ide</t>
        </is>
      </c>
      <c r="F920" s="17" t="inlineStr">
        <is>
          <t>az elmúlt 30 napban</t>
        </is>
      </c>
      <c r="G920" s="17" t="inlineStr">
        <is>
          <t>Más főkategória terméke</t>
        </is>
      </c>
    </row>
    <row r="921">
      <c r="A921" s="17" t="inlineStr">
        <is>
          <t>GRO2708</t>
        </is>
      </c>
      <c r="B921" s="17" t="inlineStr">
        <is>
          <t>Eazy Plug CT77 magvető és dugványozó kocka tálcában, 77 darab</t>
        </is>
      </c>
      <c r="C921" s="17" t="inlineStr">
        <is>
          <t>–</t>
        </is>
      </c>
      <c r="D921" s="17" t="inlineStr"/>
      <c r="E921" s="17" t="inlineStr">
        <is>
          <t>Nem tartozik ide</t>
        </is>
      </c>
      <c r="F921" s="17" t="inlineStr">
        <is>
          <t>az elmúlt 30 napban</t>
        </is>
      </c>
      <c r="G921" s="17" t="inlineStr">
        <is>
          <t>Más főkategória terméke</t>
        </is>
      </c>
    </row>
    <row r="922">
      <c r="A922" s="17" t="inlineStr">
        <is>
          <t>GRO2709</t>
        </is>
      </c>
      <c r="B922" s="17" t="inlineStr">
        <is>
          <t>Eazy Plug CT150 magvető és dugványozó kocka tálcában, 150 darab</t>
        </is>
      </c>
      <c r="C922" s="17" t="inlineStr">
        <is>
          <t>–</t>
        </is>
      </c>
      <c r="D922" s="17" t="inlineStr"/>
      <c r="E922" s="17" t="inlineStr">
        <is>
          <t>Nem tartozik ide</t>
        </is>
      </c>
      <c r="F922" s="17" t="inlineStr">
        <is>
          <t>az elmúlt 30 napban</t>
        </is>
      </c>
      <c r="G922" s="17" t="inlineStr">
        <is>
          <t>Más főkategória terméke</t>
        </is>
      </c>
    </row>
    <row r="923">
      <c r="A923" s="17" t="inlineStr">
        <is>
          <t>GRO2710</t>
        </is>
      </c>
      <c r="B923" s="17" t="inlineStr">
        <is>
          <t>Eazy Plug kókuszrost magvető kocka 3,5 x 3,5 x 3 cm, 50 darabos csomag, tálca nélkül</t>
        </is>
      </c>
      <c r="C923" s="17" t="inlineStr">
        <is>
          <t>–</t>
        </is>
      </c>
      <c r="D923" s="17" t="inlineStr"/>
      <c r="E923" s="17" t="inlineStr">
        <is>
          <t>Nem tartozik ide</t>
        </is>
      </c>
      <c r="F923" s="17" t="inlineStr">
        <is>
          <t>az elmúlt 30 napban</t>
        </is>
      </c>
      <c r="G923" s="17" t="inlineStr">
        <is>
          <t>Más főkategória terméke</t>
        </is>
      </c>
    </row>
    <row r="924">
      <c r="A924" s="17" t="inlineStr">
        <is>
          <t>GRO2711</t>
        </is>
      </c>
      <c r="B924" s="17" t="inlineStr">
        <is>
          <t>Eazy Plug kókuszrost magvető kocka 3,5 x 3,5 x 3 cm, 100 darabos csomag, tálca nélkül</t>
        </is>
      </c>
      <c r="C924" s="17" t="inlineStr">
        <is>
          <t>–</t>
        </is>
      </c>
      <c r="D924" s="17" t="inlineStr"/>
      <c r="E924" s="17" t="inlineStr">
        <is>
          <t>Nem tartozik ide</t>
        </is>
      </c>
      <c r="F924" s="17" t="inlineStr">
        <is>
          <t>az elmúlt 30 napban</t>
        </is>
      </c>
      <c r="G924" s="17" t="inlineStr">
        <is>
          <t>Más főkategória terméke</t>
        </is>
      </c>
    </row>
    <row r="925">
      <c r="A925" s="17" t="inlineStr">
        <is>
          <t>GRO2712</t>
        </is>
      </c>
      <c r="B925" s="17" t="inlineStr">
        <is>
          <t>Eazy Block nevelőkocka 7,5 x 7,5 x 6 cm Eazy Plug palánták átültetéséhez, 1 darab</t>
        </is>
      </c>
      <c r="C925" s="17" t="inlineStr">
        <is>
          <t>–</t>
        </is>
      </c>
      <c r="D925" s="17" t="inlineStr"/>
      <c r="E925" s="17" t="inlineStr">
        <is>
          <t>Nem tartozik ide</t>
        </is>
      </c>
      <c r="F925" s="17" t="inlineStr">
        <is>
          <t>az elmúlt 30 napban</t>
        </is>
      </c>
      <c r="G925" s="17" t="inlineStr">
        <is>
          <t>Más főkategória terméke</t>
        </is>
      </c>
    </row>
    <row r="926">
      <c r="A926" s="17" t="inlineStr">
        <is>
          <t>GRO2734</t>
        </is>
      </c>
      <c r="B926" s="17" t="inlineStr">
        <is>
          <t>Secret Jardin Dark Propagator DP60 R4.00 nevelősátor 60x40x60 cm</t>
        </is>
      </c>
      <c r="C926" s="17" t="inlineStr">
        <is>
          <t>–</t>
        </is>
      </c>
      <c r="D926" s="17" t="inlineStr"/>
      <c r="E926" s="17" t="inlineStr">
        <is>
          <t>Nem tartozik ide</t>
        </is>
      </c>
      <c r="F926" s="17" t="inlineStr">
        <is>
          <t>az elmúlt 30 napban</t>
        </is>
      </c>
      <c r="G926" s="17" t="inlineStr">
        <is>
          <t>Más főkategória terméke</t>
        </is>
      </c>
    </row>
    <row r="927">
      <c r="A927" s="17" t="inlineStr">
        <is>
          <t>GRO2736</t>
        </is>
      </c>
      <c r="B927" s="17" t="inlineStr">
        <is>
          <t>Can Filters Silencer CFS08 ventilátor hangtompító 200 mm, 50 cm, ásványgyapot szigeteléssel</t>
        </is>
      </c>
      <c r="C927" s="17" t="inlineStr">
        <is>
          <t>–</t>
        </is>
      </c>
      <c r="D927" s="17" t="inlineStr"/>
      <c r="E927" s="17" t="inlineStr">
        <is>
          <t>Nem tartozik ide</t>
        </is>
      </c>
      <c r="F927" s="17" t="inlineStr">
        <is>
          <t>az elmúlt 30 napban</t>
        </is>
      </c>
      <c r="G927" s="17" t="inlineStr">
        <is>
          <t>Más főkategória terméke</t>
        </is>
      </c>
    </row>
    <row r="928">
      <c r="A928" s="17" t="inlineStr">
        <is>
          <t>GRO2738</t>
        </is>
      </c>
      <c r="B928" s="17" t="inlineStr">
        <is>
          <t>Hailea Légkompresszor ACO-308</t>
        </is>
      </c>
      <c r="C928" s="17" t="inlineStr">
        <is>
          <t>–</t>
        </is>
      </c>
      <c r="D928" s="17" t="inlineStr"/>
      <c r="E928" s="17" t="inlineStr">
        <is>
          <t>Nem tartozik ide</t>
        </is>
      </c>
      <c r="F928" s="17" t="inlineStr">
        <is>
          <t>2024-10 – 2025-09 (lehet, hogy már nem aktív)</t>
        </is>
      </c>
      <c r="G928" s="17" t="inlineStr">
        <is>
          <t>Más főkategória terméke</t>
        </is>
      </c>
    </row>
    <row r="929">
      <c r="A929" s="17" t="inlineStr">
        <is>
          <t>GRO2739</t>
        </is>
      </c>
      <c r="B929" s="17" t="inlineStr">
        <is>
          <t>Hailea Légkompresszor ACO-318</t>
        </is>
      </c>
      <c r="C929" s="17" t="inlineStr">
        <is>
          <t>–</t>
        </is>
      </c>
      <c r="D929" s="17" t="inlineStr"/>
      <c r="E929" s="17" t="inlineStr">
        <is>
          <t>Nem tartozik ide</t>
        </is>
      </c>
      <c r="F929" s="17" t="inlineStr">
        <is>
          <t>2024-10 – 2025-09 (lehet, hogy már nem aktív)</t>
        </is>
      </c>
      <c r="G929" s="17" t="inlineStr">
        <is>
          <t>Más főkategória terméke</t>
        </is>
      </c>
    </row>
    <row r="930">
      <c r="A930" s="17" t="inlineStr">
        <is>
          <t>GRO2740</t>
        </is>
      </c>
      <c r="B930" s="17" t="inlineStr">
        <is>
          <t>Levegőkompresszor Hailea ACO-009E, 140 l/perc, elektromágneses</t>
        </is>
      </c>
      <c r="C930" s="17" t="inlineStr">
        <is>
          <t>–</t>
        </is>
      </c>
      <c r="D930" s="17" t="inlineStr"/>
      <c r="E930" s="17" t="inlineStr">
        <is>
          <t>Nem tartozik ide</t>
        </is>
      </c>
      <c r="F930" s="17" t="inlineStr">
        <is>
          <t>az elmúlt 30 napban</t>
        </is>
      </c>
      <c r="G930" s="17" t="inlineStr">
        <is>
          <t>Más főkategória terméke</t>
        </is>
      </c>
    </row>
    <row r="931">
      <c r="A931" s="17" t="inlineStr">
        <is>
          <t>GRO2752</t>
        </is>
      </c>
      <c r="B931" s="17" t="inlineStr">
        <is>
          <t>Vents TT PRO 200 kevert áramlású csőventilátor 200 mm, kétsebességes, 830/1040 m3/h</t>
        </is>
      </c>
      <c r="C931" s="17" t="inlineStr">
        <is>
          <t>–</t>
        </is>
      </c>
      <c r="D931" s="17" t="inlineStr"/>
      <c r="E931" s="17" t="inlineStr">
        <is>
          <t>Nem tartozik ide</t>
        </is>
      </c>
      <c r="F931" s="17" t="inlineStr">
        <is>
          <t>az elmúlt 30 napban</t>
        </is>
      </c>
      <c r="G931" s="17" t="inlineStr">
        <is>
          <t>Más főkategória terméke</t>
        </is>
      </c>
    </row>
    <row r="932">
      <c r="A932" s="17" t="inlineStr">
        <is>
          <t>GRO2753</t>
        </is>
      </c>
      <c r="B932" s="17" t="inlineStr">
        <is>
          <t>Vents TT PRO 250 kevert áramlású csőventilátor 250 mm, kétsebességes, 1110/1400 m3/h</t>
        </is>
      </c>
      <c r="C932" s="17" t="inlineStr">
        <is>
          <t>–</t>
        </is>
      </c>
      <c r="D932" s="17" t="inlineStr"/>
      <c r="E932" s="17" t="inlineStr">
        <is>
          <t>Nem tartozik ide</t>
        </is>
      </c>
      <c r="F932" s="17" t="inlineStr">
        <is>
          <t>az elmúlt 30 napban</t>
        </is>
      </c>
      <c r="G932" s="17" t="inlineStr">
        <is>
          <t>Más főkategória terméke</t>
        </is>
      </c>
    </row>
    <row r="933">
      <c r="A933" s="17" t="inlineStr">
        <is>
          <t>GRO2754</t>
        </is>
      </c>
      <c r="B933" s="17" t="inlineStr">
        <is>
          <t>Vents TT PRO 315 kevert áramlású csőventilátor 315 mm, kétsebességes, 1570/2050 m3/h</t>
        </is>
      </c>
      <c r="C933" s="17" t="inlineStr">
        <is>
          <t>–</t>
        </is>
      </c>
      <c r="D933" s="17" t="inlineStr"/>
      <c r="E933" s="17" t="inlineStr">
        <is>
          <t>Nem tartozik ide</t>
        </is>
      </c>
      <c r="F933" s="17" t="inlineStr">
        <is>
          <t>az elmúlt 30 napban</t>
        </is>
      </c>
      <c r="G933" s="17" t="inlineStr">
        <is>
          <t>Más főkategória terméke</t>
        </is>
      </c>
    </row>
    <row r="934">
      <c r="A934" s="17" t="inlineStr">
        <is>
          <t>GRO2756</t>
        </is>
      </c>
      <c r="B934" s="17" t="inlineStr">
        <is>
          <t>Keskeny csatos légtechnikai bilincs 60–165 mm, állítható fém csőbilincs</t>
        </is>
      </c>
      <c r="C934" s="17" t="inlineStr">
        <is>
          <t>–</t>
        </is>
      </c>
      <c r="D934" s="17" t="inlineStr"/>
      <c r="E934" s="17" t="inlineStr">
        <is>
          <t>Nem tartozik ide</t>
        </is>
      </c>
      <c r="F934" s="17" t="inlineStr">
        <is>
          <t>az elmúlt 30 napban</t>
        </is>
      </c>
      <c r="G934" s="17" t="inlineStr">
        <is>
          <t>Más főkategória terméke</t>
        </is>
      </c>
    </row>
    <row r="935">
      <c r="A935" s="17" t="inlineStr">
        <is>
          <t>GRO2757</t>
        </is>
      </c>
      <c r="B935" s="17" t="inlineStr">
        <is>
          <t>Sylvania SHP-TS Super nátriumlámpa izzó 250 W, E40, virágzáshoz</t>
        </is>
      </c>
      <c r="C935" s="17" t="inlineStr">
        <is>
          <t>–</t>
        </is>
      </c>
      <c r="D935" s="17" t="inlineStr"/>
      <c r="E935" s="17" t="inlineStr">
        <is>
          <t>Nem tartozik ide</t>
        </is>
      </c>
      <c r="F935" s="17" t="inlineStr">
        <is>
          <t>az elmúlt 30 napban</t>
        </is>
      </c>
      <c r="G935" s="17" t="inlineStr">
        <is>
          <t>Más főkategória terméke</t>
        </is>
      </c>
    </row>
    <row r="936">
      <c r="A936" s="17" t="inlineStr">
        <is>
          <t>GRO2776</t>
        </is>
      </c>
      <c r="B936" s="17" t="inlineStr">
        <is>
          <t>GrowMax Water pót szénszűrő (kókuszhéj szénblokk) GrowMax Water 3000 rendszerhez</t>
        </is>
      </c>
      <c r="C936" s="17" t="inlineStr">
        <is>
          <t>–</t>
        </is>
      </c>
      <c r="D936" s="17" t="inlineStr"/>
      <c r="E936" s="17" t="inlineStr">
        <is>
          <t>Nem tartozik ide</t>
        </is>
      </c>
      <c r="F936" s="17" t="inlineStr">
        <is>
          <t>az elmúlt 30 napban</t>
        </is>
      </c>
      <c r="G936" s="17" t="inlineStr">
        <is>
          <t>Más főkategória terméke</t>
        </is>
      </c>
    </row>
    <row r="937">
      <c r="A937" s="17" t="inlineStr">
        <is>
          <t>GRO2777</t>
        </is>
      </c>
      <c r="B937" s="17" t="inlineStr">
        <is>
          <t>GrowMax Water pót fordított ozmózisos membrán 150 GPD</t>
        </is>
      </c>
      <c r="C937" s="17" t="inlineStr">
        <is>
          <t>–</t>
        </is>
      </c>
      <c r="D937" s="17" t="inlineStr"/>
      <c r="E937" s="17" t="inlineStr">
        <is>
          <t>Nem tartozik ide</t>
        </is>
      </c>
      <c r="F937" s="17" t="inlineStr">
        <is>
          <t>az elmúlt 30 napban</t>
        </is>
      </c>
      <c r="G937" s="17" t="inlineStr">
        <is>
          <t>Más főkategória terméke</t>
        </is>
      </c>
    </row>
    <row r="938">
      <c r="A938" s="17" t="inlineStr">
        <is>
          <t>GRO2781</t>
        </is>
      </c>
      <c r="B938" s="17" t="inlineStr">
        <is>
          <t>ONA Card sprayer zsebméretű szagsemlegesítő spray Apple Crumble illat</t>
        </is>
      </c>
      <c r="C938" s="17" t="inlineStr">
        <is>
          <t>–</t>
        </is>
      </c>
      <c r="D938" s="17" t="inlineStr"/>
      <c r="E938" s="17" t="inlineStr">
        <is>
          <t>Nem tartozik ide</t>
        </is>
      </c>
      <c r="F938" s="17" t="inlineStr">
        <is>
          <t>az elmúlt 30 napban</t>
        </is>
      </c>
      <c r="G938" s="17" t="inlineStr">
        <is>
          <t>Más főkategória terméke</t>
        </is>
      </c>
    </row>
    <row r="939">
      <c r="A939" s="17" t="inlineStr">
        <is>
          <t>GRO2782</t>
        </is>
      </c>
      <c r="B939" s="17" t="inlineStr">
        <is>
          <t>ONA Spray Pumpás Szagsemlegesítő ONA Spray Fresh Linen</t>
        </is>
      </c>
      <c r="C939" s="17" t="inlineStr">
        <is>
          <t>–</t>
        </is>
      </c>
      <c r="D939" s="17" t="inlineStr"/>
      <c r="E939" s="17" t="inlineStr">
        <is>
          <t>Nem tartozik ide</t>
        </is>
      </c>
      <c r="F939" s="17" t="inlineStr">
        <is>
          <t>az elmúlt 6 hónapban</t>
        </is>
      </c>
      <c r="G939" s="17" t="inlineStr">
        <is>
          <t>Más főkategória terméke</t>
        </is>
      </c>
    </row>
    <row r="940">
      <c r="A940" s="17" t="inlineStr">
        <is>
          <t>GRO2785</t>
        </is>
      </c>
      <c r="B940" s="17" t="inlineStr">
        <is>
          <t>ONA Liquid szagsemlegesítő folyadék Fresh Linen illat, 1 liter (922 ml)</t>
        </is>
      </c>
      <c r="C940" s="17" t="inlineStr">
        <is>
          <t>–</t>
        </is>
      </c>
      <c r="D940" s="17" t="inlineStr"/>
      <c r="E940" s="17" t="inlineStr">
        <is>
          <t>Nem tartozik ide</t>
        </is>
      </c>
      <c r="F940" s="17" t="inlineStr">
        <is>
          <t>az elmúlt 30 napban</t>
        </is>
      </c>
      <c r="G940" s="17" t="inlineStr">
        <is>
          <t>Más főkategória terméke</t>
        </is>
      </c>
    </row>
    <row r="941">
      <c r="A941" s="17" t="inlineStr">
        <is>
          <t>GRO2786</t>
        </is>
      </c>
      <c r="B941" s="17" t="inlineStr">
        <is>
          <t>ONA Liquid szagsemlegesítő folyadék Fresh Linen illat, 4 liter (3,27 l)</t>
        </is>
      </c>
      <c r="C941" s="17" t="inlineStr">
        <is>
          <t>–</t>
        </is>
      </c>
      <c r="D941" s="17" t="inlineStr"/>
      <c r="E941" s="17" t="inlineStr">
        <is>
          <t>Nem tartozik ide</t>
        </is>
      </c>
      <c r="F941" s="17" t="inlineStr">
        <is>
          <t>az elmúlt 30 napban</t>
        </is>
      </c>
      <c r="G941" s="17" t="inlineStr">
        <is>
          <t>Más főkategória terméke</t>
        </is>
      </c>
    </row>
    <row r="942">
      <c r="A942" s="17" t="inlineStr">
        <is>
          <t>GRO2788</t>
        </is>
      </c>
      <c r="B942" s="17" t="inlineStr">
        <is>
          <t>Manuális trimmelő tál 39,5 cm, kézi hajtókaros, átlátszó fedéllel, 30 pengével</t>
        </is>
      </c>
      <c r="C942" s="17" t="inlineStr">
        <is>
          <t>–</t>
        </is>
      </c>
      <c r="D942" s="17" t="inlineStr"/>
      <c r="E942" s="17" t="inlineStr">
        <is>
          <t>Nem tartozik ide</t>
        </is>
      </c>
      <c r="F942" s="17" t="inlineStr">
        <is>
          <t>az elmúlt 30 napban</t>
        </is>
      </c>
      <c r="G942" s="17" t="inlineStr">
        <is>
          <t>Más főkategória terméke</t>
        </is>
      </c>
    </row>
    <row r="943">
      <c r="A943" s="17" t="inlineStr">
        <is>
          <t>GRO2789</t>
        </is>
      </c>
      <c r="B943" s="17" t="inlineStr">
        <is>
          <t>Elektromos trimmelő asztal állítható pengesebességgel és hulladékgyűjtővel, 46 x 46 x 64,5 cm</t>
        </is>
      </c>
      <c r="C943" s="17" t="inlineStr">
        <is>
          <t>–</t>
        </is>
      </c>
      <c r="D943" s="17" t="inlineStr"/>
      <c r="E943" s="17" t="inlineStr">
        <is>
          <t>Nem tartozik ide</t>
        </is>
      </c>
      <c r="F943" s="17" t="inlineStr">
        <is>
          <t>az elmúlt 30 napban</t>
        </is>
      </c>
      <c r="G943" s="17" t="inlineStr">
        <is>
          <t>Más főkategória terméke</t>
        </is>
      </c>
    </row>
    <row r="944">
      <c r="A944" s="17" t="inlineStr">
        <is>
          <t>GRO2790</t>
        </is>
      </c>
      <c r="B944" s="17" t="inlineStr">
        <is>
          <t>Milwaukee Martini EC szonda (Mi59P)</t>
        </is>
      </c>
      <c r="C944" s="17" t="inlineStr">
        <is>
          <t>–</t>
        </is>
      </c>
      <c r="D944" s="17" t="inlineStr"/>
      <c r="E944" s="17" t="inlineStr">
        <is>
          <t>Nem tartozik ide</t>
        </is>
      </c>
      <c r="F944" s="17" t="inlineStr">
        <is>
          <t>az elmúlt 6 hónapban</t>
        </is>
      </c>
      <c r="G944" s="17" t="inlineStr">
        <is>
          <t>Más főkategória terméke</t>
        </is>
      </c>
    </row>
    <row r="945">
      <c r="A945" s="17" t="inlineStr">
        <is>
          <t>GRO2794</t>
        </is>
      </c>
      <c r="B945" s="17" t="inlineStr">
        <is>
          <t>Eazy Plug CT12 magvető és dugványozó kocka tálcában, 12 darab</t>
        </is>
      </c>
      <c r="C945" s="17" t="inlineStr">
        <is>
          <t>–</t>
        </is>
      </c>
      <c r="D945" s="17" t="inlineStr"/>
      <c r="E945" s="17" t="inlineStr">
        <is>
          <t>Nem tartozik ide</t>
        </is>
      </c>
      <c r="F945" s="17" t="inlineStr">
        <is>
          <t>az elmúlt 30 napban</t>
        </is>
      </c>
      <c r="G945" s="17" t="inlineStr">
        <is>
          <t>Más főkategória terméke</t>
        </is>
      </c>
    </row>
    <row r="946">
      <c r="A946" s="17" t="inlineStr">
        <is>
          <t>GRO2795</t>
        </is>
      </c>
      <c r="B946" s="17" t="inlineStr">
        <is>
          <t>Eazy Plug CT104C magvető és dugványozó kocka tálcában, 104 darab</t>
        </is>
      </c>
      <c r="C946" s="17" t="inlineStr">
        <is>
          <t>–</t>
        </is>
      </c>
      <c r="D946" s="17" t="inlineStr"/>
      <c r="E946" s="17" t="inlineStr">
        <is>
          <t>Nem tartozik ide</t>
        </is>
      </c>
      <c r="F946" s="17" t="inlineStr">
        <is>
          <t>az elmúlt 30 napban</t>
        </is>
      </c>
      <c r="G946" s="17" t="inlineStr">
        <is>
          <t>Más főkategória terméke</t>
        </is>
      </c>
    </row>
    <row r="947">
      <c r="A947" s="17" t="inlineStr">
        <is>
          <t>GRO2797</t>
        </is>
      </c>
      <c r="B947" s="17" t="inlineStr">
        <is>
          <t>Vékony falú propagátor 23x18x13 cm</t>
        </is>
      </c>
      <c r="C947" s="17" t="inlineStr">
        <is>
          <t>–</t>
        </is>
      </c>
      <c r="D947" s="17" t="inlineStr"/>
      <c r="E947" s="17" t="inlineStr">
        <is>
          <t>Nem tartozik ide</t>
        </is>
      </c>
      <c r="F947" s="17" t="inlineStr">
        <is>
          <t>az elmúlt 30 napban</t>
        </is>
      </c>
      <c r="G947" s="17" t="inlineStr">
        <is>
          <t>Más főkategória terméke</t>
        </is>
      </c>
    </row>
    <row r="948">
      <c r="A948" s="17" t="inlineStr">
        <is>
          <t>GRO2798</t>
        </is>
      </c>
      <c r="B948" s="17" t="inlineStr">
        <is>
          <t>Vékony falú propagátor 38x24x13,5 cm, fűtés nélküli, csíráztatáshoz és dugványokhoz</t>
        </is>
      </c>
      <c r="C948" s="17" t="inlineStr">
        <is>
          <t>–</t>
        </is>
      </c>
      <c r="D948" s="17" t="inlineStr"/>
      <c r="E948" s="17" t="inlineStr">
        <is>
          <t>Nem tartozik ide</t>
        </is>
      </c>
      <c r="F948" s="17" t="inlineStr">
        <is>
          <t>az elmúlt 30 napban</t>
        </is>
      </c>
      <c r="G948" s="17" t="inlineStr">
        <is>
          <t>Más főkategória terméke</t>
        </is>
      </c>
    </row>
    <row r="949">
      <c r="A949" s="17" t="inlineStr">
        <is>
          <t>GRO2799</t>
        </is>
      </c>
      <c r="B949" s="17" t="inlineStr">
        <is>
          <t>Digitális termosztát és időkapcsoló 0–40 °C, 16 A, fűtéshez, 1 m-es vízálló hőérzékelővel</t>
        </is>
      </c>
      <c r="C949" s="17" t="inlineStr">
        <is>
          <t>–</t>
        </is>
      </c>
      <c r="D949" s="17" t="inlineStr"/>
      <c r="E949" s="17" t="inlineStr">
        <is>
          <t>Nem tartozik ide</t>
        </is>
      </c>
      <c r="F949" s="17" t="inlineStr">
        <is>
          <t>az elmúlt 30 napban</t>
        </is>
      </c>
      <c r="G949" s="17" t="inlineStr">
        <is>
          <t>Más főkategória terméke</t>
        </is>
      </c>
    </row>
    <row r="950">
      <c r="A950" s="17" t="inlineStr">
        <is>
          <t>GRO2802</t>
        </is>
      </c>
      <c r="B950" s="17" t="inlineStr">
        <is>
          <t>ONA Gel szagsemlegesítő zselé (Fresh Linen) 20 liter</t>
        </is>
      </c>
      <c r="C950" s="17" t="inlineStr">
        <is>
          <t>–</t>
        </is>
      </c>
      <c r="D950" s="17" t="inlineStr"/>
      <c r="E950" s="17" t="inlineStr">
        <is>
          <t>Nem tartozik ide</t>
        </is>
      </c>
      <c r="F950" s="17" t="inlineStr">
        <is>
          <t>az elmúlt 30 napban</t>
        </is>
      </c>
      <c r="G950" s="17" t="inlineStr">
        <is>
          <t>Más főkategória terméke</t>
        </is>
      </c>
    </row>
    <row r="951">
      <c r="A951" s="17" t="inlineStr">
        <is>
          <t>GRO2803</t>
        </is>
      </c>
      <c r="B951" s="17" t="inlineStr">
        <is>
          <t>ONA Gel szagsemlegesítő zselé (Polar Crystal) 20 liter</t>
        </is>
      </c>
      <c r="C951" s="17" t="inlineStr">
        <is>
          <t>–</t>
        </is>
      </c>
      <c r="D951" s="17" t="inlineStr"/>
      <c r="E951" s="17" t="inlineStr">
        <is>
          <t>Nem tartozik ide</t>
        </is>
      </c>
      <c r="F951" s="17" t="inlineStr">
        <is>
          <t>2025-10 – 2026-04</t>
        </is>
      </c>
      <c r="G951" s="17" t="inlineStr">
        <is>
          <t>Más főkategória terméke</t>
        </is>
      </c>
    </row>
    <row r="952">
      <c r="A952" s="17" t="inlineStr">
        <is>
          <t>GRO2809</t>
        </is>
      </c>
      <c r="B952" s="17" t="inlineStr">
        <is>
          <t>Metrop Enzymes enzimkomplexum 5 liter</t>
        </is>
      </c>
      <c r="C952" s="17" t="inlineStr">
        <is>
          <t>–</t>
        </is>
      </c>
      <c r="D952" s="17" t="inlineStr"/>
      <c r="E952" s="17" t="inlineStr">
        <is>
          <t>Nem tartozik ide</t>
        </is>
      </c>
      <c r="F952" s="17" t="inlineStr">
        <is>
          <t>2024-10 – 2025-09 (lehet, hogy már nem aktív)</t>
        </is>
      </c>
      <c r="G952" s="17" t="inlineStr">
        <is>
          <t>Más főkategória terméke</t>
        </is>
      </c>
    </row>
    <row r="953">
      <c r="A953" s="17" t="inlineStr">
        <is>
          <t>GRO2812</t>
        </is>
      </c>
      <c r="B953" s="17" t="inlineStr">
        <is>
          <t>Advanced Nutrients Overdrive késői virágzásfokozó NPK 1-5-4, 500 ml</t>
        </is>
      </c>
      <c r="C953" s="17" t="inlineStr">
        <is>
          <t>–</t>
        </is>
      </c>
      <c r="D953" s="17" t="inlineStr"/>
      <c r="E953" s="17" t="inlineStr">
        <is>
          <t>Nem tartozik ide</t>
        </is>
      </c>
      <c r="F953" s="17" t="inlineStr">
        <is>
          <t>az elmúlt 30 napban</t>
        </is>
      </c>
      <c r="G953" s="17" t="inlineStr">
        <is>
          <t>Más főkategória terméke</t>
        </is>
      </c>
    </row>
    <row r="954">
      <c r="A954" s="17" t="inlineStr">
        <is>
          <t>GRO2820</t>
        </is>
      </c>
      <c r="B954" s="17" t="inlineStr">
        <is>
          <t>Fűtött propagátor 3 magas fedelű tálcával, 80,5x41 cm, 50 W, beépített termosztáttal</t>
        </is>
      </c>
      <c r="C954" s="17" t="inlineStr">
        <is>
          <t>–</t>
        </is>
      </c>
      <c r="D954" s="17" t="inlineStr"/>
      <c r="E954" s="17" t="inlineStr">
        <is>
          <t>Nem tartozik ide</t>
        </is>
      </c>
      <c r="F954" s="17" t="inlineStr">
        <is>
          <t>az elmúlt 30 napban</t>
        </is>
      </c>
      <c r="G954" s="17" t="inlineStr">
        <is>
          <t>Más főkategória terméke</t>
        </is>
      </c>
    </row>
    <row r="955">
      <c r="A955" s="17" t="inlineStr">
        <is>
          <t>GRO2821</t>
        </is>
      </c>
      <c r="B955" s="17" t="inlineStr">
        <is>
          <t>Garland Large High Dome magas propagátor szellőzővel, 37,5x23x18 cm</t>
        </is>
      </c>
      <c r="C955" s="17" t="inlineStr">
        <is>
          <t>–</t>
        </is>
      </c>
      <c r="D955" s="17" t="inlineStr"/>
      <c r="E955" s="17" t="inlineStr">
        <is>
          <t>Nem tartozik ide</t>
        </is>
      </c>
      <c r="F955" s="17" t="inlineStr">
        <is>
          <t>az elmúlt 30 napban</t>
        </is>
      </c>
      <c r="G955" s="17" t="inlineStr">
        <is>
          <t>Más főkategória terméke</t>
        </is>
      </c>
    </row>
    <row r="956">
      <c r="A956" s="17" t="inlineStr">
        <is>
          <t>GRO2822</t>
        </is>
      </c>
      <c r="B956" s="17" t="inlineStr">
        <is>
          <t>Vasalható vákuum zsák 15 x 25 cm</t>
        </is>
      </c>
      <c r="C956" s="17" t="inlineStr">
        <is>
          <t>–</t>
        </is>
      </c>
      <c r="D956" s="17" t="inlineStr"/>
      <c r="E956" s="17" t="inlineStr">
        <is>
          <t>Nem tartozik ide</t>
        </is>
      </c>
      <c r="F956" s="17" t="inlineStr">
        <is>
          <t>2025-10 – 2026-04</t>
        </is>
      </c>
      <c r="G956" s="17" t="inlineStr">
        <is>
          <t>Más főkategória terméke</t>
        </is>
      </c>
    </row>
    <row r="957">
      <c r="A957" s="17" t="inlineStr">
        <is>
          <t>GRO2823</t>
        </is>
      </c>
      <c r="B957" s="17" t="inlineStr">
        <is>
          <t>Garland XL High Dome magas propagátor szellőzővel, 58x40 cm, 22,5 cm magas</t>
        </is>
      </c>
      <c r="C957" s="17" t="inlineStr">
        <is>
          <t>–</t>
        </is>
      </c>
      <c r="D957" s="17" t="inlineStr"/>
      <c r="E957" s="17" t="inlineStr">
        <is>
          <t>Nem tartozik ide</t>
        </is>
      </c>
      <c r="F957" s="17" t="inlineStr">
        <is>
          <t>az elmúlt 30 napban</t>
        </is>
      </c>
      <c r="G957" s="17" t="inlineStr">
        <is>
          <t>Más főkategória terméke</t>
        </is>
      </c>
    </row>
    <row r="958">
      <c r="A958" s="17" t="inlineStr">
        <is>
          <t>GRO2824</t>
        </is>
      </c>
      <c r="B958" s="17" t="inlineStr">
        <is>
          <t>Garland Small High Dome magas propagátor szellőzővel, 23x17x18 cm</t>
        </is>
      </c>
      <c r="C958" s="17" t="inlineStr">
        <is>
          <t>–</t>
        </is>
      </c>
      <c r="D958" s="17" t="inlineStr"/>
      <c r="E958" s="17" t="inlineStr">
        <is>
          <t>Nem tartozik ide</t>
        </is>
      </c>
      <c r="F958" s="17" t="inlineStr">
        <is>
          <t>az elmúlt 30 napban</t>
        </is>
      </c>
      <c r="G958" s="17" t="inlineStr">
        <is>
          <t>Más főkategória terméke</t>
        </is>
      </c>
    </row>
    <row r="959">
      <c r="A959" s="17" t="inlineStr">
        <is>
          <t>GRO2826</t>
        </is>
      </c>
      <c r="B959" s="17" t="inlineStr">
        <is>
          <t>Secret Jardin Monkey Fan csíptethető ventilátor 16W</t>
        </is>
      </c>
      <c r="C959" s="17" t="inlineStr">
        <is>
          <t>–</t>
        </is>
      </c>
      <c r="D959" s="17" t="inlineStr"/>
      <c r="E959" s="17" t="inlineStr">
        <is>
          <t>Nem tartozik ide</t>
        </is>
      </c>
      <c r="F959" s="17" t="inlineStr">
        <is>
          <t>az elmúlt 6 hónapban</t>
        </is>
      </c>
      <c r="G959" s="17" t="inlineStr">
        <is>
          <t>Más főkategória terméke</t>
        </is>
      </c>
    </row>
    <row r="960">
      <c r="A960" s="17" t="inlineStr">
        <is>
          <t>GRO2827</t>
        </is>
      </c>
      <c r="B960" s="17" t="inlineStr">
        <is>
          <t>Secret Jardin Monkey Fan csíptethető ventilátor 20 W oszcilláló</t>
        </is>
      </c>
      <c r="C960" s="17" t="inlineStr">
        <is>
          <t>–</t>
        </is>
      </c>
      <c r="D960" s="17" t="inlineStr"/>
      <c r="E960" s="17" t="inlineStr">
        <is>
          <t>Nem tartozik ide</t>
        </is>
      </c>
      <c r="F960" s="17" t="inlineStr">
        <is>
          <t>az elmúlt 6 hónapban</t>
        </is>
      </c>
      <c r="G960" s="17" t="inlineStr">
        <is>
          <t>Más főkategória terméke</t>
        </is>
      </c>
    </row>
    <row r="961">
      <c r="A961" s="17" t="inlineStr">
        <is>
          <t>GRO2844</t>
        </is>
      </c>
      <c r="B961" s="17" t="inlineStr">
        <is>
          <t>Secret Jardin DRYIT szárítóháló Ø80 cm, 5 szintes, forgatható, hordtáskával</t>
        </is>
      </c>
      <c r="C961" s="17" t="inlineStr">
        <is>
          <t>–</t>
        </is>
      </c>
      <c r="D961" s="17" t="inlineStr"/>
      <c r="E961" s="17" t="inlineStr">
        <is>
          <t>Nem tartozik ide</t>
        </is>
      </c>
      <c r="F961" s="17" t="inlineStr">
        <is>
          <t>az elmúlt 30 napban</t>
        </is>
      </c>
      <c r="G961" s="17" t="inlineStr">
        <is>
          <t>Más főkategória terméke</t>
        </is>
      </c>
    </row>
    <row r="962">
      <c r="A962" s="17" t="inlineStr">
        <is>
          <t>GRO2845</t>
        </is>
      </c>
      <c r="B962" s="17" t="inlineStr">
        <is>
          <t>Secret Jardin DRYIT szárítóháló Ø45 cm, egyszintes, egymáshoz fűzhető</t>
        </is>
      </c>
      <c r="C962" s="17" t="inlineStr">
        <is>
          <t>–</t>
        </is>
      </c>
      <c r="D962" s="17" t="inlineStr"/>
      <c r="E962" s="17" t="inlineStr">
        <is>
          <t>Nem tartozik ide</t>
        </is>
      </c>
      <c r="F962" s="17" t="inlineStr">
        <is>
          <t>az elmúlt 30 napban</t>
        </is>
      </c>
      <c r="G962" s="17" t="inlineStr">
        <is>
          <t>Más főkategória terméke</t>
        </is>
      </c>
    </row>
    <row r="963">
      <c r="A963" s="17" t="inlineStr">
        <is>
          <t>GRO2846</t>
        </is>
      </c>
      <c r="B963" s="17" t="inlineStr">
        <is>
          <t>CANNA COGr Vega A/B kétkomponensű növekedési táp kókuszhoz 5 liter</t>
        </is>
      </c>
      <c r="C963" s="17" t="inlineStr">
        <is>
          <t>–</t>
        </is>
      </c>
      <c r="D963" s="17" t="inlineStr"/>
      <c r="E963" s="17" t="inlineStr">
        <is>
          <t>Nem tartozik ide</t>
        </is>
      </c>
      <c r="F963" s="17" t="inlineStr">
        <is>
          <t>az elmúlt 30 napban</t>
        </is>
      </c>
      <c r="G963" s="17" t="inlineStr">
        <is>
          <t>Más főkategória terméke</t>
        </is>
      </c>
    </row>
    <row r="964">
      <c r="A964" s="17" t="inlineStr">
        <is>
          <t>GRO2847</t>
        </is>
      </c>
      <c r="B964" s="17" t="inlineStr">
        <is>
          <t>CANNA COGr Flores A/B kétkomponensű virágzási táp kókuszhoz 5 liter</t>
        </is>
      </c>
      <c r="C964" s="17" t="inlineStr">
        <is>
          <t>–</t>
        </is>
      </c>
      <c r="D964" s="17" t="inlineStr"/>
      <c r="E964" s="17" t="inlineStr">
        <is>
          <t>Nem tartozik ide</t>
        </is>
      </c>
      <c r="F964" s="17" t="inlineStr">
        <is>
          <t>az elmúlt 30 napban</t>
        </is>
      </c>
      <c r="G964" s="17" t="inlineStr">
        <is>
          <t>Más főkategória terméke</t>
        </is>
      </c>
    </row>
    <row r="965">
      <c r="A965" s="17" t="inlineStr">
        <is>
          <t>GRO2850</t>
        </is>
      </c>
      <c r="B965" s="17" t="inlineStr">
        <is>
          <t>CANNA Aqua Clay Pebbles égetett agyaggolyó hidropóniás termesztéshez 45 liter</t>
        </is>
      </c>
      <c r="C965" s="17" t="inlineStr">
        <is>
          <t>–</t>
        </is>
      </c>
      <c r="D965" s="17" t="inlineStr"/>
      <c r="E965" s="17" t="inlineStr">
        <is>
          <t>Nem tartozik ide</t>
        </is>
      </c>
      <c r="F965" s="17" t="inlineStr">
        <is>
          <t>az elmúlt 30 napban</t>
        </is>
      </c>
      <c r="G965" s="17" t="inlineStr">
        <is>
          <t>Más főkategória terméke</t>
        </is>
      </c>
    </row>
    <row r="966">
      <c r="A966" s="17" t="inlineStr">
        <is>
          <t>GRO2852</t>
        </is>
      </c>
      <c r="B966" s="17" t="inlineStr">
        <is>
          <t>BioNova Micromix kelátos mikroelem-keverék nyomelemhiányra 5 liter</t>
        </is>
      </c>
      <c r="C966" s="17" t="inlineStr">
        <is>
          <t>–</t>
        </is>
      </c>
      <c r="D966" s="17" t="inlineStr"/>
      <c r="E966" s="17" t="inlineStr">
        <is>
          <t>Nem tartozik ide</t>
        </is>
      </c>
      <c r="F966" s="17" t="inlineStr">
        <is>
          <t>az elmúlt 30 napban</t>
        </is>
      </c>
      <c r="G966" s="17" t="inlineStr">
        <is>
          <t>Más főkategória terméke</t>
        </is>
      </c>
    </row>
    <row r="967">
      <c r="A967" s="17" t="inlineStr">
        <is>
          <t>GRO2861</t>
        </is>
      </c>
      <c r="B967" s="17" t="inlineStr">
        <is>
          <t>Secret Jardin Dark Street DS120W R4.00 termesztősátor 120x60x178 cm</t>
        </is>
      </c>
      <c r="C967" s="17" t="inlineStr">
        <is>
          <t>–</t>
        </is>
      </c>
      <c r="D967" s="17" t="inlineStr"/>
      <c r="E967" s="17" t="inlineStr">
        <is>
          <t>Nem tartozik ide</t>
        </is>
      </c>
      <c r="F967" s="17" t="inlineStr">
        <is>
          <t>az elmúlt 30 napban</t>
        </is>
      </c>
      <c r="G967" s="17" t="inlineStr">
        <is>
          <t>Más főkategória terméke</t>
        </is>
      </c>
    </row>
    <row r="968">
      <c r="A968" s="17" t="inlineStr">
        <is>
          <t>GRO2865</t>
        </is>
      </c>
      <c r="B968" s="17" t="inlineStr">
        <is>
          <t>Plagron Terra Grow 20 liter</t>
        </is>
      </c>
      <c r="C968" s="17" t="inlineStr">
        <is>
          <t>–</t>
        </is>
      </c>
      <c r="D968" s="17" t="inlineStr"/>
      <c r="E968" s="17" t="inlineStr">
        <is>
          <t>Nem tartozik ide</t>
        </is>
      </c>
      <c r="F968" s="17" t="inlineStr">
        <is>
          <t>az elmúlt 6 hónapban</t>
        </is>
      </c>
      <c r="G968" s="17" t="inlineStr">
        <is>
          <t>Más főkategória terméke</t>
        </is>
      </c>
    </row>
    <row r="969">
      <c r="A969" s="17" t="inlineStr">
        <is>
          <t>GRO2866</t>
        </is>
      </c>
      <c r="B969" s="17" t="inlineStr">
        <is>
          <t>Plagron Terra Bloom ásványi virágzási táp földhöz 20 liter</t>
        </is>
      </c>
      <c r="C969" s="17" t="inlineStr">
        <is>
          <t>–</t>
        </is>
      </c>
      <c r="D969" s="17" t="inlineStr"/>
      <c r="E969" s="17" t="inlineStr">
        <is>
          <t>Nem tartozik ide</t>
        </is>
      </c>
      <c r="F969" s="17" t="inlineStr">
        <is>
          <t>az elmúlt 30 napban</t>
        </is>
      </c>
      <c r="G969" s="17" t="inlineStr">
        <is>
          <t>Más főkategória terméke</t>
        </is>
      </c>
    </row>
    <row r="970">
      <c r="A970" s="17" t="inlineStr">
        <is>
          <t>GRO2869</t>
        </is>
      </c>
      <c r="B970" s="17" t="inlineStr">
        <is>
          <t>BioNova N 27 5 liter</t>
        </is>
      </c>
      <c r="C970" s="17" t="inlineStr">
        <is>
          <t>–</t>
        </is>
      </c>
      <c r="D970" s="17" t="inlineStr"/>
      <c r="E970" s="17" t="inlineStr">
        <is>
          <t>Nem tartozik ide</t>
        </is>
      </c>
      <c r="F970" s="17" t="inlineStr">
        <is>
          <t>2025-10 – 2026-04</t>
        </is>
      </c>
      <c r="G970" s="17" t="inlineStr">
        <is>
          <t>Más főkategória terméke</t>
        </is>
      </c>
    </row>
    <row r="971">
      <c r="A971" s="17" t="inlineStr">
        <is>
          <t>GRO2872</t>
        </is>
      </c>
      <c r="B971" s="17" t="inlineStr">
        <is>
          <t>Hesi Pro-Line SuperVit 500 ml</t>
        </is>
      </c>
      <c r="C971" s="17" t="inlineStr">
        <is>
          <t>–</t>
        </is>
      </c>
      <c r="D971" s="17" t="inlineStr"/>
      <c r="E971" s="17" t="inlineStr">
        <is>
          <t>Nem tartozik ide</t>
        </is>
      </c>
      <c r="F971" s="17" t="inlineStr">
        <is>
          <t>2024-10 – 2025-09 (lehet, hogy már nem aktív)</t>
        </is>
      </c>
      <c r="G971" s="17" t="inlineStr">
        <is>
          <t>Más főkategória terméke</t>
        </is>
      </c>
    </row>
    <row r="972">
      <c r="A972" s="17" t="inlineStr">
        <is>
          <t>GRO2876</t>
        </is>
      </c>
      <c r="B972" s="17" t="inlineStr">
        <is>
          <t>Lumatek HPS Dual Spektrum izzó 250 W</t>
        </is>
      </c>
      <c r="C972" s="17" t="inlineStr">
        <is>
          <t>–</t>
        </is>
      </c>
      <c r="D972" s="17" t="inlineStr"/>
      <c r="E972" s="17" t="inlineStr">
        <is>
          <t>Nem tartozik ide</t>
        </is>
      </c>
      <c r="F972" s="17" t="inlineStr">
        <is>
          <t>az elmúlt 6 hónapban</t>
        </is>
      </c>
      <c r="G972" s="17" t="inlineStr">
        <is>
          <t>Más főkategória terméke</t>
        </is>
      </c>
    </row>
    <row r="973">
      <c r="A973" s="17" t="inlineStr">
        <is>
          <t>GRO2877</t>
        </is>
      </c>
      <c r="B973" s="17" t="inlineStr">
        <is>
          <t>Lumatek HPS Dual Spektrum izzó 400 W</t>
        </is>
      </c>
      <c r="C973" s="17" t="inlineStr">
        <is>
          <t>–</t>
        </is>
      </c>
      <c r="D973" s="17" t="inlineStr"/>
      <c r="E973" s="17" t="inlineStr">
        <is>
          <t>Nem tartozik ide</t>
        </is>
      </c>
      <c r="F973" s="17" t="inlineStr">
        <is>
          <t>az elmúlt 30 napban</t>
        </is>
      </c>
      <c r="G973" s="17" t="inlineStr">
        <is>
          <t>Más főkategória terméke</t>
        </is>
      </c>
    </row>
    <row r="974">
      <c r="A974" s="17" t="inlineStr">
        <is>
          <t>GRO2879</t>
        </is>
      </c>
      <c r="B974" s="17" t="inlineStr">
        <is>
          <t>Lumatek HPS Dual Spectrum nátriumlámpa izzó 1000 W, E40, virágzáshoz</t>
        </is>
      </c>
      <c r="C974" s="17" t="inlineStr">
        <is>
          <t>–</t>
        </is>
      </c>
      <c r="D974" s="17" t="inlineStr"/>
      <c r="E974" s="17" t="inlineStr">
        <is>
          <t>Nem tartozik ide</t>
        </is>
      </c>
      <c r="F974" s="17" t="inlineStr">
        <is>
          <t>az elmúlt 30 napban</t>
        </is>
      </c>
      <c r="G974" s="17" t="inlineStr">
        <is>
          <t>Más főkategória terméke</t>
        </is>
      </c>
    </row>
    <row r="975">
      <c r="A975" s="17" t="inlineStr">
        <is>
          <t>GRO2880</t>
        </is>
      </c>
      <c r="B975" s="17" t="inlineStr">
        <is>
          <t>Lumatek MH izzó 250 W</t>
        </is>
      </c>
      <c r="C975" s="17" t="inlineStr">
        <is>
          <t>–</t>
        </is>
      </c>
      <c r="D975" s="17" t="inlineStr"/>
      <c r="E975" s="17" t="inlineStr">
        <is>
          <t>Nem tartozik ide</t>
        </is>
      </c>
      <c r="F975" s="17" t="inlineStr">
        <is>
          <t>az elmúlt 6 hónapban</t>
        </is>
      </c>
      <c r="G975" s="17" t="inlineStr">
        <is>
          <t>Más főkategória terméke</t>
        </is>
      </c>
    </row>
    <row r="976">
      <c r="A976" s="17" t="inlineStr">
        <is>
          <t>GRO2881</t>
        </is>
      </c>
      <c r="B976" s="17" t="inlineStr">
        <is>
          <t>Lumatek MH izzó 400 W</t>
        </is>
      </c>
      <c r="C976" s="17" t="inlineStr">
        <is>
          <t>–</t>
        </is>
      </c>
      <c r="D976" s="17" t="inlineStr"/>
      <c r="E976" s="17" t="inlineStr">
        <is>
          <t>Nem tartozik ide</t>
        </is>
      </c>
      <c r="F976" s="17" t="inlineStr">
        <is>
          <t>2025-10 – 2026-04</t>
        </is>
      </c>
      <c r="G976" s="17" t="inlineStr">
        <is>
          <t>Más főkategória terméke</t>
        </is>
      </c>
    </row>
    <row r="977">
      <c r="A977" s="17" t="inlineStr">
        <is>
          <t>GRO2882</t>
        </is>
      </c>
      <c r="B977" s="17" t="inlineStr">
        <is>
          <t>Lumatek MH izzó 600 W</t>
        </is>
      </c>
      <c r="C977" s="17" t="inlineStr">
        <is>
          <t>–</t>
        </is>
      </c>
      <c r="D977" s="17" t="inlineStr"/>
      <c r="E977" s="17" t="inlineStr">
        <is>
          <t>Nem tartozik ide</t>
        </is>
      </c>
      <c r="F977" s="17" t="inlineStr">
        <is>
          <t>2025-10 – 2026-04</t>
        </is>
      </c>
      <c r="G977" s="17" t="inlineStr">
        <is>
          <t>Más főkategória terméke</t>
        </is>
      </c>
    </row>
    <row r="978">
      <c r="A978" s="17" t="inlineStr">
        <is>
          <t>GRO2883</t>
        </is>
      </c>
      <c r="B978" s="17" t="inlineStr">
        <is>
          <t>Lumatek MH fémhalogén izzó 1000 W, 4000 K, E40, növekedési szakaszhoz</t>
        </is>
      </c>
      <c r="C978" s="17" t="inlineStr">
        <is>
          <t>–</t>
        </is>
      </c>
      <c r="D978" s="17" t="inlineStr"/>
      <c r="E978" s="17" t="inlineStr">
        <is>
          <t>Nem tartozik ide</t>
        </is>
      </c>
      <c r="F978" s="17" t="inlineStr">
        <is>
          <t>az elmúlt 30 napban</t>
        </is>
      </c>
      <c r="G978" s="17" t="inlineStr">
        <is>
          <t>Más főkategória terméke</t>
        </is>
      </c>
    </row>
    <row r="979">
      <c r="A979" s="17" t="inlineStr">
        <is>
          <t>GRO2884</t>
        </is>
      </c>
      <c r="B979" s="17" t="inlineStr">
        <is>
          <t>Plagron Cocos A/B kétkomponensű ásványi alaptáp kókuszhoz 20 liter</t>
        </is>
      </c>
      <c r="C979" s="17" t="inlineStr">
        <is>
          <t>–</t>
        </is>
      </c>
      <c r="D979" s="17" t="inlineStr"/>
      <c r="E979" s="17" t="inlineStr">
        <is>
          <t>Nem tartozik ide</t>
        </is>
      </c>
      <c r="F979" s="17" t="inlineStr">
        <is>
          <t>az elmúlt 30 napban</t>
        </is>
      </c>
      <c r="G979" s="17" t="inlineStr">
        <is>
          <t>Más főkategória terméke</t>
        </is>
      </c>
    </row>
    <row r="980">
      <c r="A980" s="17" t="inlineStr">
        <is>
          <t>GRO2889</t>
        </is>
      </c>
      <c r="B980" s="17" t="inlineStr">
        <is>
          <t>Alumínium ragasztószalag 50 mm, 50 m, légzáró, UV-álló, légcsatornákhoz</t>
        </is>
      </c>
      <c r="C980" s="17" t="inlineStr">
        <is>
          <t>–</t>
        </is>
      </c>
      <c r="D980" s="17" t="inlineStr"/>
      <c r="E980" s="17" t="inlineStr">
        <is>
          <t>Nem tartozik ide</t>
        </is>
      </c>
      <c r="F980" s="17" t="inlineStr">
        <is>
          <t>az elmúlt 30 napban</t>
        </is>
      </c>
      <c r="G980" s="17" t="inlineStr">
        <is>
          <t>Más főkategória terméke</t>
        </is>
      </c>
    </row>
    <row r="981">
      <c r="A981" s="17" t="inlineStr">
        <is>
          <t>GRO2890</t>
        </is>
      </c>
      <c r="B981" s="17" t="inlineStr">
        <is>
          <t>Alumínium ragasztószalag 50 mm, 30 m, légzáró, UV-álló, légcsatornákhoz</t>
        </is>
      </c>
      <c r="C981" s="17" t="inlineStr">
        <is>
          <t>–</t>
        </is>
      </c>
      <c r="D981" s="17" t="inlineStr"/>
      <c r="E981" s="17" t="inlineStr">
        <is>
          <t>Nem tartozik ide</t>
        </is>
      </c>
      <c r="F981" s="17" t="inlineStr">
        <is>
          <t>az elmúlt 30 napban</t>
        </is>
      </c>
      <c r="G981" s="17" t="inlineStr">
        <is>
          <t>Más főkategória terméke</t>
        </is>
      </c>
    </row>
    <row r="982">
      <c r="A982" s="17" t="inlineStr">
        <is>
          <t>GRO2891</t>
        </is>
      </c>
      <c r="B982" s="17" t="inlineStr">
        <is>
          <t>Alumínium ragasztószalag 50 mm, 10 m, légzáró, UV-álló, légcsatornákhoz</t>
        </is>
      </c>
      <c r="C982" s="17" t="inlineStr">
        <is>
          <t>–</t>
        </is>
      </c>
      <c r="D982" s="17" t="inlineStr"/>
      <c r="E982" s="17" t="inlineStr">
        <is>
          <t>Nem tartozik ide</t>
        </is>
      </c>
      <c r="F982" s="17" t="inlineStr">
        <is>
          <t>az elmúlt 30 napban</t>
        </is>
      </c>
      <c r="G982" s="17" t="inlineStr">
        <is>
          <t>Más főkategória terméke</t>
        </is>
      </c>
    </row>
    <row r="983">
      <c r="A983" s="17" t="inlineStr">
        <is>
          <t>GRO2892</t>
        </is>
      </c>
      <c r="B983" s="17" t="inlineStr">
        <is>
          <t>Kókusztégla mosott csomagolt</t>
        </is>
      </c>
      <c r="C983" s="17" t="inlineStr">
        <is>
          <t>–</t>
        </is>
      </c>
      <c r="D983" s="17" t="inlineStr"/>
      <c r="E983" s="17" t="inlineStr">
        <is>
          <t>Nem tartozik ide</t>
        </is>
      </c>
      <c r="F983" s="17" t="inlineStr">
        <is>
          <t>az elmúlt 30 napban</t>
        </is>
      </c>
      <c r="G983" s="17" t="inlineStr">
        <is>
          <t>Más főkategória terméke</t>
        </is>
      </c>
    </row>
    <row r="984">
      <c r="A984" s="17" t="inlineStr">
        <is>
          <t>GRO2895</t>
        </is>
      </c>
      <c r="B984" s="17" t="inlineStr">
        <is>
          <t>Vents VK Q 250 centrifugális csatornaventilátor 250 mm, műanyag házzal, nedves helyiségekbe is</t>
        </is>
      </c>
      <c r="C984" s="17" t="inlineStr">
        <is>
          <t>–</t>
        </is>
      </c>
      <c r="D984" s="17" t="inlineStr"/>
      <c r="E984" s="17" t="inlineStr">
        <is>
          <t>Nem tartozik ide</t>
        </is>
      </c>
      <c r="F984" s="17" t="inlineStr">
        <is>
          <t>az elmúlt 30 napban</t>
        </is>
      </c>
      <c r="G984" s="17" t="inlineStr">
        <is>
          <t>Más főkategória terméke</t>
        </is>
      </c>
    </row>
    <row r="985">
      <c r="A985" s="17" t="inlineStr">
        <is>
          <t>GRO2912</t>
        </is>
      </c>
      <c r="B985" s="17" t="inlineStr">
        <is>
          <t>CANNA Coco Professional Plus pufferelt kókuszrost termesztőközeg 50 liter</t>
        </is>
      </c>
      <c r="C985" s="17" t="inlineStr">
        <is>
          <t>–</t>
        </is>
      </c>
      <c r="D985" s="17" t="inlineStr"/>
      <c r="E985" s="17" t="inlineStr">
        <is>
          <t>Nem tartozik ide</t>
        </is>
      </c>
      <c r="F985" s="17" t="inlineStr">
        <is>
          <t>az elmúlt 30 napban</t>
        </is>
      </c>
      <c r="G985" s="17" t="inlineStr">
        <is>
          <t>Más főkategória terméke</t>
        </is>
      </c>
    </row>
    <row r="986">
      <c r="A986" s="17" t="inlineStr">
        <is>
          <t>GRO2919</t>
        </is>
      </c>
      <c r="B986" s="17" t="inlineStr">
        <is>
          <t>Plagron Alga Bloom algás bio virágzási táp földhöz 10 liter</t>
        </is>
      </c>
      <c r="C986" s="17" t="inlineStr">
        <is>
          <t>–</t>
        </is>
      </c>
      <c r="D986" s="17" t="inlineStr"/>
      <c r="E986" s="17" t="inlineStr">
        <is>
          <t>Nem tartozik ide</t>
        </is>
      </c>
      <c r="F986" s="17" t="inlineStr">
        <is>
          <t>az elmúlt 30 napban</t>
        </is>
      </c>
      <c r="G986" s="17" t="inlineStr">
        <is>
          <t>Más főkategória terméke</t>
        </is>
      </c>
    </row>
    <row r="987">
      <c r="A987" s="17" t="inlineStr">
        <is>
          <t>GRO2920</t>
        </is>
      </c>
      <c r="B987" s="17" t="inlineStr">
        <is>
          <t>Plagron Alga Grow 10 liter</t>
        </is>
      </c>
      <c r="C987" s="17" t="inlineStr">
        <is>
          <t>–</t>
        </is>
      </c>
      <c r="D987" s="17" t="inlineStr"/>
      <c r="E987" s="17" t="inlineStr">
        <is>
          <t>Nem tartozik ide</t>
        </is>
      </c>
      <c r="F987" s="17" t="inlineStr">
        <is>
          <t>az elmúlt 6 hónapban</t>
        </is>
      </c>
      <c r="G987" s="17" t="inlineStr">
        <is>
          <t>Más főkategória terméke</t>
        </is>
      </c>
    </row>
    <row r="988">
      <c r="A988" s="17" t="inlineStr">
        <is>
          <t>GRO2921</t>
        </is>
      </c>
      <c r="B988" s="17" t="inlineStr">
        <is>
          <t>Can Filters Can-Lite 800 aktív szénszűrő acél házzal, 800 m3/h, 200 mm szűrővég</t>
        </is>
      </c>
      <c r="C988" s="17" t="inlineStr">
        <is>
          <t>–</t>
        </is>
      </c>
      <c r="D988" s="17" t="inlineStr"/>
      <c r="E988" s="17" t="inlineStr">
        <is>
          <t>Nem tartozik ide</t>
        </is>
      </c>
      <c r="F988" s="17" t="inlineStr">
        <is>
          <t>az elmúlt 30 napban</t>
        </is>
      </c>
      <c r="G988" s="17" t="inlineStr">
        <is>
          <t>Más főkategória terméke</t>
        </is>
      </c>
    </row>
    <row r="989">
      <c r="A989" s="17" t="inlineStr">
        <is>
          <t>GRO2934</t>
        </is>
      </c>
      <c r="B989" s="17" t="inlineStr">
        <is>
          <t>Aquatek pH 6,86 kalibráló por egy tasak, pH mérők kalibrálásához</t>
        </is>
      </c>
      <c r="C989" s="17" t="inlineStr">
        <is>
          <t>–</t>
        </is>
      </c>
      <c r="D989" s="17" t="inlineStr"/>
      <c r="E989" s="17" t="inlineStr">
        <is>
          <t>Nem tartozik ide</t>
        </is>
      </c>
      <c r="F989" s="17" t="inlineStr">
        <is>
          <t>az elmúlt 30 napban</t>
        </is>
      </c>
      <c r="G989" s="17" t="inlineStr">
        <is>
          <t>Más főkategória terméke</t>
        </is>
      </c>
    </row>
    <row r="990">
      <c r="A990" s="17" t="inlineStr">
        <is>
          <t>GRO2935</t>
        </is>
      </c>
      <c r="B990" s="17" t="inlineStr">
        <is>
          <t>Aquatek digitális TDS és EC mérő 0–9999 ppm, hőmérséklet-kijelzéssel és Hold funkcióval</t>
        </is>
      </c>
      <c r="C990" s="17" t="inlineStr">
        <is>
          <t>–</t>
        </is>
      </c>
      <c r="D990" s="17" t="inlineStr"/>
      <c r="E990" s="17" t="inlineStr">
        <is>
          <t>Nem tartozik ide</t>
        </is>
      </c>
      <c r="F990" s="17" t="inlineStr">
        <is>
          <t>az elmúlt 30 napban</t>
        </is>
      </c>
      <c r="G990" s="17" t="inlineStr">
        <is>
          <t>Más főkategória terméke</t>
        </is>
      </c>
    </row>
    <row r="991">
      <c r="A991" s="17" t="inlineStr">
        <is>
          <t>GRO2938</t>
        </is>
      </c>
      <c r="B991" s="17" t="inlineStr">
        <is>
          <t>Fűthető propagátor 38,5x24x20 cm, szellőzős magas fedéllel, termosztát nélkül</t>
        </is>
      </c>
      <c r="C991" s="17" t="inlineStr">
        <is>
          <t>–</t>
        </is>
      </c>
      <c r="D991" s="17" t="inlineStr"/>
      <c r="E991" s="17" t="inlineStr">
        <is>
          <t>Nem tartozik ide</t>
        </is>
      </c>
      <c r="F991" s="17" t="inlineStr">
        <is>
          <t>az elmúlt 30 napban</t>
        </is>
      </c>
      <c r="G991" s="17" t="inlineStr">
        <is>
          <t>Más főkategória terméke</t>
        </is>
      </c>
    </row>
    <row r="992">
      <c r="A992" s="17" t="inlineStr">
        <is>
          <t>GRO2939</t>
        </is>
      </c>
      <c r="B992" s="17" t="inlineStr">
        <is>
          <t>Önöntöző propagátor 24 cellás, víztartállyal és kapilláris szőnyeggel, 37,5x23x16 cm</t>
        </is>
      </c>
      <c r="C992" s="17" t="inlineStr">
        <is>
          <t>–</t>
        </is>
      </c>
      <c r="D992" s="17" t="inlineStr"/>
      <c r="E992" s="17" t="inlineStr">
        <is>
          <t>Nem tartozik ide</t>
        </is>
      </c>
      <c r="F992" s="17" t="inlineStr">
        <is>
          <t>az elmúlt 30 napban</t>
        </is>
      </c>
      <c r="G992" s="17" t="inlineStr">
        <is>
          <t>Más főkategória terméke</t>
        </is>
      </c>
    </row>
    <row r="993">
      <c r="A993" s="17" t="inlineStr">
        <is>
          <t>GRO2940</t>
        </is>
      </c>
      <c r="B993" s="17" t="inlineStr">
        <is>
          <t>Fűthető propagátor 4 részes, 4 szellőzős egységgel, 40 W, termosztáttal, 59,5x41x20 cm</t>
        </is>
      </c>
      <c r="C993" s="17" t="inlineStr">
        <is>
          <t>–</t>
        </is>
      </c>
      <c r="D993" s="17" t="inlineStr"/>
      <c r="E993" s="17" t="inlineStr">
        <is>
          <t>Nem tartozik ide</t>
        </is>
      </c>
      <c r="F993" s="17" t="inlineStr">
        <is>
          <t>az elmúlt 30 napban</t>
        </is>
      </c>
      <c r="G993" s="17" t="inlineStr">
        <is>
          <t>Más főkategória terméke</t>
        </is>
      </c>
    </row>
    <row r="994">
      <c r="A994" s="17" t="inlineStr">
        <is>
          <t>GRO2941</t>
        </is>
      </c>
      <c r="B994" s="17" t="inlineStr">
        <is>
          <t>Fűthető propagátor 3 részes, 13 W szénszálas fűtéssel, 38,5x24x17,5 cm</t>
        </is>
      </c>
      <c r="C994" s="17" t="inlineStr">
        <is>
          <t>–</t>
        </is>
      </c>
      <c r="D994" s="17" t="inlineStr"/>
      <c r="E994" s="17" t="inlineStr">
        <is>
          <t>Nem tartozik ide</t>
        </is>
      </c>
      <c r="F994" s="17" t="inlineStr">
        <is>
          <t>az elmúlt 30 napban</t>
        </is>
      </c>
      <c r="G994" s="17" t="inlineStr">
        <is>
          <t>Más főkategória terméke</t>
        </is>
      </c>
    </row>
    <row r="995">
      <c r="A995" s="17" t="inlineStr">
        <is>
          <t>GRO2942</t>
        </is>
      </c>
      <c r="B995" s="17" t="inlineStr">
        <is>
          <t>Urban Garden fehér konyhakert kicsi</t>
        </is>
      </c>
      <c r="C995" s="17" t="inlineStr">
        <is>
          <t>–</t>
        </is>
      </c>
      <c r="D995" s="17" t="inlineStr"/>
      <c r="E995" s="17" t="inlineStr">
        <is>
          <t>Nem tartozik ide</t>
        </is>
      </c>
      <c r="F995" s="17" t="inlineStr">
        <is>
          <t>2025-10 – 2026-04</t>
        </is>
      </c>
      <c r="G995" s="17" t="inlineStr">
        <is>
          <t>Más főkategória terméke</t>
        </is>
      </c>
    </row>
    <row r="996">
      <c r="A996" s="17" t="inlineStr">
        <is>
          <t>GRO2943</t>
        </is>
      </c>
      <c r="B996" s="17" t="inlineStr">
        <is>
          <t>Urban Garden fehér konyhakert nagy, 2 x 24 W 6400K LED világítással, 62 x 40 x 47 cm</t>
        </is>
      </c>
      <c r="C996" s="17" t="inlineStr">
        <is>
          <t>–</t>
        </is>
      </c>
      <c r="D996" s="17" t="inlineStr"/>
      <c r="E996" s="17" t="inlineStr">
        <is>
          <t>Nem tartozik ide</t>
        </is>
      </c>
      <c r="F996" s="17" t="inlineStr">
        <is>
          <t>az elmúlt 30 napban</t>
        </is>
      </c>
      <c r="G996" s="17" t="inlineStr">
        <is>
          <t>Más főkategória terméke</t>
        </is>
      </c>
    </row>
    <row r="997">
      <c r="A997" s="17" t="inlineStr">
        <is>
          <t>GRO2948</t>
        </is>
      </c>
      <c r="B997" s="17" t="inlineStr">
        <is>
          <t>Aquatek digitális zseb pH mérő 0,00–14,00 pH, 0,01 pH felbontással, kétpontos kalibrálással</t>
        </is>
      </c>
      <c r="C997" s="17" t="inlineStr">
        <is>
          <t>–</t>
        </is>
      </c>
      <c r="D997" s="17" t="inlineStr"/>
      <c r="E997" s="17" t="inlineStr">
        <is>
          <t>Nem tartozik ide</t>
        </is>
      </c>
      <c r="F997" s="17" t="inlineStr">
        <is>
          <t>az elmúlt 30 napban</t>
        </is>
      </c>
      <c r="G997" s="17" t="inlineStr">
        <is>
          <t>Más főkategória terméke</t>
        </is>
      </c>
    </row>
    <row r="998">
      <c r="A998" s="17" t="inlineStr">
        <is>
          <t>GRO2963</t>
        </is>
      </c>
      <c r="B998" s="17" t="inlineStr">
        <is>
          <t>Aptus Break-Out Powder vízoldható PK virágzásfokozó por NPK 0-35-23, 100 g</t>
        </is>
      </c>
      <c r="C998" s="17" t="inlineStr">
        <is>
          <t>–</t>
        </is>
      </c>
      <c r="D998" s="17" t="inlineStr"/>
      <c r="E998" s="17" t="inlineStr">
        <is>
          <t>Nem tartozik ide</t>
        </is>
      </c>
      <c r="F998" s="17" t="inlineStr">
        <is>
          <t>az elmúlt 30 napban</t>
        </is>
      </c>
      <c r="G998" s="17" t="inlineStr">
        <is>
          <t>Más főkategória terméke</t>
        </is>
      </c>
    </row>
    <row r="999">
      <c r="A999" s="17" t="inlineStr">
        <is>
          <t>GRO2988</t>
        </is>
      </c>
      <c r="B999" s="17" t="inlineStr">
        <is>
          <t>UV-A higanygőz lámpa E40</t>
        </is>
      </c>
      <c r="C999" s="17" t="inlineStr">
        <is>
          <t>–</t>
        </is>
      </c>
      <c r="D999" s="17" t="inlineStr"/>
      <c r="E999" s="17" t="inlineStr">
        <is>
          <t>Nem tartozik ide</t>
        </is>
      </c>
      <c r="F999" s="17" t="inlineStr">
        <is>
          <t>az elmúlt 6 hónapban</t>
        </is>
      </c>
      <c r="G999" s="17" t="inlineStr">
        <is>
          <t>Más főkategória terméke</t>
        </is>
      </c>
    </row>
    <row r="1000">
      <c r="A1000" s="17" t="inlineStr">
        <is>
          <t>GRO2989</t>
        </is>
      </c>
      <c r="B1000" s="17" t="inlineStr">
        <is>
          <t>Can-Fan Max-Fan Pro AC diagonális csőventilátor 315 mm, 3180 m3/h, 3 fokozatú kapcsolóval</t>
        </is>
      </c>
      <c r="C1000" s="17" t="inlineStr">
        <is>
          <t>–</t>
        </is>
      </c>
      <c r="D1000" s="17" t="inlineStr"/>
      <c r="E1000" s="17" t="inlineStr">
        <is>
          <t>Nem tartozik ide</t>
        </is>
      </c>
      <c r="F1000" s="17" t="inlineStr">
        <is>
          <t>az elmúlt 30 napban</t>
        </is>
      </c>
      <c r="G1000" s="17" t="inlineStr">
        <is>
          <t>Más főkategória terméke</t>
        </is>
      </c>
    </row>
    <row r="1001">
      <c r="A1001" s="17" t="inlineStr">
        <is>
          <t>GRO2990</t>
        </is>
      </c>
      <c r="B1001" s="17" t="inlineStr">
        <is>
          <t>Can-Fan MAX-Fan Pro 2 sebességes AC ventilátor 1660 m3/h</t>
        </is>
      </c>
      <c r="C1001" s="17" t="inlineStr">
        <is>
          <t>–</t>
        </is>
      </c>
      <c r="D1001" s="17" t="inlineStr"/>
      <c r="E1001" s="17" t="inlineStr">
        <is>
          <t>Nem tartozik ide</t>
        </is>
      </c>
      <c r="F1001" s="17" t="inlineStr">
        <is>
          <t>az elmúlt 30 napban</t>
        </is>
      </c>
      <c r="G1001" s="17" t="inlineStr">
        <is>
          <t>Más főkategória terméke</t>
        </is>
      </c>
    </row>
    <row r="1002">
      <c r="A1002" s="17" t="inlineStr">
        <is>
          <t>GRO2991</t>
        </is>
      </c>
      <c r="B1002" s="17" t="inlineStr">
        <is>
          <t>Can-Fan MAX-Fan Pro 2 sebességes AC ventilátor 1220 m3/h</t>
        </is>
      </c>
      <c r="C1002" s="17" t="inlineStr">
        <is>
          <t>–</t>
        </is>
      </c>
      <c r="D1002" s="17" t="inlineStr"/>
      <c r="E1002" s="17" t="inlineStr">
        <is>
          <t>Nem tartozik ide</t>
        </is>
      </c>
      <c r="F1002" s="17" t="inlineStr">
        <is>
          <t>az elmúlt 6 hónapban</t>
        </is>
      </c>
      <c r="G1002" s="17" t="inlineStr">
        <is>
          <t>Más főkategória terméke</t>
        </is>
      </c>
    </row>
    <row r="1003">
      <c r="A1003" s="17" t="inlineStr">
        <is>
          <t>GRO2992</t>
        </is>
      </c>
      <c r="B1003" s="17" t="inlineStr">
        <is>
          <t>Can-Fan Max-Fan Pro AC diagonális csőventilátor 150 mm, 600 m3/h, 2 fokozatú kapcsolóval</t>
        </is>
      </c>
      <c r="C1003" s="17" t="inlineStr">
        <is>
          <t>–</t>
        </is>
      </c>
      <c r="D1003" s="17" t="inlineStr"/>
      <c r="E1003" s="17" t="inlineStr">
        <is>
          <t>Nem tartozik ide</t>
        </is>
      </c>
      <c r="F1003" s="17" t="inlineStr">
        <is>
          <t>az elmúlt 30 napban</t>
        </is>
      </c>
      <c r="G1003" s="17" t="inlineStr">
        <is>
          <t>Más főkategória terméke</t>
        </is>
      </c>
    </row>
    <row r="1004">
      <c r="A1004" s="17" t="inlineStr">
        <is>
          <t>GRO2997</t>
        </is>
      </c>
      <c r="B1004" s="17" t="inlineStr">
        <is>
          <t>Agrolite Clase 2 mágneses trafó 400 W HPS és MH izzókhoz, 230 V</t>
        </is>
      </c>
      <c r="C1004" s="17" t="inlineStr">
        <is>
          <t>–</t>
        </is>
      </c>
      <c r="D1004" s="17" t="inlineStr"/>
      <c r="E1004" s="17" t="inlineStr">
        <is>
          <t>Nem tartozik ide</t>
        </is>
      </c>
      <c r="F1004" s="17" t="inlineStr">
        <is>
          <t>az elmúlt 30 napban</t>
        </is>
      </c>
      <c r="G1004" s="17" t="inlineStr">
        <is>
          <t>Más főkategória terméke</t>
        </is>
      </c>
    </row>
    <row r="1005">
      <c r="A1005" s="17" t="inlineStr">
        <is>
          <t>GRO3012</t>
        </is>
      </c>
      <c r="B1005" s="17" t="inlineStr">
        <is>
          <t>Advanced Nutrients Bud Factor X virágzási biostimulátor és szárerősítő 5 liter</t>
        </is>
      </c>
      <c r="C1005" s="17" t="inlineStr">
        <is>
          <t>–</t>
        </is>
      </c>
      <c r="D1005" s="17" t="inlineStr"/>
      <c r="E1005" s="17" t="inlineStr">
        <is>
          <t>Nem tartozik ide</t>
        </is>
      </c>
      <c r="F1005" s="17" t="inlineStr">
        <is>
          <t>az elmúlt 30 napban</t>
        </is>
      </c>
      <c r="G1005" s="17" t="inlineStr">
        <is>
          <t>Más főkategória terméke</t>
        </is>
      </c>
    </row>
    <row r="1006">
      <c r="A1006" s="17" t="inlineStr">
        <is>
          <t>GRO3020</t>
        </is>
      </c>
      <c r="B1006" s="17" t="inlineStr">
        <is>
          <t>Atami Bloombastic PK 14-15 virágzásserkentő, 50 ml</t>
        </is>
      </c>
      <c r="C1006" s="17" t="inlineStr">
        <is>
          <t>–</t>
        </is>
      </c>
      <c r="D1006" s="17" t="inlineStr"/>
      <c r="E1006" s="17" t="inlineStr">
        <is>
          <t>Nem tartozik ide</t>
        </is>
      </c>
      <c r="F1006" s="17" t="inlineStr">
        <is>
          <t>az elmúlt 30 napban</t>
        </is>
      </c>
      <c r="G1006" s="17" t="inlineStr">
        <is>
          <t>Más főkategória terméke</t>
        </is>
      </c>
    </row>
    <row r="1007">
      <c r="A1007" s="17" t="inlineStr">
        <is>
          <t>GRO3023</t>
        </is>
      </c>
      <c r="B1007" s="17" t="inlineStr">
        <is>
          <t>Aluflex cső 5m 102 mm</t>
        </is>
      </c>
      <c r="C1007" s="17" t="inlineStr">
        <is>
          <t>–</t>
        </is>
      </c>
      <c r="D1007" s="17" t="inlineStr"/>
      <c r="E1007" s="17" t="inlineStr">
        <is>
          <t>Nem tartozik ide</t>
        </is>
      </c>
      <c r="F1007" s="17" t="inlineStr">
        <is>
          <t>2024-10 – 2025-09 (lehet, hogy már nem aktív)</t>
        </is>
      </c>
      <c r="G1007" s="17" t="inlineStr">
        <is>
          <t>Más főkategória terméke</t>
        </is>
      </c>
    </row>
    <row r="1008">
      <c r="A1008" s="17" t="inlineStr">
        <is>
          <t>GRO3025</t>
        </is>
      </c>
      <c r="B1008" s="17" t="inlineStr">
        <is>
          <t>Aluflex cső 5m 152 mm</t>
        </is>
      </c>
      <c r="C1008" s="17" t="inlineStr">
        <is>
          <t>–</t>
        </is>
      </c>
      <c r="D1008" s="17" t="inlineStr"/>
      <c r="E1008" s="17" t="inlineStr">
        <is>
          <t>Nem tartozik ide</t>
        </is>
      </c>
      <c r="F1008" s="17" t="inlineStr">
        <is>
          <t>2024-10 – 2025-09 (lehet, hogy már nem aktív)</t>
        </is>
      </c>
      <c r="G1008" s="17" t="inlineStr">
        <is>
          <t>Más főkategória terméke</t>
        </is>
      </c>
    </row>
    <row r="1009">
      <c r="A1009" s="17" t="inlineStr">
        <is>
          <t>GRO3028</t>
        </is>
      </c>
      <c r="B1009" s="17" t="inlineStr">
        <is>
          <t>Flexibilis alumínium légcsatorna cső Aluflex 315 mm, 5 m</t>
        </is>
      </c>
      <c r="C1009" s="17" t="inlineStr">
        <is>
          <t>–</t>
        </is>
      </c>
      <c r="D1009" s="17" t="inlineStr"/>
      <c r="E1009" s="17" t="inlineStr">
        <is>
          <t>Nem tartozik ide</t>
        </is>
      </c>
      <c r="F1009" s="17" t="inlineStr">
        <is>
          <t>az elmúlt 30 napban</t>
        </is>
      </c>
      <c r="G1009" s="17" t="inlineStr">
        <is>
          <t>Más főkategória terméke</t>
        </is>
      </c>
    </row>
    <row r="1010">
      <c r="A1010" s="17" t="inlineStr">
        <is>
          <t>GRO3035</t>
        </is>
      </c>
      <c r="B1010" s="17" t="inlineStr">
        <is>
          <t>Secret Jardin Monkey Fan csíptethető ventilátor 30W</t>
        </is>
      </c>
      <c r="C1010" s="17" t="inlineStr">
        <is>
          <t>–</t>
        </is>
      </c>
      <c r="D1010" s="17" t="inlineStr"/>
      <c r="E1010" s="17" t="inlineStr">
        <is>
          <t>Nem tartozik ide</t>
        </is>
      </c>
      <c r="F1010" s="17" t="inlineStr">
        <is>
          <t>2025-10 – 2026-04</t>
        </is>
      </c>
      <c r="G1010" s="17" t="inlineStr">
        <is>
          <t>Más főkategória terméke</t>
        </is>
      </c>
    </row>
    <row r="1011">
      <c r="A1011" s="17" t="inlineStr">
        <is>
          <t>GRO3036</t>
        </is>
      </c>
      <c r="B1011" s="17" t="inlineStr">
        <is>
          <t>Advanced Nutrients Bud Candy szénhidrátos biostimulátor magnéziummal 500 ml</t>
        </is>
      </c>
      <c r="C1011" s="17" t="inlineStr">
        <is>
          <t>–</t>
        </is>
      </c>
      <c r="D1011" s="17" t="inlineStr"/>
      <c r="E1011" s="17" t="inlineStr">
        <is>
          <t>Nem tartozik ide</t>
        </is>
      </c>
      <c r="F1011" s="17" t="inlineStr">
        <is>
          <t>az elmúlt 30 napban</t>
        </is>
      </c>
      <c r="G1011" s="17" t="inlineStr">
        <is>
          <t>Más főkategória terméke</t>
        </is>
      </c>
    </row>
    <row r="1012">
      <c r="A1012" s="17" t="inlineStr">
        <is>
          <t>GRO3037</t>
        </is>
      </c>
      <c r="B1012" s="17" t="inlineStr">
        <is>
          <t>Advanced Nutrients Rhino Skin kálium-szilikát adalék erősebb szárért, 250 ml</t>
        </is>
      </c>
      <c r="C1012" s="17" t="inlineStr">
        <is>
          <t>–</t>
        </is>
      </c>
      <c r="D1012" s="17" t="inlineStr"/>
      <c r="E1012" s="17" t="inlineStr">
        <is>
          <t>Nem tartozik ide</t>
        </is>
      </c>
      <c r="F1012" s="17" t="inlineStr">
        <is>
          <t>az elmúlt 30 napban</t>
        </is>
      </c>
      <c r="G1012" s="17" t="inlineStr">
        <is>
          <t>Más főkategória terméke</t>
        </is>
      </c>
    </row>
    <row r="1013">
      <c r="A1013" s="17" t="inlineStr">
        <is>
          <t>GRO3038</t>
        </is>
      </c>
      <c r="B1013" s="17" t="inlineStr">
        <is>
          <t>Advanced Nutrients Big Bud Liquid virágzásfokozó PK 0-1-3, 250 ml</t>
        </is>
      </c>
      <c r="C1013" s="17" t="inlineStr">
        <is>
          <t>–</t>
        </is>
      </c>
      <c r="D1013" s="17" t="inlineStr"/>
      <c r="E1013" s="17" t="inlineStr">
        <is>
          <t>Nem tartozik ide</t>
        </is>
      </c>
      <c r="F1013" s="17" t="inlineStr">
        <is>
          <t>az elmúlt 30 napban</t>
        </is>
      </c>
      <c r="G1013" s="17" t="inlineStr">
        <is>
          <t>Más főkategória terméke</t>
        </is>
      </c>
    </row>
    <row r="1014">
      <c r="A1014" s="17" t="inlineStr">
        <is>
          <t>GRO3039</t>
        </is>
      </c>
      <c r="B1014" s="17" t="inlineStr">
        <is>
          <t>Advanced Nutrients Big Bud Liquid virágzásfokozó PK 0-1-3, 500 ml</t>
        </is>
      </c>
      <c r="C1014" s="17" t="inlineStr">
        <is>
          <t>–</t>
        </is>
      </c>
      <c r="D1014" s="17" t="inlineStr"/>
      <c r="E1014" s="17" t="inlineStr">
        <is>
          <t>Nem tartozik ide</t>
        </is>
      </c>
      <c r="F1014" s="17" t="inlineStr">
        <is>
          <t>az elmúlt 30 napban</t>
        </is>
      </c>
      <c r="G1014" s="17" t="inlineStr">
        <is>
          <t>Más főkategória terméke</t>
        </is>
      </c>
    </row>
    <row r="1015">
      <c r="A1015" s="17" t="inlineStr">
        <is>
          <t>GRO3042</t>
        </is>
      </c>
      <c r="B1015" s="17" t="inlineStr">
        <is>
          <t>Hesi Pro-Line Boost 500 ml</t>
        </is>
      </c>
      <c r="C1015" s="17" t="inlineStr">
        <is>
          <t>–</t>
        </is>
      </c>
      <c r="D1015" s="17" t="inlineStr"/>
      <c r="E1015" s="17" t="inlineStr">
        <is>
          <t>Nem tartozik ide</t>
        </is>
      </c>
      <c r="F1015" s="17" t="inlineStr">
        <is>
          <t>az elmúlt 6 hónapban</t>
        </is>
      </c>
      <c r="G1015" s="17" t="inlineStr">
        <is>
          <t>Más főkategória terméke</t>
        </is>
      </c>
    </row>
    <row r="1016">
      <c r="A1016" s="17" t="inlineStr">
        <is>
          <t>GRO3059</t>
        </is>
      </c>
      <c r="B1016" s="17" t="inlineStr">
        <is>
          <t>Can Filters Silencer CFS10 ventilátor hangtompító 315 mm, 50 cm, ásványgyapot szigeteléssel</t>
        </is>
      </c>
      <c r="C1016" s="17" t="inlineStr">
        <is>
          <t>–</t>
        </is>
      </c>
      <c r="D1016" s="17" t="inlineStr"/>
      <c r="E1016" s="17" t="inlineStr">
        <is>
          <t>Nem tartozik ide</t>
        </is>
      </c>
      <c r="F1016" s="17" t="inlineStr">
        <is>
          <t>az elmúlt 30 napban</t>
        </is>
      </c>
      <c r="G1016" s="17" t="inlineStr">
        <is>
          <t>Más főkategória terméke</t>
        </is>
      </c>
    </row>
    <row r="1017">
      <c r="A1017" s="17" t="inlineStr">
        <is>
          <t>GRO3103</t>
        </is>
      </c>
      <c r="B1017" s="17" t="inlineStr">
        <is>
          <t>Green Force LED sáv 90 cm, 20 x 3 W LED, 34 W, beltéri növényvilágításhoz</t>
        </is>
      </c>
      <c r="C1017" s="17" t="inlineStr">
        <is>
          <t>–</t>
        </is>
      </c>
      <c r="D1017" s="17" t="inlineStr"/>
      <c r="E1017" s="17" t="inlineStr">
        <is>
          <t>Nem tartozik ide</t>
        </is>
      </c>
      <c r="F1017" s="17" t="inlineStr">
        <is>
          <t>az elmúlt 30 napban</t>
        </is>
      </c>
      <c r="G1017" s="17" t="inlineStr">
        <is>
          <t>Más főkategória terméke</t>
        </is>
      </c>
    </row>
    <row r="1018">
      <c r="A1018" s="17" t="inlineStr">
        <is>
          <t>GRO3104</t>
        </is>
      </c>
      <c r="B1018" s="17" t="inlineStr">
        <is>
          <t>Green Force LED sáv 120cm 28Led x 3W 53W</t>
        </is>
      </c>
      <c r="C1018" s="17" t="inlineStr">
        <is>
          <t>–</t>
        </is>
      </c>
      <c r="D1018" s="17" t="inlineStr"/>
      <c r="E1018" s="17" t="inlineStr">
        <is>
          <t>Nem tartozik ide</t>
        </is>
      </c>
      <c r="F1018" s="17" t="inlineStr">
        <is>
          <t>az elmúlt 6 hónapban</t>
        </is>
      </c>
      <c r="G1018" s="17" t="inlineStr">
        <is>
          <t>Más főkategória terméke</t>
        </is>
      </c>
    </row>
    <row r="1019">
      <c r="A1019" s="17" t="inlineStr">
        <is>
          <t>GRO3105</t>
        </is>
      </c>
      <c r="B1019" s="17" t="inlineStr">
        <is>
          <t>Vents TT PRO 200 Un csőventilátor termosztáttal, sebességszabályzóval és kábellel, 200 mm, 1040 m3/h</t>
        </is>
      </c>
      <c r="C1019" s="17" t="inlineStr">
        <is>
          <t>–</t>
        </is>
      </c>
      <c r="D1019" s="17" t="inlineStr"/>
      <c r="E1019" s="17" t="inlineStr">
        <is>
          <t>Nem tartozik ide</t>
        </is>
      </c>
      <c r="F1019" s="17" t="inlineStr">
        <is>
          <t>az elmúlt 30 napban</t>
        </is>
      </c>
      <c r="G1019" s="17" t="inlineStr">
        <is>
          <t>Más főkategória terméke</t>
        </is>
      </c>
    </row>
    <row r="1020">
      <c r="A1020" s="17" t="inlineStr">
        <is>
          <t>GRO3106</t>
        </is>
      </c>
      <c r="B1020" s="17" t="inlineStr">
        <is>
          <t>Vents TT PRO 250 Un csőventilátor termosztáttal, sebességszabályzóval és kábellel, 250 mm, 1400 m3/h</t>
        </is>
      </c>
      <c r="C1020" s="17" t="inlineStr">
        <is>
          <t>–</t>
        </is>
      </c>
      <c r="D1020" s="17" t="inlineStr"/>
      <c r="E1020" s="17" t="inlineStr">
        <is>
          <t>Nem tartozik ide</t>
        </is>
      </c>
      <c r="F1020" s="17" t="inlineStr">
        <is>
          <t>az elmúlt 30 napban</t>
        </is>
      </c>
      <c r="G1020" s="17" t="inlineStr">
        <is>
          <t>Más főkategória terméke</t>
        </is>
      </c>
    </row>
    <row r="1021">
      <c r="A1021" s="17" t="inlineStr">
        <is>
          <t>GRO3107</t>
        </is>
      </c>
      <c r="B1021" s="17" t="inlineStr">
        <is>
          <t>Vents TT PRO Un ventilátor 315 PRO</t>
        </is>
      </c>
      <c r="C1021" s="17" t="inlineStr">
        <is>
          <t>–</t>
        </is>
      </c>
      <c r="D1021" s="17" t="inlineStr"/>
      <c r="E1021" s="17" t="inlineStr">
        <is>
          <t>Nem tartozik ide</t>
        </is>
      </c>
      <c r="F1021" s="17" t="inlineStr">
        <is>
          <t>az elmúlt 6 hónapban</t>
        </is>
      </c>
      <c r="G1021" s="17" t="inlineStr">
        <is>
          <t>Más főkategória terméke</t>
        </is>
      </c>
    </row>
    <row r="1022">
      <c r="A1022" s="17" t="inlineStr">
        <is>
          <t>GRO3109</t>
        </is>
      </c>
      <c r="B1022" s="17" t="inlineStr">
        <is>
          <t>Secret Jardin DF16 csatlakozó sátor kivágáshoz, Ø125 mm, DF16 kerethez</t>
        </is>
      </c>
      <c r="C1022" s="17" t="inlineStr">
        <is>
          <t>–</t>
        </is>
      </c>
      <c r="D1022" s="17" t="inlineStr"/>
      <c r="E1022" s="17" t="inlineStr">
        <is>
          <t>Nem tartozik ide</t>
        </is>
      </c>
      <c r="F1022" s="17" t="inlineStr">
        <is>
          <t>az elmúlt 30 napban</t>
        </is>
      </c>
      <c r="G1022" s="17" t="inlineStr">
        <is>
          <t>Más főkategória terméke</t>
        </is>
      </c>
    </row>
    <row r="1023">
      <c r="A1023" s="17" t="inlineStr">
        <is>
          <t>GRO3110</t>
        </is>
      </c>
      <c r="B1023" s="17" t="inlineStr">
        <is>
          <t>Secret Jardin DF16 csatlakozó sátor kivágáshoz, Ø150 mm, DF16 kerethez</t>
        </is>
      </c>
      <c r="C1023" s="17" t="inlineStr">
        <is>
          <t>–</t>
        </is>
      </c>
      <c r="D1023" s="17" t="inlineStr"/>
      <c r="E1023" s="17" t="inlineStr">
        <is>
          <t>Nem tartozik ide</t>
        </is>
      </c>
      <c r="F1023" s="17" t="inlineStr">
        <is>
          <t>az elmúlt 30 napban</t>
        </is>
      </c>
      <c r="G1023" s="17" t="inlineStr">
        <is>
          <t>Más főkategória terméke</t>
        </is>
      </c>
    </row>
    <row r="1024">
      <c r="A1024" s="17" t="inlineStr">
        <is>
          <t>GRO3119</t>
        </is>
      </c>
      <c r="B1024" s="17" t="inlineStr">
        <is>
          <t>BioBizz Acti-Vera aloe verás botanikai aktivátor 500 ml</t>
        </is>
      </c>
      <c r="C1024" s="17" t="inlineStr">
        <is>
          <t>–</t>
        </is>
      </c>
      <c r="D1024" s="17" t="inlineStr"/>
      <c r="E1024" s="17" t="inlineStr">
        <is>
          <t>Nem tartozik ide</t>
        </is>
      </c>
      <c r="F1024" s="17" t="inlineStr">
        <is>
          <t>az elmúlt 30 napban</t>
        </is>
      </c>
      <c r="G1024" s="17" t="inlineStr">
        <is>
          <t>Más főkategória terméke</t>
        </is>
      </c>
    </row>
    <row r="1025">
      <c r="A1025" s="17" t="inlineStr">
        <is>
          <t>GRO3120</t>
        </is>
      </c>
      <c r="B1025" s="17" t="inlineStr">
        <is>
          <t>BioBizz Acti-Vera aloe verás botanikai aktivátor 1 liter</t>
        </is>
      </c>
      <c r="C1025" s="17" t="inlineStr">
        <is>
          <t>–</t>
        </is>
      </c>
      <c r="D1025" s="17" t="inlineStr"/>
      <c r="E1025" s="17" t="inlineStr">
        <is>
          <t>Nem tartozik ide</t>
        </is>
      </c>
      <c r="F1025" s="17" t="inlineStr">
        <is>
          <t>az elmúlt 30 napban</t>
        </is>
      </c>
      <c r="G1025" s="17" t="inlineStr">
        <is>
          <t>Más főkategória terméke</t>
        </is>
      </c>
    </row>
    <row r="1026">
      <c r="A1026" s="17" t="inlineStr">
        <is>
          <t>GRO3123</t>
        </is>
      </c>
      <c r="B1026" s="17" t="inlineStr">
        <is>
          <t>Can-Fan RK 125L centrifugális csőventilátor 125 mm, 350 m3/h</t>
        </is>
      </c>
      <c r="C1026" s="17" t="inlineStr">
        <is>
          <t>–</t>
        </is>
      </c>
      <c r="D1026" s="17" t="inlineStr"/>
      <c r="E1026" s="17" t="inlineStr">
        <is>
          <t>Nem tartozik ide</t>
        </is>
      </c>
      <c r="F1026" s="17" t="inlineStr">
        <is>
          <t>az elmúlt 30 napban</t>
        </is>
      </c>
      <c r="G1026" s="17" t="inlineStr">
        <is>
          <t>Más főkategória terméke</t>
        </is>
      </c>
    </row>
    <row r="1027">
      <c r="A1027" s="17" t="inlineStr">
        <is>
          <t>GRO3128</t>
        </is>
      </c>
      <c r="B1027" s="17" t="inlineStr">
        <is>
          <t>Can-Fan ISO-Max hangszigetelt csőventilátor 315 mm, 3260 m3/h</t>
        </is>
      </c>
      <c r="C1027" s="17" t="inlineStr">
        <is>
          <t>–</t>
        </is>
      </c>
      <c r="D1027" s="17" t="inlineStr"/>
      <c r="E1027" s="17" t="inlineStr">
        <is>
          <t>Nem tartozik ide</t>
        </is>
      </c>
      <c r="F1027" s="17" t="inlineStr">
        <is>
          <t>az elmúlt 30 napban</t>
        </is>
      </c>
      <c r="G1027" s="17" t="inlineStr">
        <is>
          <t>Más főkategória terméke</t>
        </is>
      </c>
    </row>
    <row r="1028">
      <c r="A1028" s="17" t="inlineStr">
        <is>
          <t>GRO3132</t>
        </is>
      </c>
      <c r="B1028" s="17" t="inlineStr">
        <is>
          <t>Can Fan csőventilátor RK 125</t>
        </is>
      </c>
      <c r="C1028" s="17" t="inlineStr">
        <is>
          <t>–</t>
        </is>
      </c>
      <c r="D1028" s="17" t="inlineStr"/>
      <c r="E1028" s="17" t="inlineStr">
        <is>
          <t>Nem tartozik ide</t>
        </is>
      </c>
      <c r="F1028" s="17" t="inlineStr">
        <is>
          <t>az elmúlt 30 napban</t>
        </is>
      </c>
      <c r="G1028" s="17" t="inlineStr">
        <is>
          <t>Más főkategória terméke</t>
        </is>
      </c>
    </row>
    <row r="1029">
      <c r="A1029" s="17" t="inlineStr">
        <is>
          <t>GRO3133</t>
        </is>
      </c>
      <c r="B1029" s="17" t="inlineStr">
        <is>
          <t>Can-Fan RK 150 centrifugális csőventilátor 150 mm, 470 m3/h</t>
        </is>
      </c>
      <c r="C1029" s="17" t="inlineStr">
        <is>
          <t>–</t>
        </is>
      </c>
      <c r="D1029" s="17" t="inlineStr"/>
      <c r="E1029" s="17" t="inlineStr">
        <is>
          <t>Nem tartozik ide</t>
        </is>
      </c>
      <c r="F1029" s="17" t="inlineStr">
        <is>
          <t>az elmúlt 30 napban</t>
        </is>
      </c>
      <c r="G1029" s="17" t="inlineStr">
        <is>
          <t>Más főkategória terméke</t>
        </is>
      </c>
    </row>
    <row r="1030">
      <c r="A1030" s="17" t="inlineStr">
        <is>
          <t>GRO3134</t>
        </is>
      </c>
      <c r="B1030" s="17" t="inlineStr">
        <is>
          <t>Can-Fan MAX-Fan Pro EC villanymotoros ventilátor 200 mm 1301 m3/h</t>
        </is>
      </c>
      <c r="C1030" s="17" t="inlineStr">
        <is>
          <t>–</t>
        </is>
      </c>
      <c r="D1030" s="17" t="inlineStr"/>
      <c r="E1030" s="17" t="inlineStr">
        <is>
          <t>Nem tartozik ide</t>
        </is>
      </c>
      <c r="F1030" s="17" t="inlineStr">
        <is>
          <t>2024-10 – 2025-09 (lehet, hogy már nem aktív)</t>
        </is>
      </c>
      <c r="G1030" s="17" t="inlineStr">
        <is>
          <t>Más főkategória terméke</t>
        </is>
      </c>
    </row>
    <row r="1031">
      <c r="A1031" s="17" t="inlineStr">
        <is>
          <t>GRO3140</t>
        </is>
      </c>
      <c r="B1031" s="17" t="inlineStr">
        <is>
          <t>Secret Jardin Hydro Shoot HS150 R2.00 termesztősátor 150x150x200 cm</t>
        </is>
      </c>
      <c r="C1031" s="17" t="inlineStr">
        <is>
          <t>–</t>
        </is>
      </c>
      <c r="D1031" s="17" t="inlineStr"/>
      <c r="E1031" s="17" t="inlineStr">
        <is>
          <t>Nem tartozik ide</t>
        </is>
      </c>
      <c r="F1031" s="17" t="inlineStr">
        <is>
          <t>az elmúlt 30 napban</t>
        </is>
      </c>
      <c r="G1031" s="17" t="inlineStr">
        <is>
          <t>Más főkategória terméke</t>
        </is>
      </c>
    </row>
    <row r="1032">
      <c r="A1032" s="17" t="inlineStr">
        <is>
          <t>GRO3141</t>
        </is>
      </c>
      <c r="B1032" s="17" t="inlineStr">
        <is>
          <t>HOMEbox Ambient Q60+ termesztősátor 60x60x160 cm, PAR+ belsővel</t>
        </is>
      </c>
      <c r="C1032" s="17" t="inlineStr">
        <is>
          <t>–</t>
        </is>
      </c>
      <c r="D1032" s="17" t="inlineStr"/>
      <c r="E1032" s="17" t="inlineStr">
        <is>
          <t>Nem tartozik ide</t>
        </is>
      </c>
      <c r="F1032" s="17" t="inlineStr">
        <is>
          <t>az elmúlt 30 napban</t>
        </is>
      </c>
      <c r="G1032" s="17" t="inlineStr">
        <is>
          <t>Más főkategória terméke</t>
        </is>
      </c>
    </row>
    <row r="1033">
      <c r="A1033" s="17" t="inlineStr">
        <is>
          <t>GRO3142</t>
        </is>
      </c>
      <c r="B1033" s="17" t="inlineStr">
        <is>
          <t>HOMEbox Ambient Q80+ termesztősátor 80x80x180 cm, PAR+ belsővel</t>
        </is>
      </c>
      <c r="C1033" s="17" t="inlineStr">
        <is>
          <t>–</t>
        </is>
      </c>
      <c r="D1033" s="17" t="inlineStr"/>
      <c r="E1033" s="17" t="inlineStr">
        <is>
          <t>Nem tartozik ide</t>
        </is>
      </c>
      <c r="F1033" s="17" t="inlineStr">
        <is>
          <t>az elmúlt 30 napban</t>
        </is>
      </c>
      <c r="G1033" s="17" t="inlineStr">
        <is>
          <t>Más főkategória terméke</t>
        </is>
      </c>
    </row>
    <row r="1034">
      <c r="A1034" s="17" t="inlineStr">
        <is>
          <t>GRO3143</t>
        </is>
      </c>
      <c r="B1034" s="17" t="inlineStr">
        <is>
          <t>HOMEbox Ambient Q100+ termesztősátor 100x100x220 cm, PAR+ belsővel</t>
        </is>
      </c>
      <c r="C1034" s="17" t="inlineStr">
        <is>
          <t>–</t>
        </is>
      </c>
      <c r="D1034" s="17" t="inlineStr"/>
      <c r="E1034" s="17" t="inlineStr">
        <is>
          <t>Nem tartozik ide</t>
        </is>
      </c>
      <c r="F1034" s="17" t="inlineStr">
        <is>
          <t>az elmúlt 30 napban</t>
        </is>
      </c>
      <c r="G1034" s="17" t="inlineStr">
        <is>
          <t>Más főkategória terméke</t>
        </is>
      </c>
    </row>
    <row r="1035">
      <c r="A1035" s="17" t="inlineStr">
        <is>
          <t>GRO3144</t>
        </is>
      </c>
      <c r="B1035" s="17" t="inlineStr">
        <is>
          <t>Homebox Ambient Növény sátor Q120+</t>
        </is>
      </c>
      <c r="C1035" s="17" t="inlineStr">
        <is>
          <t>–</t>
        </is>
      </c>
      <c r="D1035" s="17" t="inlineStr"/>
      <c r="E1035" s="17" t="inlineStr">
        <is>
          <t>Nem tartozik ide</t>
        </is>
      </c>
      <c r="F1035" s="17" t="inlineStr">
        <is>
          <t>az elmúlt 30 napban</t>
        </is>
      </c>
      <c r="G1035" s="17" t="inlineStr">
        <is>
          <t>Más főkategória terméke</t>
        </is>
      </c>
    </row>
    <row r="1036">
      <c r="A1036" s="17" t="inlineStr">
        <is>
          <t>GRO3145</t>
        </is>
      </c>
      <c r="B1036" s="17" t="inlineStr">
        <is>
          <t>Homebox Ambient Növény sátor Q150+</t>
        </is>
      </c>
      <c r="C1036" s="17" t="inlineStr">
        <is>
          <t>–</t>
        </is>
      </c>
      <c r="D1036" s="17" t="inlineStr"/>
      <c r="E1036" s="17" t="inlineStr">
        <is>
          <t>Nem tartozik ide</t>
        </is>
      </c>
      <c r="F1036" s="17" t="inlineStr">
        <is>
          <t>az elmúlt 6 hónapban</t>
        </is>
      </c>
      <c r="G1036" s="17" t="inlineStr">
        <is>
          <t>Más főkategória terméke</t>
        </is>
      </c>
    </row>
    <row r="1037">
      <c r="A1037" s="17" t="inlineStr">
        <is>
          <t>GRO3146</t>
        </is>
      </c>
      <c r="B1037" s="17" t="inlineStr">
        <is>
          <t>HOMEbox Ambient R240+ termesztősátor 240x120x220 cm, PAR+ belsővel</t>
        </is>
      </c>
      <c r="C1037" s="17" t="inlineStr">
        <is>
          <t>–</t>
        </is>
      </c>
      <c r="D1037" s="17" t="inlineStr"/>
      <c r="E1037" s="17" t="inlineStr">
        <is>
          <t>Nem tartozik ide</t>
        </is>
      </c>
      <c r="F1037" s="17" t="inlineStr">
        <is>
          <t>az elmúlt 30 napban</t>
        </is>
      </c>
      <c r="G1037" s="17" t="inlineStr">
        <is>
          <t>Más főkategória terméke</t>
        </is>
      </c>
    </row>
    <row r="1038">
      <c r="A1038" s="17" t="inlineStr">
        <is>
          <t>GRO3148</t>
        </is>
      </c>
      <c r="B1038" s="17" t="inlineStr">
        <is>
          <t>SANlight LED T elosztó kompatibilis: Q-széria</t>
        </is>
      </c>
      <c r="C1038" s="17" t="inlineStr">
        <is>
          <t>–</t>
        </is>
      </c>
      <c r="D1038" s="17" t="inlineStr"/>
      <c r="E1038" s="17" t="inlineStr">
        <is>
          <t>Nem tartozik ide</t>
        </is>
      </c>
      <c r="F1038" s="17" t="inlineStr">
        <is>
          <t>2024-10 – 2025-09 (lehet, hogy már nem aktív)</t>
        </is>
      </c>
      <c r="G1038" s="17" t="inlineStr">
        <is>
          <t>Más főkategória terméke</t>
        </is>
      </c>
    </row>
    <row r="1039">
      <c r="A1039" s="17" t="inlineStr">
        <is>
          <t>GRO3151</t>
        </is>
      </c>
      <c r="B1039" s="17" t="inlineStr">
        <is>
          <t>Milwaukee pH51 vízálló pH teszter 0,1 pH felbontással, cserélhető MA73600 elektródával</t>
        </is>
      </c>
      <c r="C1039" s="17" t="inlineStr">
        <is>
          <t>–</t>
        </is>
      </c>
      <c r="D1039" s="17" t="inlineStr"/>
      <c r="E1039" s="17" t="inlineStr">
        <is>
          <t>Nem tartozik ide</t>
        </is>
      </c>
      <c r="F1039" s="17" t="inlineStr">
        <is>
          <t>az elmúlt 30 napban</t>
        </is>
      </c>
      <c r="G1039" s="17" t="inlineStr">
        <is>
          <t>Más főkategória terméke</t>
        </is>
      </c>
    </row>
    <row r="1040">
      <c r="A1040" s="17" t="inlineStr">
        <is>
          <t>GRO3152</t>
        </is>
      </c>
      <c r="B1040" s="17" t="inlineStr">
        <is>
          <t>Milwaukee C66 vízálló EC teszter 0–10 mS/cm, hőkompenzációval és cserélhető elektródával</t>
        </is>
      </c>
      <c r="C1040" s="17" t="inlineStr">
        <is>
          <t>–</t>
        </is>
      </c>
      <c r="D1040" s="17" t="inlineStr"/>
      <c r="E1040" s="17" t="inlineStr">
        <is>
          <t>Nem tartozik ide</t>
        </is>
      </c>
      <c r="F1040" s="17" t="inlineStr">
        <is>
          <t>az elmúlt 30 napban</t>
        </is>
      </c>
      <c r="G1040" s="17" t="inlineStr">
        <is>
          <t>Más főkategória terméke</t>
        </is>
      </c>
    </row>
    <row r="1041">
      <c r="A1041" s="17" t="inlineStr">
        <is>
          <t>GRO3153</t>
        </is>
      </c>
      <c r="B1041" s="17" t="inlineStr">
        <is>
          <t>Horti Gear mágneses trafó 600 W HPS és MH izzókhoz</t>
        </is>
      </c>
      <c r="C1041" s="17" t="inlineStr">
        <is>
          <t>–</t>
        </is>
      </c>
      <c r="D1041" s="17" t="inlineStr"/>
      <c r="E1041" s="17" t="inlineStr">
        <is>
          <t>Nem tartozik ide</t>
        </is>
      </c>
      <c r="F1041" s="17" t="inlineStr">
        <is>
          <t>az elmúlt 30 napban</t>
        </is>
      </c>
      <c r="G1041" s="17" t="inlineStr">
        <is>
          <t>Más főkategória terméke</t>
        </is>
      </c>
    </row>
    <row r="1042">
      <c r="A1042" s="17" t="inlineStr">
        <is>
          <t>GRO3154</t>
        </is>
      </c>
      <c r="B1042" s="17" t="inlineStr">
        <is>
          <t>Osram Plantastar HPS 400 W</t>
        </is>
      </c>
      <c r="C1042" s="17" t="inlineStr">
        <is>
          <t>–</t>
        </is>
      </c>
      <c r="D1042" s="17" t="inlineStr"/>
      <c r="E1042" s="17" t="inlineStr">
        <is>
          <t>Nem tartozik ide</t>
        </is>
      </c>
      <c r="F1042" s="17" t="inlineStr">
        <is>
          <t>az elmúlt 6 hónapban</t>
        </is>
      </c>
      <c r="G1042" s="17" t="inlineStr">
        <is>
          <t>Más főkategória terméke</t>
        </is>
      </c>
    </row>
    <row r="1043">
      <c r="A1043" s="17" t="inlineStr">
        <is>
          <t>GRO3155</t>
        </is>
      </c>
      <c r="B1043" s="17" t="inlineStr">
        <is>
          <t>Osram Plantastar HPS izzó 600W</t>
        </is>
      </c>
      <c r="C1043" s="17" t="inlineStr">
        <is>
          <t>–</t>
        </is>
      </c>
      <c r="D1043" s="17" t="inlineStr"/>
      <c r="E1043" s="17" t="inlineStr">
        <is>
          <t>Nem tartozik ide</t>
        </is>
      </c>
      <c r="F1043" s="17" t="inlineStr">
        <is>
          <t>2024-10 – 2025-09 (lehet, hogy már nem aktív)</t>
        </is>
      </c>
      <c r="G1043" s="17" t="inlineStr">
        <is>
          <t>Más főkategória terméke</t>
        </is>
      </c>
    </row>
    <row r="1044">
      <c r="A1044" s="17" t="inlineStr">
        <is>
          <t>GRO3156</t>
        </is>
      </c>
      <c r="B1044" s="17" t="inlineStr">
        <is>
          <t>Osram Vialox NAV-T 4Y Super HPS izzó 400W</t>
        </is>
      </c>
      <c r="C1044" s="17" t="inlineStr">
        <is>
          <t>–</t>
        </is>
      </c>
      <c r="D1044" s="17" t="inlineStr"/>
      <c r="E1044" s="17" t="inlineStr">
        <is>
          <t>Nem tartozik ide</t>
        </is>
      </c>
      <c r="F1044" s="17" t="inlineStr">
        <is>
          <t>2024-10 – 2025-09 (lehet, hogy már nem aktív)</t>
        </is>
      </c>
      <c r="G1044" s="17" t="inlineStr">
        <is>
          <t>Más főkategória terméke</t>
        </is>
      </c>
    </row>
    <row r="1045">
      <c r="A1045" s="17" t="inlineStr">
        <is>
          <t>GRO3157</t>
        </is>
      </c>
      <c r="B1045" s="17" t="inlineStr">
        <is>
          <t>Osram Vialox NAV-T 4Y Super HPS izzó 600W</t>
        </is>
      </c>
      <c r="C1045" s="17" t="inlineStr">
        <is>
          <t>–</t>
        </is>
      </c>
      <c r="D1045" s="17" t="inlineStr"/>
      <c r="E1045" s="17" t="inlineStr">
        <is>
          <t>Nem tartozik ide</t>
        </is>
      </c>
      <c r="F1045" s="17" t="inlineStr">
        <is>
          <t>2024-10 – 2025-09 (lehet, hogy már nem aktív)</t>
        </is>
      </c>
      <c r="G1045" s="17" t="inlineStr">
        <is>
          <t>Más főkategória terméke</t>
        </is>
      </c>
    </row>
    <row r="1046">
      <c r="A1046" s="17" t="inlineStr">
        <is>
          <t>GRO3159</t>
        </is>
      </c>
      <c r="B1046" s="17" t="inlineStr">
        <is>
          <t>ONA Block szagsemlegesítő tömb Apple Crumble illat, 170 g, kis helyekre és légcsatornába</t>
        </is>
      </c>
      <c r="C1046" s="17" t="inlineStr">
        <is>
          <t>–</t>
        </is>
      </c>
      <c r="D1046" s="17" t="inlineStr"/>
      <c r="E1046" s="17" t="inlineStr">
        <is>
          <t>Nem tartozik ide</t>
        </is>
      </c>
      <c r="F1046" s="17" t="inlineStr">
        <is>
          <t>az elmúlt 30 napban</t>
        </is>
      </c>
      <c r="G1046" s="17" t="inlineStr">
        <is>
          <t>Más főkategória terméke</t>
        </is>
      </c>
    </row>
    <row r="1047">
      <c r="A1047" s="17" t="inlineStr">
        <is>
          <t>GRO3160</t>
        </is>
      </c>
      <c r="B1047" s="17" t="inlineStr">
        <is>
          <t>ONA Gel szagsemlegesítő zselé Apple Crumble illat, 1 liter (732 g)</t>
        </is>
      </c>
      <c r="C1047" s="17" t="inlineStr">
        <is>
          <t>–</t>
        </is>
      </c>
      <c r="D1047" s="17" t="inlineStr"/>
      <c r="E1047" s="17" t="inlineStr">
        <is>
          <t>Nem tartozik ide</t>
        </is>
      </c>
      <c r="F1047" s="17" t="inlineStr">
        <is>
          <t>az elmúlt 30 napban</t>
        </is>
      </c>
      <c r="G1047" s="17" t="inlineStr">
        <is>
          <t>Más főkategória terméke</t>
        </is>
      </c>
    </row>
    <row r="1048">
      <c r="A1048" s="17" t="inlineStr">
        <is>
          <t>GRO3161</t>
        </is>
      </c>
      <c r="B1048" s="17" t="inlineStr">
        <is>
          <t>ONA Gel szagsemlegesítő zselé Apple Crumble illat, 20 literes vödör (20 kg)</t>
        </is>
      </c>
      <c r="C1048" s="17" t="inlineStr">
        <is>
          <t>–</t>
        </is>
      </c>
      <c r="D1048" s="17" t="inlineStr"/>
      <c r="E1048" s="17" t="inlineStr">
        <is>
          <t>Nem tartozik ide</t>
        </is>
      </c>
      <c r="F1048" s="17" t="inlineStr">
        <is>
          <t>az elmúlt 30 napban</t>
        </is>
      </c>
      <c r="G1048" s="17" t="inlineStr">
        <is>
          <t>Más főkategória terméke</t>
        </is>
      </c>
    </row>
    <row r="1049">
      <c r="A1049" s="17" t="inlineStr">
        <is>
          <t>GRO3162</t>
        </is>
      </c>
      <c r="B1049" s="17" t="inlineStr">
        <is>
          <t>ONA Gel szagsemlegesítő zselé Apple Crumble illat, 4 liter (3,8 kg)</t>
        </is>
      </c>
      <c r="C1049" s="17" t="inlineStr">
        <is>
          <t>–</t>
        </is>
      </c>
      <c r="D1049" s="17" t="inlineStr"/>
      <c r="E1049" s="17" t="inlineStr">
        <is>
          <t>Nem tartozik ide</t>
        </is>
      </c>
      <c r="F1049" s="17" t="inlineStr">
        <is>
          <t>az elmúlt 30 napban</t>
        </is>
      </c>
      <c r="G1049" s="17" t="inlineStr">
        <is>
          <t>Más főkategória terméke</t>
        </is>
      </c>
    </row>
    <row r="1050">
      <c r="A1050" s="17" t="inlineStr">
        <is>
          <t>GRO3163</t>
        </is>
      </c>
      <c r="B1050" s="17" t="inlineStr">
        <is>
          <t>ONA Gel szagsemlegesítő zselé Apple Crumble illat, 500 ml (400 g)</t>
        </is>
      </c>
      <c r="C1050" s="17" t="inlineStr">
        <is>
          <t>–</t>
        </is>
      </c>
      <c r="D1050" s="17" t="inlineStr"/>
      <c r="E1050" s="17" t="inlineStr">
        <is>
          <t>Nem tartozik ide</t>
        </is>
      </c>
      <c r="F1050" s="17" t="inlineStr">
        <is>
          <t>az elmúlt 30 napban</t>
        </is>
      </c>
      <c r="G1050" s="17" t="inlineStr">
        <is>
          <t>Más főkategória terméke</t>
        </is>
      </c>
    </row>
    <row r="1051">
      <c r="A1051" s="17" t="inlineStr">
        <is>
          <t>GRO3168</t>
        </is>
      </c>
      <c r="B1051" s="17" t="inlineStr">
        <is>
          <t>ONA Spray Pumpás Szagsemlegesítő ONA Spray Apple Crumble</t>
        </is>
      </c>
      <c r="C1051" s="17" t="inlineStr">
        <is>
          <t>–</t>
        </is>
      </c>
      <c r="D1051" s="17" t="inlineStr"/>
      <c r="E1051" s="17" t="inlineStr">
        <is>
          <t>Nem tartozik ide</t>
        </is>
      </c>
      <c r="F1051" s="17" t="inlineStr">
        <is>
          <t>az elmúlt 30 napban</t>
        </is>
      </c>
      <c r="G1051" s="17" t="inlineStr">
        <is>
          <t>Más főkategória terméke</t>
        </is>
      </c>
    </row>
    <row r="1052">
      <c r="A1052" s="17" t="inlineStr">
        <is>
          <t>GRO3169</t>
        </is>
      </c>
      <c r="B1052" s="17" t="inlineStr">
        <is>
          <t>ONA Spray Pumpás Szagsemlegesítő ONA Spray Pro</t>
        </is>
      </c>
      <c r="C1052" s="17" t="inlineStr">
        <is>
          <t>–</t>
        </is>
      </c>
      <c r="D1052" s="17" t="inlineStr"/>
      <c r="E1052" s="17" t="inlineStr">
        <is>
          <t>Nem tartozik ide</t>
        </is>
      </c>
      <c r="F1052" s="17" t="inlineStr">
        <is>
          <t>az elmúlt 30 napban</t>
        </is>
      </c>
      <c r="G1052" s="17" t="inlineStr">
        <is>
          <t>Más főkategória terméke</t>
        </is>
      </c>
    </row>
    <row r="1053">
      <c r="A1053" s="17" t="inlineStr">
        <is>
          <t>GRO3171</t>
        </is>
      </c>
      <c r="B1053" s="17" t="inlineStr">
        <is>
          <t>Lumatek digitális dimmelhető trafó 1000 W, Super Lumens fokozattal, HPS és MH izzókhoz</t>
        </is>
      </c>
      <c r="C1053" s="17" t="inlineStr">
        <is>
          <t>–</t>
        </is>
      </c>
      <c r="D1053" s="17" t="inlineStr"/>
      <c r="E1053" s="17" t="inlineStr">
        <is>
          <t>Nem tartozik ide</t>
        </is>
      </c>
      <c r="F1053" s="17" t="inlineStr">
        <is>
          <t>az elmúlt 30 napban</t>
        </is>
      </c>
      <c r="G1053" s="17" t="inlineStr">
        <is>
          <t>Más főkategória terméke</t>
        </is>
      </c>
    </row>
    <row r="1054">
      <c r="A1054" s="17" t="inlineStr">
        <is>
          <t>GRO3174</t>
        </is>
      </c>
      <c r="B1054" s="17" t="inlineStr">
        <is>
          <t>Lumatek CMH izzó 630 W Lumatek CMH izzó 630 W / 4200 K</t>
        </is>
      </c>
      <c r="C1054" s="17" t="inlineStr">
        <is>
          <t>–</t>
        </is>
      </c>
      <c r="D1054" s="17" t="inlineStr"/>
      <c r="E1054" s="17" t="inlineStr">
        <is>
          <t>Nem tartozik ide</t>
        </is>
      </c>
      <c r="F1054" s="17" t="inlineStr">
        <is>
          <t>2024-10 – 2025-09 (lehet, hogy már nem aktív)</t>
        </is>
      </c>
      <c r="G1054" s="17" t="inlineStr">
        <is>
          <t>Más főkategória terméke</t>
        </is>
      </c>
    </row>
    <row r="1055">
      <c r="A1055" s="17" t="inlineStr">
        <is>
          <t>GRO3175</t>
        </is>
      </c>
      <c r="B1055" s="17" t="inlineStr">
        <is>
          <t>Lumatek CMH kerámia fémhalogén izzó 630 W, kétvégű (DE)</t>
        </is>
      </c>
      <c r="C1055" s="17" t="inlineStr">
        <is>
          <t>–</t>
        </is>
      </c>
      <c r="D1055" s="17" t="inlineStr"/>
      <c r="E1055" s="17" t="inlineStr">
        <is>
          <t>Nem tartozik ide</t>
        </is>
      </c>
      <c r="F1055" s="17" t="inlineStr">
        <is>
          <t>az elmúlt 30 napban</t>
        </is>
      </c>
      <c r="G1055" s="17" t="inlineStr">
        <is>
          <t>Más főkategória terméke</t>
        </is>
      </c>
    </row>
    <row r="1056">
      <c r="A1056" s="17" t="inlineStr">
        <is>
          <t>GRO3176</t>
        </is>
      </c>
      <c r="B1056" s="17" t="inlineStr">
        <is>
          <t>Lumatek dimmelhető CMH trafó 315 W, vezérelhető, E40 adapterrel</t>
        </is>
      </c>
      <c r="C1056" s="17" t="inlineStr">
        <is>
          <t>–</t>
        </is>
      </c>
      <c r="D1056" s="17" t="inlineStr"/>
      <c r="E1056" s="17" t="inlineStr">
        <is>
          <t>Nem tartozik ide</t>
        </is>
      </c>
      <c r="F1056" s="17" t="inlineStr">
        <is>
          <t>az elmúlt 30 napban</t>
        </is>
      </c>
      <c r="G1056" s="17" t="inlineStr">
        <is>
          <t>Más főkategória terméke</t>
        </is>
      </c>
    </row>
    <row r="1057">
      <c r="A1057" s="17" t="inlineStr">
        <is>
          <t>GRO3177</t>
        </is>
      </c>
      <c r="B1057" s="17" t="inlineStr">
        <is>
          <t>Lumatek digitális dimmelhető CMH trafó 630 W</t>
        </is>
      </c>
      <c r="C1057" s="17" t="inlineStr">
        <is>
          <t>–</t>
        </is>
      </c>
      <c r="D1057" s="17" t="inlineStr"/>
      <c r="E1057" s="17" t="inlineStr">
        <is>
          <t>Nem tartozik ide</t>
        </is>
      </c>
      <c r="F1057" s="17" t="inlineStr">
        <is>
          <t>az elmúlt 6 hónapban</t>
        </is>
      </c>
      <c r="G1057" s="17" t="inlineStr">
        <is>
          <t>Más főkategória terméke</t>
        </is>
      </c>
    </row>
    <row r="1058">
      <c r="A1058" s="17" t="inlineStr">
        <is>
          <t>GRO3179</t>
        </is>
      </c>
      <c r="B1058" s="17" t="inlineStr">
        <is>
          <t>Lumatek Control Panel (HID) világításvezérlő vezérelhető Lumatek trafókhoz</t>
        </is>
      </c>
      <c r="C1058" s="17" t="inlineStr">
        <is>
          <t>–</t>
        </is>
      </c>
      <c r="D1058" s="17" t="inlineStr"/>
      <c r="E1058" s="17" t="inlineStr">
        <is>
          <t>Nem tartozik ide</t>
        </is>
      </c>
      <c r="F1058" s="17" t="inlineStr">
        <is>
          <t>az elmúlt 30 napban</t>
        </is>
      </c>
      <c r="G1058" s="17" t="inlineStr">
        <is>
          <t>Más főkategória terméke</t>
        </is>
      </c>
    </row>
    <row r="1059">
      <c r="A1059" s="17" t="inlineStr">
        <is>
          <t>GRO3182</t>
        </is>
      </c>
      <c r="B1059" s="17" t="inlineStr">
        <is>
          <t>Dimlux Expert CMH Full Spectrum 315 W komplett lámpatest Alpha 98 reflektorral</t>
        </is>
      </c>
      <c r="C1059" s="17" t="inlineStr">
        <is>
          <t>–</t>
        </is>
      </c>
      <c r="D1059" s="17" t="inlineStr"/>
      <c r="E1059" s="17" t="inlineStr">
        <is>
          <t>Nem tartozik ide</t>
        </is>
      </c>
      <c r="F1059" s="17" t="inlineStr">
        <is>
          <t>az elmúlt 30 napban</t>
        </is>
      </c>
      <c r="G1059" s="17" t="inlineStr">
        <is>
          <t>Más főkategória terméke</t>
        </is>
      </c>
    </row>
    <row r="1060">
      <c r="A1060" s="17" t="inlineStr">
        <is>
          <t>GRO3184</t>
        </is>
      </c>
      <c r="B1060" s="17" t="inlineStr">
        <is>
          <t>GSE hőmérséklet-szabályzó 1 ventilátorhoz, 2 A, 230 V, minimum fordulat beállítással</t>
        </is>
      </c>
      <c r="C1060" s="17" t="inlineStr">
        <is>
          <t>–</t>
        </is>
      </c>
      <c r="D1060" s="17" t="inlineStr"/>
      <c r="E1060" s="17" t="inlineStr">
        <is>
          <t>Nem tartozik ide</t>
        </is>
      </c>
      <c r="F1060" s="17" t="inlineStr">
        <is>
          <t>az elmúlt 30 napban</t>
        </is>
      </c>
      <c r="G1060" s="17" t="inlineStr">
        <is>
          <t>Más főkategória terméke</t>
        </is>
      </c>
    </row>
    <row r="1061">
      <c r="A1061" s="17" t="inlineStr">
        <is>
          <t>GRO3186</t>
        </is>
      </c>
      <c r="B1061" s="17" t="inlineStr">
        <is>
          <t>GSE páratartalom-szabályzó</t>
        </is>
      </c>
      <c r="C1061" s="17" t="inlineStr">
        <is>
          <t>–</t>
        </is>
      </c>
      <c r="D1061" s="17" t="inlineStr"/>
      <c r="E1061" s="17" t="inlineStr">
        <is>
          <t>Nem tartozik ide</t>
        </is>
      </c>
      <c r="F1061" s="17" t="inlineStr">
        <is>
          <t>2025-10 – 2026-04</t>
        </is>
      </c>
      <c r="G1061" s="17" t="inlineStr">
        <is>
          <t>Más főkategória terméke</t>
        </is>
      </c>
    </row>
    <row r="1062">
      <c r="A1062" s="17" t="inlineStr">
        <is>
          <t>GRO3188</t>
        </is>
      </c>
      <c r="B1062" s="17" t="inlineStr">
        <is>
          <t>Philips CDM Master Color izzó 315W/942</t>
        </is>
      </c>
      <c r="C1062" s="17" t="inlineStr">
        <is>
          <t>–</t>
        </is>
      </c>
      <c r="D1062" s="17" t="inlineStr"/>
      <c r="E1062" s="17" t="inlineStr">
        <is>
          <t>Nem tartozik ide</t>
        </is>
      </c>
      <c r="F1062" s="17" t="inlineStr">
        <is>
          <t>2025-10 – 2026-04</t>
        </is>
      </c>
      <c r="G1062" s="17" t="inlineStr">
        <is>
          <t>Más főkategória terméke</t>
        </is>
      </c>
    </row>
    <row r="1063">
      <c r="A1063" s="17" t="inlineStr">
        <is>
          <t>GRO3189</t>
        </is>
      </c>
      <c r="B1063" s="17" t="inlineStr">
        <is>
          <t>Adjust-A-Wings Hellion Defender CMH fényvető szett reflektorral, izzóval és trafóval</t>
        </is>
      </c>
      <c r="C1063" s="17" t="inlineStr">
        <is>
          <t>–</t>
        </is>
      </c>
      <c r="D1063" s="17" t="inlineStr"/>
      <c r="E1063" s="17" t="inlineStr">
        <is>
          <t>Nem tartozik ide</t>
        </is>
      </c>
      <c r="F1063" s="17" t="inlineStr">
        <is>
          <t>az elmúlt 30 napban</t>
        </is>
      </c>
      <c r="G1063" s="17" t="inlineStr">
        <is>
          <t>Más főkategória terméke</t>
        </is>
      </c>
    </row>
    <row r="1064">
      <c r="A1064" s="17" t="inlineStr">
        <is>
          <t>GRO3196</t>
        </is>
      </c>
      <c r="B1064" s="17" t="inlineStr">
        <is>
          <t>Secret Jardin Hydro Shoot HS240W R2.00 termesztősátor 238x120x200 cm</t>
        </is>
      </c>
      <c r="C1064" s="17" t="inlineStr">
        <is>
          <t>–</t>
        </is>
      </c>
      <c r="D1064" s="17" t="inlineStr"/>
      <c r="E1064" s="17" t="inlineStr">
        <is>
          <t>Nem tartozik ide</t>
        </is>
      </c>
      <c r="F1064" s="17" t="inlineStr">
        <is>
          <t>az elmúlt 30 napban</t>
        </is>
      </c>
      <c r="G1064" s="17" t="inlineStr">
        <is>
          <t>Más főkategória terméke</t>
        </is>
      </c>
    </row>
    <row r="1065">
      <c r="A1065" s="17" t="inlineStr">
        <is>
          <t>GRO3197</t>
        </is>
      </c>
      <c r="B1065" s="17" t="inlineStr">
        <is>
          <t>Secret Jardin Hydro Shoot HS300W R2.00 termesztősátor 298x150x200 cm</t>
        </is>
      </c>
      <c r="C1065" s="17" t="inlineStr">
        <is>
          <t>–</t>
        </is>
      </c>
      <c r="D1065" s="17" t="inlineStr"/>
      <c r="E1065" s="17" t="inlineStr">
        <is>
          <t>Nem tartozik ide</t>
        </is>
      </c>
      <c r="F1065" s="17" t="inlineStr">
        <is>
          <t>az elmúlt 30 napban</t>
        </is>
      </c>
      <c r="G1065" s="17" t="inlineStr">
        <is>
          <t>Más főkategória terméke</t>
        </is>
      </c>
    </row>
    <row r="1066">
      <c r="A1066" s="17" t="inlineStr">
        <is>
          <t>GRO3202</t>
        </is>
      </c>
      <c r="B1066" s="17" t="inlineStr">
        <is>
          <t>Trafó Green Force 315 W</t>
        </is>
      </c>
      <c r="C1066" s="17" t="inlineStr">
        <is>
          <t>–</t>
        </is>
      </c>
      <c r="D1066" s="17" t="inlineStr"/>
      <c r="E1066" s="17" t="inlineStr">
        <is>
          <t>Nem tartozik ide</t>
        </is>
      </c>
      <c r="F1066" s="17" t="inlineStr">
        <is>
          <t>2024-10 – 2025-09 (lehet, hogy már nem aktív)</t>
        </is>
      </c>
      <c r="G1066" s="17" t="inlineStr">
        <is>
          <t>Más főkategória terméke</t>
        </is>
      </c>
    </row>
    <row r="1067">
      <c r="A1067" s="17" t="inlineStr">
        <is>
          <t>GRO3204</t>
        </is>
      </c>
      <c r="B1067" s="17" t="inlineStr">
        <is>
          <t>Can Fan csőventilátor RK 150LS</t>
        </is>
      </c>
      <c r="C1067" s="17" t="inlineStr">
        <is>
          <t>–</t>
        </is>
      </c>
      <c r="D1067" s="17" t="inlineStr"/>
      <c r="E1067" s="17" t="inlineStr">
        <is>
          <t>Nem tartozik ide</t>
        </is>
      </c>
      <c r="F1067" s="17" t="inlineStr">
        <is>
          <t>az elmúlt 6 hónapban</t>
        </is>
      </c>
      <c r="G1067" s="17" t="inlineStr">
        <is>
          <t>Más főkategória terméke</t>
        </is>
      </c>
    </row>
    <row r="1068">
      <c r="A1068" s="17" t="inlineStr">
        <is>
          <t>GRO3207</t>
        </is>
      </c>
      <c r="B1068" s="17" t="inlineStr">
        <is>
          <t>Phytolite CMH izzó 315 W</t>
        </is>
      </c>
      <c r="C1068" s="17" t="inlineStr">
        <is>
          <t>–</t>
        </is>
      </c>
      <c r="D1068" s="17" t="inlineStr"/>
      <c r="E1068" s="17" t="inlineStr">
        <is>
          <t>Nem tartozik ide</t>
        </is>
      </c>
      <c r="F1068" s="17" t="inlineStr">
        <is>
          <t>2025-10 – 2026-04</t>
        </is>
      </c>
      <c r="G1068" s="17" t="inlineStr">
        <is>
          <t>Más főkategória terméke</t>
        </is>
      </c>
    </row>
    <row r="1069">
      <c r="A1069" s="17" t="inlineStr">
        <is>
          <t>GRO3209</t>
        </is>
      </c>
      <c r="B1069" s="17" t="inlineStr">
        <is>
          <t>Plagron Cocos Brix pufferelt kókusztégla, 6 darabos csomag, összesen kb. 42 liter közeg</t>
        </is>
      </c>
      <c r="C1069" s="17" t="inlineStr">
        <is>
          <t>–</t>
        </is>
      </c>
      <c r="D1069" s="17" t="inlineStr"/>
      <c r="E1069" s="17" t="inlineStr">
        <is>
          <t>Nem tartozik ide</t>
        </is>
      </c>
      <c r="F1069" s="17" t="inlineStr">
        <is>
          <t>az elmúlt 30 napban</t>
        </is>
      </c>
      <c r="G1069" s="17" t="inlineStr">
        <is>
          <t>Más főkategória terméke</t>
        </is>
      </c>
    </row>
    <row r="1070">
      <c r="A1070" s="17" t="inlineStr">
        <is>
          <t>GRO3211</t>
        </is>
      </c>
      <c r="B1070" s="17" t="inlineStr">
        <is>
          <t>CAN Original aktív szénszűrő CF 2100 m3/h, 250 mm szűrővég, pelletált szénnel</t>
        </is>
      </c>
      <c r="C1070" s="17" t="inlineStr">
        <is>
          <t>–</t>
        </is>
      </c>
      <c r="D1070" s="17" t="inlineStr"/>
      <c r="E1070" s="17" t="inlineStr">
        <is>
          <t>Nem tartozik ide</t>
        </is>
      </c>
      <c r="F1070" s="17" t="inlineStr">
        <is>
          <t>az elmúlt 30 napban</t>
        </is>
      </c>
      <c r="G1070" s="17" t="inlineStr">
        <is>
          <t>Más főkategória terméke</t>
        </is>
      </c>
    </row>
    <row r="1071">
      <c r="A1071" s="17" t="inlineStr">
        <is>
          <t>GRO3212</t>
        </is>
      </c>
      <c r="B1071" s="17" t="inlineStr">
        <is>
          <t>CAN Original Prémium Szénszűrő CF 1400 m3/h, vég: 250 mm</t>
        </is>
      </c>
      <c r="C1071" s="17" t="inlineStr">
        <is>
          <t>–</t>
        </is>
      </c>
      <c r="D1071" s="17" t="inlineStr"/>
      <c r="E1071" s="17" t="inlineStr">
        <is>
          <t>Nem tartozik ide</t>
        </is>
      </c>
      <c r="F1071" s="17" t="inlineStr">
        <is>
          <t>az elmúlt 6 hónapban</t>
        </is>
      </c>
      <c r="G1071" s="17" t="inlineStr">
        <is>
          <t>Más főkategória terméke</t>
        </is>
      </c>
    </row>
    <row r="1072">
      <c r="A1072" s="17" t="inlineStr">
        <is>
          <t>GRO3213</t>
        </is>
      </c>
      <c r="B1072" s="17" t="inlineStr">
        <is>
          <t>Can-Filter Original Prémium Szénszűrő 1000 m3/h, vég: 250 mm, hossz: 75 cm</t>
        </is>
      </c>
      <c r="C1072" s="17" t="inlineStr">
        <is>
          <t>–</t>
        </is>
      </c>
      <c r="D1072" s="17" t="inlineStr"/>
      <c r="E1072" s="17" t="inlineStr">
        <is>
          <t>Nem tartozik ide</t>
        </is>
      </c>
      <c r="F1072" s="17" t="inlineStr">
        <is>
          <t>2024-10 – 2025-09 (lehet, hogy már nem aktív)</t>
        </is>
      </c>
      <c r="G1072" s="17" t="inlineStr">
        <is>
          <t>Más főkategória terméke</t>
        </is>
      </c>
    </row>
    <row r="1073">
      <c r="A1073" s="17" t="inlineStr">
        <is>
          <t>GRO3214</t>
        </is>
      </c>
      <c r="B1073" s="17" t="inlineStr">
        <is>
          <t>CAN Original aktív szénszűrő CF 700 m3/h, 150 mm szűrővég, pelletált szénnel</t>
        </is>
      </c>
      <c r="C1073" s="17" t="inlineStr">
        <is>
          <t>–</t>
        </is>
      </c>
      <c r="D1073" s="17" t="inlineStr"/>
      <c r="E1073" s="17" t="inlineStr">
        <is>
          <t>Nem tartozik ide</t>
        </is>
      </c>
      <c r="F1073" s="17" t="inlineStr">
        <is>
          <t>az elmúlt 30 napban</t>
        </is>
      </c>
      <c r="G1073" s="17" t="inlineStr">
        <is>
          <t>Más főkategória terméke</t>
        </is>
      </c>
    </row>
    <row r="1074">
      <c r="A1074" s="17" t="inlineStr">
        <is>
          <t>GRO3217</t>
        </is>
      </c>
      <c r="B1074" s="17" t="inlineStr">
        <is>
          <t>Hydrogarden Liquid Oxygen tápoldat (Guard n Aid OxyPlus) 1 liter</t>
        </is>
      </c>
      <c r="C1074" s="17" t="inlineStr">
        <is>
          <t>–</t>
        </is>
      </c>
      <c r="D1074" s="17" t="inlineStr"/>
      <c r="E1074" s="17" t="inlineStr">
        <is>
          <t>Nem tartozik ide</t>
        </is>
      </c>
      <c r="F1074" s="17" t="inlineStr">
        <is>
          <t>2025-10 – 2026-04</t>
        </is>
      </c>
      <c r="G1074" s="17" t="inlineStr">
        <is>
          <t>Más főkategória terméke</t>
        </is>
      </c>
    </row>
    <row r="1075">
      <c r="A1075" s="17" t="inlineStr">
        <is>
          <t>GRO3218</t>
        </is>
      </c>
      <c r="B1075" s="17" t="inlineStr">
        <is>
          <t>Hydrogarden Liquid Oxygen tápoldat (Guard n Aid OxyPlus) 5 liter</t>
        </is>
      </c>
      <c r="C1075" s="17" t="inlineStr">
        <is>
          <t>–</t>
        </is>
      </c>
      <c r="D1075" s="17" t="inlineStr"/>
      <c r="E1075" s="17" t="inlineStr">
        <is>
          <t>Nem tartozik ide</t>
        </is>
      </c>
      <c r="F1075" s="17" t="inlineStr">
        <is>
          <t>2025-10 – 2026-04</t>
        </is>
      </c>
      <c r="G1075" s="17" t="inlineStr">
        <is>
          <t>Más főkategória terméke</t>
        </is>
      </c>
    </row>
    <row r="1076">
      <c r="A1076" s="17" t="inlineStr">
        <is>
          <t>GRO3219</t>
        </is>
      </c>
      <c r="B1076" s="17" t="inlineStr">
        <is>
          <t>Osram Vialox NAV-T 4Y Super HPS 1000 W</t>
        </is>
      </c>
      <c r="C1076" s="17" t="inlineStr">
        <is>
          <t>–</t>
        </is>
      </c>
      <c r="D1076" s="17" t="inlineStr"/>
      <c r="E1076" s="17" t="inlineStr">
        <is>
          <t>Nem tartozik ide</t>
        </is>
      </c>
      <c r="F1076" s="17" t="inlineStr">
        <is>
          <t>2024-10 – 2025-09 (lehet, hogy már nem aktív)</t>
        </is>
      </c>
      <c r="G1076" s="17" t="inlineStr">
        <is>
          <t>Más főkategória terméke</t>
        </is>
      </c>
    </row>
    <row r="1077">
      <c r="A1077" s="17" t="inlineStr">
        <is>
          <t>GRO3223</t>
        </is>
      </c>
      <c r="B1077" s="17" t="inlineStr">
        <is>
          <t>Urban Garden Plug&amp;Play trafó 400 W HPS és MH izzókhoz, IEC és EU csatlakozóval</t>
        </is>
      </c>
      <c r="C1077" s="17" t="inlineStr">
        <is>
          <t>–</t>
        </is>
      </c>
      <c r="D1077" s="17" t="inlineStr"/>
      <c r="E1077" s="17" t="inlineStr">
        <is>
          <t>Nem tartozik ide</t>
        </is>
      </c>
      <c r="F1077" s="17" t="inlineStr">
        <is>
          <t>az elmúlt 30 napban</t>
        </is>
      </c>
      <c r="G1077" s="17" t="inlineStr">
        <is>
          <t>Más főkategória terméke</t>
        </is>
      </c>
    </row>
    <row r="1078">
      <c r="A1078" s="17" t="inlineStr">
        <is>
          <t>GRO3234</t>
        </is>
      </c>
      <c r="B1078" s="17" t="inlineStr">
        <is>
          <t>Reflektor nagy, 47,5 x 47,5 cm, E40 foglalattal és függesztő tartóval</t>
        </is>
      </c>
      <c r="C1078" s="17" t="inlineStr">
        <is>
          <t>–</t>
        </is>
      </c>
      <c r="D1078" s="17" t="inlineStr"/>
      <c r="E1078" s="17" t="inlineStr">
        <is>
          <t>Nem tartozik ide</t>
        </is>
      </c>
      <c r="F1078" s="17" t="inlineStr">
        <is>
          <t>az elmúlt 30 napban</t>
        </is>
      </c>
      <c r="G1078" s="17" t="inlineStr">
        <is>
          <t>Más főkategória terméke</t>
        </is>
      </c>
    </row>
    <row r="1079">
      <c r="A1079" s="17" t="inlineStr">
        <is>
          <t>GRO3246</t>
        </is>
      </c>
      <c r="B1079" s="17" t="inlineStr">
        <is>
          <t>BioBizz Coco-Mix kókuszrost termesztőközeg 50 liter, inert, szerves minősítésű</t>
        </is>
      </c>
      <c r="C1079" s="17" t="inlineStr">
        <is>
          <t>–</t>
        </is>
      </c>
      <c r="D1079" s="17" t="inlineStr"/>
      <c r="E1079" s="17" t="inlineStr">
        <is>
          <t>Nem tartozik ide</t>
        </is>
      </c>
      <c r="F1079" s="17" t="inlineStr">
        <is>
          <t>az elmúlt 30 napban</t>
        </is>
      </c>
      <c r="G1079" s="17" t="inlineStr">
        <is>
          <t>Más főkategória terméke</t>
        </is>
      </c>
    </row>
    <row r="1080">
      <c r="A1080" s="17" t="inlineStr">
        <is>
          <t>GRO3247</t>
        </is>
      </c>
      <c r="B1080" s="17" t="inlineStr">
        <is>
          <t>Can Filters Can-Lite 1000 aktív szénszűrő acél házzal, 1000 m3/h, 200 mm szűrővég</t>
        </is>
      </c>
      <c r="C1080" s="17" t="inlineStr">
        <is>
          <t>–</t>
        </is>
      </c>
      <c r="D1080" s="17" t="inlineStr"/>
      <c r="E1080" s="17" t="inlineStr">
        <is>
          <t>Nem tartozik ide</t>
        </is>
      </c>
      <c r="F1080" s="17" t="inlineStr">
        <is>
          <t>az elmúlt 30 napban</t>
        </is>
      </c>
      <c r="G1080" s="17" t="inlineStr">
        <is>
          <t>Más főkategória terméke</t>
        </is>
      </c>
    </row>
    <row r="1081">
      <c r="A1081" s="17" t="inlineStr">
        <is>
          <t>GRO3248</t>
        </is>
      </c>
      <c r="B1081" s="17" t="inlineStr">
        <is>
          <t>Can Filter Can Lite Szénszűrő (acél) 800 m3/h szűrővég: 160 mm</t>
        </is>
      </c>
      <c r="C1081" s="17" t="inlineStr">
        <is>
          <t>–</t>
        </is>
      </c>
      <c r="D1081" s="17" t="inlineStr"/>
      <c r="E1081" s="17" t="inlineStr">
        <is>
          <t>Nem tartozik ide</t>
        </is>
      </c>
      <c r="F1081" s="17" t="inlineStr">
        <is>
          <t>az elmúlt 30 napban</t>
        </is>
      </c>
      <c r="G1081" s="17" t="inlineStr">
        <is>
          <t>Más főkategória terméke</t>
        </is>
      </c>
    </row>
    <row r="1082">
      <c r="A1082" s="17" t="inlineStr">
        <is>
          <t>GRO3249</t>
        </is>
      </c>
      <c r="B1082" s="17" t="inlineStr">
        <is>
          <t>Can Filters Can-Lite 600 aktív szénszűrő acél házzal, 600 m3/h, 160 mm szűrővég</t>
        </is>
      </c>
      <c r="C1082" s="17" t="inlineStr">
        <is>
          <t>–</t>
        </is>
      </c>
      <c r="D1082" s="17" t="inlineStr"/>
      <c r="E1082" s="17" t="inlineStr">
        <is>
          <t>Nem tartozik ide</t>
        </is>
      </c>
      <c r="F1082" s="17" t="inlineStr">
        <is>
          <t>az elmúlt 30 napban</t>
        </is>
      </c>
      <c r="G1082" s="17" t="inlineStr">
        <is>
          <t>Más főkategória terméke</t>
        </is>
      </c>
    </row>
    <row r="1083">
      <c r="A1083" s="17" t="inlineStr">
        <is>
          <t>GRO3250</t>
        </is>
      </c>
      <c r="B1083" s="17" t="inlineStr">
        <is>
          <t>Can-Fan RK 100L centrifugális csőventilátor 100 mm, 270 m3/h</t>
        </is>
      </c>
      <c r="C1083" s="17" t="inlineStr">
        <is>
          <t>–</t>
        </is>
      </c>
      <c r="D1083" s="17" t="inlineStr"/>
      <c r="E1083" s="17" t="inlineStr">
        <is>
          <t>Nem tartozik ide</t>
        </is>
      </c>
      <c r="F1083" s="17" t="inlineStr">
        <is>
          <t>az elmúlt 30 napban</t>
        </is>
      </c>
      <c r="G1083" s="17" t="inlineStr">
        <is>
          <t>Más főkategória terméke</t>
        </is>
      </c>
    </row>
    <row r="1084">
      <c r="A1084" s="17" t="inlineStr">
        <is>
          <t>GRO3251</t>
        </is>
      </c>
      <c r="B1084" s="17" t="inlineStr">
        <is>
          <t>Can-Fan Max-Fan Pro AC diagonális csőventilátor 160 mm, 615 m3/h, 2 fokozatú kapcsolóval</t>
        </is>
      </c>
      <c r="C1084" s="17" t="inlineStr">
        <is>
          <t>–</t>
        </is>
      </c>
      <c r="D1084" s="17" t="inlineStr"/>
      <c r="E1084" s="17" t="inlineStr">
        <is>
          <t>Nem tartozik ide</t>
        </is>
      </c>
      <c r="F1084" s="17" t="inlineStr">
        <is>
          <t>az elmúlt 30 napban</t>
        </is>
      </c>
      <c r="G1084" s="17" t="inlineStr">
        <is>
          <t>Más főkategória terméke</t>
        </is>
      </c>
    </row>
    <row r="1085">
      <c r="A1085" s="17" t="inlineStr">
        <is>
          <t>GRO3252</t>
        </is>
      </c>
      <c r="B1085" s="17" t="inlineStr">
        <is>
          <t>Can Fan csőventilátor RK 160LS</t>
        </is>
      </c>
      <c r="C1085" s="17" t="inlineStr">
        <is>
          <t>–</t>
        </is>
      </c>
      <c r="D1085" s="17" t="inlineStr"/>
      <c r="E1085" s="17" t="inlineStr">
        <is>
          <t>Nem tartozik ide</t>
        </is>
      </c>
      <c r="F1085" s="17" t="inlineStr">
        <is>
          <t>az elmúlt 6 hónapban</t>
        </is>
      </c>
      <c r="G1085" s="17" t="inlineStr">
        <is>
          <t>Más főkategória terméke</t>
        </is>
      </c>
    </row>
    <row r="1086">
      <c r="A1086" s="17" t="inlineStr">
        <is>
          <t>GRO3253</t>
        </is>
      </c>
      <c r="B1086" s="17" t="inlineStr">
        <is>
          <t>Can Fan csőventilátor RK160</t>
        </is>
      </c>
      <c r="C1086" s="17" t="inlineStr">
        <is>
          <t>–</t>
        </is>
      </c>
      <c r="D1086" s="17" t="inlineStr"/>
      <c r="E1086" s="17" t="inlineStr">
        <is>
          <t>Nem tartozik ide</t>
        </is>
      </c>
      <c r="F1086" s="17" t="inlineStr">
        <is>
          <t>az elmúlt 30 napban</t>
        </is>
      </c>
      <c r="G1086" s="17" t="inlineStr">
        <is>
          <t>Más főkategória terméke</t>
        </is>
      </c>
    </row>
    <row r="1087">
      <c r="A1087" s="17" t="inlineStr">
        <is>
          <t>GRO3257</t>
        </is>
      </c>
      <c r="B1087" s="17" t="inlineStr">
        <is>
          <t>Grodan Grotop Master kőzetgyapot termesztőtábla 1000 x 150 x 100 mm</t>
        </is>
      </c>
      <c r="C1087" s="17" t="inlineStr">
        <is>
          <t>–</t>
        </is>
      </c>
      <c r="D1087" s="17" t="inlineStr"/>
      <c r="E1087" s="17" t="inlineStr">
        <is>
          <t>Nem tartozik ide</t>
        </is>
      </c>
      <c r="F1087" s="17" t="inlineStr">
        <is>
          <t>az elmúlt 30 napban</t>
        </is>
      </c>
      <c r="G1087" s="17" t="inlineStr">
        <is>
          <t>Más főkategória terméke</t>
        </is>
      </c>
    </row>
    <row r="1088">
      <c r="A1088" s="17" t="inlineStr">
        <is>
          <t>GRO3261</t>
        </is>
      </c>
      <c r="B1088" s="17" t="inlineStr">
        <is>
          <t>Plagron Sugar Royal aminosavas booster az ízért és illatért 5 liter</t>
        </is>
      </c>
      <c r="C1088" s="17" t="inlineStr">
        <is>
          <t>–</t>
        </is>
      </c>
      <c r="D1088" s="17" t="inlineStr"/>
      <c r="E1088" s="17" t="inlineStr">
        <is>
          <t>Nem tartozik ide</t>
        </is>
      </c>
      <c r="F1088" s="17" t="inlineStr">
        <is>
          <t>az elmúlt 30 napban</t>
        </is>
      </c>
      <c r="G1088" s="17" t="inlineStr">
        <is>
          <t>Más főkategória terméke</t>
        </is>
      </c>
    </row>
    <row r="1089">
      <c r="A1089" s="17" t="inlineStr">
        <is>
          <t>GRO3262</t>
        </is>
      </c>
      <c r="B1089" s="17" t="inlineStr">
        <is>
          <t>Vékony falú műanyag propagátor 57x37x21 cm, fűtés nélküli, csíráztatáshoz</t>
        </is>
      </c>
      <c r="C1089" s="17" t="inlineStr">
        <is>
          <t>–</t>
        </is>
      </c>
      <c r="D1089" s="17" t="inlineStr"/>
      <c r="E1089" s="17" t="inlineStr">
        <is>
          <t>Nem tartozik ide</t>
        </is>
      </c>
      <c r="F1089" s="17" t="inlineStr">
        <is>
          <t>az elmúlt 30 napban</t>
        </is>
      </c>
      <c r="G1089" s="17" t="inlineStr">
        <is>
          <t>Más főkategória terméke</t>
        </is>
      </c>
    </row>
    <row r="1090">
      <c r="A1090" s="17" t="inlineStr">
        <is>
          <t>GRO3263</t>
        </is>
      </c>
      <c r="B1090" s="17" t="inlineStr">
        <is>
          <t>Secret Box extraktor gyantaszitáló gép dimmelhető motorral, 40 x 30 x 28 cm</t>
        </is>
      </c>
      <c r="C1090" s="17" t="inlineStr">
        <is>
          <t>–</t>
        </is>
      </c>
      <c r="D1090" s="17" t="inlineStr"/>
      <c r="E1090" s="17" t="inlineStr">
        <is>
          <t>Nem tartozik ide</t>
        </is>
      </c>
      <c r="F1090" s="17" t="inlineStr">
        <is>
          <t>az elmúlt 30 napban</t>
        </is>
      </c>
      <c r="G1090" s="17" t="inlineStr">
        <is>
          <t>Más főkategória terméke</t>
        </is>
      </c>
    </row>
    <row r="1091">
      <c r="A1091" s="17" t="inlineStr">
        <is>
          <t>GRO3264</t>
        </is>
      </c>
      <c r="B1091" s="17" t="inlineStr">
        <is>
          <t>Vasalható vákuum zsák 50 x 55 cm</t>
        </is>
      </c>
      <c r="C1091" s="17" t="inlineStr">
        <is>
          <t>–</t>
        </is>
      </c>
      <c r="D1091" s="17" t="inlineStr"/>
      <c r="E1091" s="17" t="inlineStr">
        <is>
          <t>Nem tartozik ide</t>
        </is>
      </c>
      <c r="F1091" s="17" t="inlineStr">
        <is>
          <t>2024-10 – 2025-09 (lehet, hogy már nem aktív)</t>
        </is>
      </c>
      <c r="G1091" s="17" t="inlineStr">
        <is>
          <t>Más főkategória terméke</t>
        </is>
      </c>
    </row>
    <row r="1092">
      <c r="A1092" s="17" t="inlineStr">
        <is>
          <t>GRO3265</t>
        </is>
      </c>
      <c r="B1092" s="17" t="inlineStr">
        <is>
          <t>GIB Flower Spectrum Xtreme HPS izzó növénytermesztéshez 400W</t>
        </is>
      </c>
      <c r="C1092" s="17" t="inlineStr">
        <is>
          <t>–</t>
        </is>
      </c>
      <c r="D1092" s="17" t="inlineStr"/>
      <c r="E1092" s="17" t="inlineStr">
        <is>
          <t>Nem tartozik ide</t>
        </is>
      </c>
      <c r="F1092" s="17" t="inlineStr">
        <is>
          <t>2024-10 – 2025-09 (lehet, hogy már nem aktív)</t>
        </is>
      </c>
      <c r="G1092" s="17" t="inlineStr">
        <is>
          <t>Más főkategória terméke</t>
        </is>
      </c>
    </row>
    <row r="1093">
      <c r="A1093" s="17" t="inlineStr">
        <is>
          <t>GRO3267</t>
        </is>
      </c>
      <c r="B1093" s="17" t="inlineStr">
        <is>
          <t>GIB Growth Spectrum Advanced MH izzó (növénytermesztéshez) 400W</t>
        </is>
      </c>
      <c r="C1093" s="17" t="inlineStr">
        <is>
          <t>–</t>
        </is>
      </c>
      <c r="D1093" s="17" t="inlineStr"/>
      <c r="E1093" s="17" t="inlineStr">
        <is>
          <t>Nem tartozik ide</t>
        </is>
      </c>
      <c r="F1093" s="17" t="inlineStr">
        <is>
          <t>2024-10 – 2025-09 (lehet, hogy már nem aktív)</t>
        </is>
      </c>
      <c r="G1093" s="17" t="inlineStr">
        <is>
          <t>Más főkategória terméke</t>
        </is>
      </c>
    </row>
    <row r="1094">
      <c r="A1094" s="17" t="inlineStr">
        <is>
          <t>GRO3268</t>
        </is>
      </c>
      <c r="B1094" s="17" t="inlineStr">
        <is>
          <t>GIB Growth Spectrum Advanced fémhalogén (MH) izzó 600 W, 8000 K, E40</t>
        </is>
      </c>
      <c r="C1094" s="17" t="inlineStr">
        <is>
          <t>–</t>
        </is>
      </c>
      <c r="D1094" s="17" t="inlineStr"/>
      <c r="E1094" s="17" t="inlineStr">
        <is>
          <t>Nem tartozik ide</t>
        </is>
      </c>
      <c r="F1094" s="17" t="inlineStr">
        <is>
          <t>az elmúlt 30 napban</t>
        </is>
      </c>
      <c r="G1094" s="17" t="inlineStr">
        <is>
          <t>Más főkategória terméke</t>
        </is>
      </c>
    </row>
    <row r="1095">
      <c r="A1095" s="17" t="inlineStr">
        <is>
          <t>GRO3269</t>
        </is>
      </c>
      <c r="B1095" s="17" t="inlineStr">
        <is>
          <t>GIB Pure Bloom Xtreme HPS izzó (400 W, 600W) 400W</t>
        </is>
      </c>
      <c r="C1095" s="17" t="inlineStr">
        <is>
          <t>–</t>
        </is>
      </c>
      <c r="D1095" s="17" t="inlineStr"/>
      <c r="E1095" s="17" t="inlineStr">
        <is>
          <t>Nem tartozik ide</t>
        </is>
      </c>
      <c r="F1095" s="17" t="inlineStr">
        <is>
          <t>2024-10 – 2025-09 (lehet, hogy már nem aktív)</t>
        </is>
      </c>
      <c r="G1095" s="17" t="inlineStr">
        <is>
          <t>Más főkategória terméke</t>
        </is>
      </c>
    </row>
    <row r="1096">
      <c r="A1096" s="17" t="inlineStr">
        <is>
          <t>GRO3272</t>
        </is>
      </c>
      <c r="B1096" s="17" t="inlineStr">
        <is>
          <t>CAN-Fan LCD EC ventilátor vezérlő</t>
        </is>
      </c>
      <c r="C1096" s="17" t="inlineStr">
        <is>
          <t>–</t>
        </is>
      </c>
      <c r="D1096" s="17" t="inlineStr"/>
      <c r="E1096" s="17" t="inlineStr">
        <is>
          <t>Nem tartozik ide</t>
        </is>
      </c>
      <c r="F1096" s="17" t="inlineStr">
        <is>
          <t>az elmúlt 30 napban</t>
        </is>
      </c>
      <c r="G1096" s="17" t="inlineStr">
        <is>
          <t>Más főkategória terméke</t>
        </is>
      </c>
    </row>
    <row r="1097">
      <c r="A1097" s="17" t="inlineStr">
        <is>
          <t>GRO3273</t>
        </is>
      </c>
      <c r="B1097" s="17" t="inlineStr">
        <is>
          <t>Terra Aquatica pH test kit cseppteszt 60 ml</t>
        </is>
      </c>
      <c r="C1097" s="17" t="inlineStr">
        <is>
          <t>–</t>
        </is>
      </c>
      <c r="D1097" s="17" t="inlineStr"/>
      <c r="E1097" s="17" t="inlineStr">
        <is>
          <t>Nem tartozik ide</t>
        </is>
      </c>
      <c r="F1097" s="17" t="inlineStr">
        <is>
          <t>az elmúlt 30 napban</t>
        </is>
      </c>
      <c r="G1097" s="17" t="inlineStr">
        <is>
          <t>Más főkategória terméke</t>
        </is>
      </c>
    </row>
    <row r="1098">
      <c r="A1098" s="17" t="inlineStr">
        <is>
          <t>GRO3275</t>
        </is>
      </c>
      <c r="B1098" s="17" t="inlineStr">
        <is>
          <t>Műanyag szűkítő / bővítő cső 150-160</t>
        </is>
      </c>
      <c r="C1098" s="17" t="inlineStr">
        <is>
          <t>–</t>
        </is>
      </c>
      <c r="D1098" s="17" t="inlineStr"/>
      <c r="E1098" s="17" t="inlineStr">
        <is>
          <t>Nem tartozik ide</t>
        </is>
      </c>
      <c r="F1098" s="17" t="inlineStr">
        <is>
          <t>az elmúlt 30 napban</t>
        </is>
      </c>
      <c r="G1098" s="17" t="inlineStr">
        <is>
          <t>Más főkategória terméke</t>
        </is>
      </c>
    </row>
    <row r="1099">
      <c r="A1099" s="17" t="inlineStr">
        <is>
          <t>GRO3276</t>
        </is>
      </c>
      <c r="B1099" s="17" t="inlineStr">
        <is>
          <t>CAN Original Prémium Szénszűrő CF 350 m3/h, vég: 150 mm</t>
        </is>
      </c>
      <c r="C1099" s="17" t="inlineStr">
        <is>
          <t>–</t>
        </is>
      </c>
      <c r="D1099" s="17" t="inlineStr"/>
      <c r="E1099" s="17" t="inlineStr">
        <is>
          <t>Nem tartozik ide</t>
        </is>
      </c>
      <c r="F1099" s="17" t="inlineStr">
        <is>
          <t>az elmúlt 30 napban</t>
        </is>
      </c>
      <c r="G1099" s="17" t="inlineStr">
        <is>
          <t>Más főkategória terméke</t>
        </is>
      </c>
    </row>
    <row r="1100">
      <c r="A1100" s="17" t="inlineStr">
        <is>
          <t>GRO3281</t>
        </is>
      </c>
      <c r="B1100" s="17" t="inlineStr">
        <is>
          <t>Bluelab Truncheon tápanyagmérő (EC mérő)</t>
        </is>
      </c>
      <c r="C1100" s="17" t="inlineStr">
        <is>
          <t>–</t>
        </is>
      </c>
      <c r="D1100" s="17" t="inlineStr"/>
      <c r="E1100" s="17" t="inlineStr">
        <is>
          <t>Nem tartozik ide</t>
        </is>
      </c>
      <c r="F1100" s="17" t="inlineStr">
        <is>
          <t>az elmúlt 30 napban</t>
        </is>
      </c>
      <c r="G1100" s="17" t="inlineStr">
        <is>
          <t>Más főkategória terméke</t>
        </is>
      </c>
    </row>
    <row r="1101">
      <c r="A1101" s="17" t="inlineStr">
        <is>
          <t>GRO3282</t>
        </is>
      </c>
      <c r="B1101" s="17" t="inlineStr">
        <is>
          <t>Bluelab digitális pH mérő készülék</t>
        </is>
      </c>
      <c r="C1101" s="17" t="inlineStr">
        <is>
          <t>–</t>
        </is>
      </c>
      <c r="D1101" s="17" t="inlineStr"/>
      <c r="E1101" s="17" t="inlineStr">
        <is>
          <t>Nem tartozik ide</t>
        </is>
      </c>
      <c r="F1101" s="17" t="inlineStr">
        <is>
          <t>az elmúlt 30 napban</t>
        </is>
      </c>
      <c r="G1101" s="17" t="inlineStr">
        <is>
          <t>Más főkategória terméke</t>
        </is>
      </c>
    </row>
    <row r="1102">
      <c r="A1102" s="17" t="inlineStr">
        <is>
          <t>GRO3287</t>
        </is>
      </c>
      <c r="B1102" s="17" t="inlineStr">
        <is>
          <t>SANlight LED (Q-széria Gen2) összekötő kábel 1 m</t>
        </is>
      </c>
      <c r="C1102" s="17" t="inlineStr">
        <is>
          <t>–</t>
        </is>
      </c>
      <c r="D1102" s="17" t="inlineStr"/>
      <c r="E1102" s="17" t="inlineStr">
        <is>
          <t>Nem tartozik ide</t>
        </is>
      </c>
      <c r="F1102" s="17" t="inlineStr">
        <is>
          <t>az elmúlt 30 napban</t>
        </is>
      </c>
      <c r="G1102" s="17" t="inlineStr">
        <is>
          <t>Más főkategória terméke</t>
        </is>
      </c>
    </row>
    <row r="1103">
      <c r="A1103" s="17" t="inlineStr">
        <is>
          <t>GRO3290</t>
        </is>
      </c>
      <c r="B1103" s="17" t="inlineStr">
        <is>
          <t>SANlight LED (Q-széria Gen2) összekötő kábel 2 m</t>
        </is>
      </c>
      <c r="C1103" s="17" t="inlineStr">
        <is>
          <t>–</t>
        </is>
      </c>
      <c r="D1103" s="17" t="inlineStr"/>
      <c r="E1103" s="17" t="inlineStr">
        <is>
          <t>Nem tartozik ide</t>
        </is>
      </c>
      <c r="F1103" s="17" t="inlineStr">
        <is>
          <t>az elmúlt 30 napban</t>
        </is>
      </c>
      <c r="G1103" s="17" t="inlineStr">
        <is>
          <t>Más főkategória terméke</t>
        </is>
      </c>
    </row>
    <row r="1104">
      <c r="A1104" s="17" t="inlineStr">
        <is>
          <t>GRO3294</t>
        </is>
      </c>
      <c r="B1104" s="17" t="inlineStr">
        <is>
          <t>Cool Tube + reflektor 125 mm</t>
        </is>
      </c>
      <c r="C1104" s="17" t="inlineStr">
        <is>
          <t>–</t>
        </is>
      </c>
      <c r="D1104" s="17" t="inlineStr"/>
      <c r="E1104" s="17" t="inlineStr">
        <is>
          <t>Nem tartozik ide</t>
        </is>
      </c>
      <c r="F1104" s="17" t="inlineStr">
        <is>
          <t>az elmúlt 30 napban</t>
        </is>
      </c>
      <c r="G1104" s="17" t="inlineStr">
        <is>
          <t>Más főkategória terméke</t>
        </is>
      </c>
    </row>
    <row r="1105">
      <c r="A1105" s="17" t="inlineStr">
        <is>
          <t>GRO3295</t>
        </is>
      </c>
      <c r="B1105" s="17" t="inlineStr">
        <is>
          <t>Cool Tube + reflektor 150 mm</t>
        </is>
      </c>
      <c r="C1105" s="17" t="inlineStr">
        <is>
          <t>–</t>
        </is>
      </c>
      <c r="D1105" s="17" t="inlineStr"/>
      <c r="E1105" s="17" t="inlineStr">
        <is>
          <t>Nem tartozik ide</t>
        </is>
      </c>
      <c r="F1105" s="17" t="inlineStr">
        <is>
          <t>az elmúlt 30 napban</t>
        </is>
      </c>
      <c r="G1105" s="17" t="inlineStr">
        <is>
          <t>Más főkategória terméke</t>
        </is>
      </c>
    </row>
    <row r="1106">
      <c r="A1106" s="17" t="inlineStr">
        <is>
          <t>GRO3296</t>
        </is>
      </c>
      <c r="B1106" s="17" t="inlineStr">
        <is>
          <t>Cool Wing reflektor 150 mm</t>
        </is>
      </c>
      <c r="C1106" s="17" t="inlineStr">
        <is>
          <t>–</t>
        </is>
      </c>
      <c r="D1106" s="17" t="inlineStr"/>
      <c r="E1106" s="17" t="inlineStr">
        <is>
          <t>Nem tartozik ide</t>
        </is>
      </c>
      <c r="F1106" s="17" t="inlineStr">
        <is>
          <t>az elmúlt 30 napban</t>
        </is>
      </c>
      <c r="G1106" s="17" t="inlineStr">
        <is>
          <t>Más főkategória terméke</t>
        </is>
      </c>
    </row>
    <row r="1107">
      <c r="A1107" s="17" t="inlineStr">
        <is>
          <t>GRO3297</t>
        </is>
      </c>
      <c r="B1107" s="17" t="inlineStr">
        <is>
          <t>Cool Wing reflektor 125 mm</t>
        </is>
      </c>
      <c r="C1107" s="17" t="inlineStr">
        <is>
          <t>–</t>
        </is>
      </c>
      <c r="D1107" s="17" t="inlineStr"/>
      <c r="E1107" s="17" t="inlineStr">
        <is>
          <t>Nem tartozik ide</t>
        </is>
      </c>
      <c r="F1107" s="17" t="inlineStr">
        <is>
          <t>az elmúlt 30 napban</t>
        </is>
      </c>
      <c r="G1107" s="17" t="inlineStr">
        <is>
          <t>Más főkategória terméke</t>
        </is>
      </c>
    </row>
    <row r="1108">
      <c r="A1108" s="17" t="inlineStr">
        <is>
          <t>GRO3298</t>
        </is>
      </c>
      <c r="B1108" s="17" t="inlineStr">
        <is>
          <t>Adjust-A-Wings E40 reflektor foglalat + IEC kábel</t>
        </is>
      </c>
      <c r="C1108" s="17" t="inlineStr">
        <is>
          <t>–</t>
        </is>
      </c>
      <c r="D1108" s="17" t="inlineStr"/>
      <c r="E1108" s="17" t="inlineStr">
        <is>
          <t>Nem tartozik ide</t>
        </is>
      </c>
      <c r="F1108" s="17" t="inlineStr">
        <is>
          <t>az elmúlt 30 napban</t>
        </is>
      </c>
      <c r="G1108" s="17" t="inlineStr">
        <is>
          <t>Más főkategória terméke</t>
        </is>
      </c>
    </row>
    <row r="1109">
      <c r="A1109" s="17" t="inlineStr">
        <is>
          <t>GRO3309V</t>
        </is>
      </c>
      <c r="B1109" s="17" t="inlineStr">
        <is>
          <t>Adjust-A-Wings Avenger Large + IEC kábel 2,5 m</t>
        </is>
      </c>
      <c r="C1109" s="17" t="inlineStr">
        <is>
          <t>–</t>
        </is>
      </c>
      <c r="D1109" s="17" t="inlineStr"/>
      <c r="E1109" s="17" t="inlineStr">
        <is>
          <t>Nem tartozik ide</t>
        </is>
      </c>
      <c r="F1109" s="17" t="inlineStr">
        <is>
          <t>az elmúlt 30 napban</t>
        </is>
      </c>
      <c r="G1109" s="17" t="inlineStr">
        <is>
          <t>Más főkategória terméke</t>
        </is>
      </c>
    </row>
    <row r="1110">
      <c r="A1110" s="17" t="inlineStr">
        <is>
          <t>GRO3310</t>
        </is>
      </c>
      <c r="B1110" s="17" t="inlineStr">
        <is>
          <t>Adjust A Wings Avenger spreaderrel Medium+IEC kábel 4m</t>
        </is>
      </c>
      <c r="C1110" s="17" t="inlineStr">
        <is>
          <t>–</t>
        </is>
      </c>
      <c r="D1110" s="17" t="inlineStr"/>
      <c r="E1110" s="17" t="inlineStr">
        <is>
          <t>Nem tartozik ide</t>
        </is>
      </c>
      <c r="F1110" s="17" t="inlineStr">
        <is>
          <t>2024-10 – 2025-09 (lehet, hogy már nem aktív)</t>
        </is>
      </c>
      <c r="G1110" s="17" t="inlineStr">
        <is>
          <t>Más főkategória terméke</t>
        </is>
      </c>
    </row>
    <row r="1111">
      <c r="A1111" s="17" t="inlineStr">
        <is>
          <t>GRO3310V</t>
        </is>
      </c>
      <c r="B1111" s="17" t="inlineStr">
        <is>
          <t>Adjust-A-Wings Avenger spreaderrel Medium + IEC kábel 4 m</t>
        </is>
      </c>
      <c r="C1111" s="17" t="inlineStr">
        <is>
          <t>–</t>
        </is>
      </c>
      <c r="D1111" s="17" t="inlineStr"/>
      <c r="E1111" s="17" t="inlineStr">
        <is>
          <t>Nem tartozik ide</t>
        </is>
      </c>
      <c r="F1111" s="17" t="inlineStr">
        <is>
          <t>2025-10 – 2026-04</t>
        </is>
      </c>
      <c r="G1111" s="17" t="inlineStr">
        <is>
          <t>Más főkategória terméke</t>
        </is>
      </c>
    </row>
    <row r="1112">
      <c r="A1112" s="17" t="inlineStr">
        <is>
          <t>GRO3311V</t>
        </is>
      </c>
      <c r="B1112" s="17" t="inlineStr">
        <is>
          <t>Adjust-A-Wings Defender Large + IEC kábel 2,5 m</t>
        </is>
      </c>
      <c r="C1112" s="17" t="inlineStr">
        <is>
          <t>–</t>
        </is>
      </c>
      <c r="D1112" s="17" t="inlineStr"/>
      <c r="E1112" s="17" t="inlineStr">
        <is>
          <t>Nem tartozik ide</t>
        </is>
      </c>
      <c r="F1112" s="17" t="inlineStr">
        <is>
          <t>az elmúlt 30 napban</t>
        </is>
      </c>
      <c r="G1112" s="17" t="inlineStr">
        <is>
          <t>Más főkategória terméke</t>
        </is>
      </c>
    </row>
    <row r="1113">
      <c r="A1113" s="17" t="inlineStr">
        <is>
          <t>GRO3312V</t>
        </is>
      </c>
      <c r="B1113" s="17" t="inlineStr">
        <is>
          <t>Adjust-A-Wings Defender Medium + IEC kábel 4 m</t>
        </is>
      </c>
      <c r="C1113" s="17" t="inlineStr">
        <is>
          <t>–</t>
        </is>
      </c>
      <c r="D1113" s="17" t="inlineStr"/>
      <c r="E1113" s="17" t="inlineStr">
        <is>
          <t>Nem tartozik ide</t>
        </is>
      </c>
      <c r="F1113" s="17" t="inlineStr">
        <is>
          <t>az elmúlt 30 napban</t>
        </is>
      </c>
      <c r="G1113" s="17" t="inlineStr">
        <is>
          <t>Más főkategória terméke</t>
        </is>
      </c>
    </row>
    <row r="1114">
      <c r="A1114" s="17" t="inlineStr">
        <is>
          <t>GRO3313</t>
        </is>
      </c>
      <c r="B1114" s="17" t="inlineStr">
        <is>
          <t>Adjust A Wing Defender E40-es foglalattal Small+IEC kábel 4m</t>
        </is>
      </c>
      <c r="C1114" s="17" t="inlineStr">
        <is>
          <t>–</t>
        </is>
      </c>
      <c r="D1114" s="17" t="inlineStr"/>
      <c r="E1114" s="17" t="inlineStr">
        <is>
          <t>Nem tartozik ide</t>
        </is>
      </c>
      <c r="F1114" s="17" t="inlineStr">
        <is>
          <t>2024-10 – 2025-09 (lehet, hogy már nem aktív)</t>
        </is>
      </c>
      <c r="G1114" s="17" t="inlineStr">
        <is>
          <t>Más főkategória terméke</t>
        </is>
      </c>
    </row>
    <row r="1115">
      <c r="A1115" s="17" t="inlineStr">
        <is>
          <t>GRO3313V</t>
        </is>
      </c>
      <c r="B1115" s="17" t="inlineStr">
        <is>
          <t>Adjust-A-Wings Defender Small + IEC kábel 4 m</t>
        </is>
      </c>
      <c r="C1115" s="17" t="inlineStr">
        <is>
          <t>–</t>
        </is>
      </c>
      <c r="D1115" s="17" t="inlineStr"/>
      <c r="E1115" s="17" t="inlineStr">
        <is>
          <t>Nem tartozik ide</t>
        </is>
      </c>
      <c r="F1115" s="17" t="inlineStr">
        <is>
          <t>2025-10 – 2026-04</t>
        </is>
      </c>
      <c r="G1115" s="17" t="inlineStr">
        <is>
          <t>Más főkategória terméke</t>
        </is>
      </c>
    </row>
    <row r="1116">
      <c r="A1116" s="17" t="inlineStr">
        <is>
          <t>GRO3315</t>
        </is>
      </c>
      <c r="B1116" s="17" t="inlineStr">
        <is>
          <t>Adjust A Wing Enforcer Reflektor Medium+IEC kábel 4m</t>
        </is>
      </c>
      <c r="C1116" s="17" t="inlineStr">
        <is>
          <t>–</t>
        </is>
      </c>
      <c r="D1116" s="17" t="inlineStr"/>
      <c r="E1116" s="17" t="inlineStr">
        <is>
          <t>Nem tartozik ide</t>
        </is>
      </c>
      <c r="F1116" s="17" t="inlineStr">
        <is>
          <t>2024-10 – 2025-09 (lehet, hogy már nem aktív)</t>
        </is>
      </c>
      <c r="G1116" s="17" t="inlineStr">
        <is>
          <t>Más főkategória terméke</t>
        </is>
      </c>
    </row>
    <row r="1117">
      <c r="A1117" s="17" t="inlineStr">
        <is>
          <t>GRO3315V</t>
        </is>
      </c>
      <c r="B1117" s="17" t="inlineStr">
        <is>
          <t>Adjust-A-Wings Enforcer Medium + IEC kábel 4 m</t>
        </is>
      </c>
      <c r="C1117" s="17" t="inlineStr">
        <is>
          <t>–</t>
        </is>
      </c>
      <c r="D1117" s="17" t="inlineStr"/>
      <c r="E1117" s="17" t="inlineStr">
        <is>
          <t>Nem tartozik ide</t>
        </is>
      </c>
      <c r="F1117" s="17" t="inlineStr">
        <is>
          <t>az elmúlt 30 napban</t>
        </is>
      </c>
      <c r="G1117" s="17" t="inlineStr">
        <is>
          <t>Más főkategória terméke</t>
        </is>
      </c>
    </row>
    <row r="1118">
      <c r="A1118" s="17" t="inlineStr">
        <is>
          <t>GRO3316</t>
        </is>
      </c>
      <c r="B1118" s="17" t="inlineStr">
        <is>
          <t>Adjust A Wings Avenger spreaderrel Large</t>
        </is>
      </c>
      <c r="C1118" s="17" t="inlineStr">
        <is>
          <t>–</t>
        </is>
      </c>
      <c r="D1118" s="17" t="inlineStr"/>
      <c r="E1118" s="17" t="inlineStr">
        <is>
          <t>Nem tartozik ide</t>
        </is>
      </c>
      <c r="F1118" s="17" t="inlineStr">
        <is>
          <t>2024-10 – 2025-09 (lehet, hogy már nem aktív)</t>
        </is>
      </c>
      <c r="G1118" s="17" t="inlineStr">
        <is>
          <t>Más főkategória terméke</t>
        </is>
      </c>
    </row>
    <row r="1119">
      <c r="A1119" s="17" t="inlineStr">
        <is>
          <t>GRO3316V</t>
        </is>
      </c>
      <c r="B1119" s="17" t="inlineStr">
        <is>
          <t>Adjust-A-Wings Avenger Large</t>
        </is>
      </c>
      <c r="C1119" s="17" t="inlineStr">
        <is>
          <t>–</t>
        </is>
      </c>
      <c r="D1119" s="17" t="inlineStr"/>
      <c r="E1119" s="17" t="inlineStr">
        <is>
          <t>Nem tartozik ide</t>
        </is>
      </c>
      <c r="F1119" s="17" t="inlineStr">
        <is>
          <t>az elmúlt 30 napban</t>
        </is>
      </c>
      <c r="G1119" s="17" t="inlineStr">
        <is>
          <t>Más főkategória terméke</t>
        </is>
      </c>
    </row>
    <row r="1120">
      <c r="A1120" s="17" t="inlineStr">
        <is>
          <t>GRO3317</t>
        </is>
      </c>
      <c r="B1120" s="17" t="inlineStr">
        <is>
          <t>Adjust A Wings Avenger spreaderrel Medium</t>
        </is>
      </c>
      <c r="C1120" s="17" t="inlineStr">
        <is>
          <t>–</t>
        </is>
      </c>
      <c r="D1120" s="17" t="inlineStr"/>
      <c r="E1120" s="17" t="inlineStr">
        <is>
          <t>Nem tartozik ide</t>
        </is>
      </c>
      <c r="F1120" s="17" t="inlineStr">
        <is>
          <t>2024-10 – 2025-09 (lehet, hogy már nem aktív)</t>
        </is>
      </c>
      <c r="G1120" s="17" t="inlineStr">
        <is>
          <t>Más főkategória terméke</t>
        </is>
      </c>
    </row>
    <row r="1121">
      <c r="A1121" s="17" t="inlineStr">
        <is>
          <t>GRO3317V</t>
        </is>
      </c>
      <c r="B1121" s="17" t="inlineStr">
        <is>
          <t>Adjust-A-Wings Avenger Medium</t>
        </is>
      </c>
      <c r="C1121" s="17" t="inlineStr">
        <is>
          <t>–</t>
        </is>
      </c>
      <c r="D1121" s="17" t="inlineStr"/>
      <c r="E1121" s="17" t="inlineStr">
        <is>
          <t>Nem tartozik ide</t>
        </is>
      </c>
      <c r="F1121" s="17" t="inlineStr">
        <is>
          <t>az elmúlt 30 napban</t>
        </is>
      </c>
      <c r="G1121" s="17" t="inlineStr">
        <is>
          <t>Más főkategória terméke</t>
        </is>
      </c>
    </row>
    <row r="1122">
      <c r="A1122" s="17" t="inlineStr">
        <is>
          <t>GRO3318</t>
        </is>
      </c>
      <c r="B1122" s="17" t="inlineStr">
        <is>
          <t>Adjust-A-Wings Defender Large</t>
        </is>
      </c>
      <c r="C1122" s="17" t="inlineStr">
        <is>
          <t>–</t>
        </is>
      </c>
      <c r="D1122" s="17" t="inlineStr"/>
      <c r="E1122" s="17" t="inlineStr">
        <is>
          <t>Nem tartozik ide</t>
        </is>
      </c>
      <c r="F1122" s="17" t="inlineStr">
        <is>
          <t>2024-10 – 2025-09 (lehet, hogy már nem aktív)</t>
        </is>
      </c>
      <c r="G1122" s="17" t="inlineStr">
        <is>
          <t>Más főkategória terméke</t>
        </is>
      </c>
    </row>
    <row r="1123">
      <c r="A1123" s="17" t="inlineStr">
        <is>
          <t>GRO3318V</t>
        </is>
      </c>
      <c r="B1123" s="17" t="inlineStr">
        <is>
          <t>Adjust-a-Wings Defender Large reflektor E40 foglalattal</t>
        </is>
      </c>
      <c r="C1123" s="17" t="inlineStr">
        <is>
          <t>–</t>
        </is>
      </c>
      <c r="D1123" s="17" t="inlineStr"/>
      <c r="E1123" s="17" t="inlineStr">
        <is>
          <t>Nem tartozik ide</t>
        </is>
      </c>
      <c r="F1123" s="17" t="inlineStr">
        <is>
          <t>az elmúlt 30 napban</t>
        </is>
      </c>
      <c r="G1123" s="17" t="inlineStr">
        <is>
          <t>Más főkategória terméke</t>
        </is>
      </c>
    </row>
    <row r="1124">
      <c r="A1124" s="17" t="inlineStr">
        <is>
          <t>GRO3319</t>
        </is>
      </c>
      <c r="B1124" s="17" t="inlineStr">
        <is>
          <t>Adjust A Wing Defender E40-es foglalattal Medium</t>
        </is>
      </c>
      <c r="C1124" s="17" t="inlineStr">
        <is>
          <t>–</t>
        </is>
      </c>
      <c r="D1124" s="17" t="inlineStr"/>
      <c r="E1124" s="17" t="inlineStr">
        <is>
          <t>Nem tartozik ide</t>
        </is>
      </c>
      <c r="F1124" s="17" t="inlineStr">
        <is>
          <t>2024-10 – 2025-09 (lehet, hogy már nem aktív)</t>
        </is>
      </c>
      <c r="G1124" s="17" t="inlineStr">
        <is>
          <t>Más főkategória terméke</t>
        </is>
      </c>
    </row>
    <row r="1125">
      <c r="A1125" s="17" t="inlineStr">
        <is>
          <t>GRO3319V</t>
        </is>
      </c>
      <c r="B1125" s="17" t="inlineStr">
        <is>
          <t>Adjust-A-Wings Defender Medium</t>
        </is>
      </c>
      <c r="C1125" s="17" t="inlineStr">
        <is>
          <t>–</t>
        </is>
      </c>
      <c r="D1125" s="17" t="inlineStr"/>
      <c r="E1125" s="17" t="inlineStr">
        <is>
          <t>Nem tartozik ide</t>
        </is>
      </c>
      <c r="F1125" s="17" t="inlineStr">
        <is>
          <t>az elmúlt 6 hónapban</t>
        </is>
      </c>
      <c r="G1125" s="17" t="inlineStr">
        <is>
          <t>Más főkategória terméke</t>
        </is>
      </c>
    </row>
    <row r="1126">
      <c r="A1126" s="17" t="inlineStr">
        <is>
          <t>GRO3320</t>
        </is>
      </c>
      <c r="B1126" s="17" t="inlineStr">
        <is>
          <t>Adjust A Wing Defender E40-es foglalattal Small</t>
        </is>
      </c>
      <c r="C1126" s="17" t="inlineStr">
        <is>
          <t>–</t>
        </is>
      </c>
      <c r="D1126" s="17" t="inlineStr"/>
      <c r="E1126" s="17" t="inlineStr">
        <is>
          <t>Nem tartozik ide</t>
        </is>
      </c>
      <c r="F1126" s="17" t="inlineStr">
        <is>
          <t>2024-10 – 2025-09 (lehet, hogy már nem aktív)</t>
        </is>
      </c>
      <c r="G1126" s="17" t="inlineStr">
        <is>
          <t>Más főkategória terméke</t>
        </is>
      </c>
    </row>
    <row r="1127">
      <c r="A1127" s="17" t="inlineStr">
        <is>
          <t>GRO3320V</t>
        </is>
      </c>
      <c r="B1127" s="17" t="inlineStr">
        <is>
          <t>Adjust-A-Wings Defender Small</t>
        </is>
      </c>
      <c r="C1127" s="17" t="inlineStr">
        <is>
          <t>–</t>
        </is>
      </c>
      <c r="D1127" s="17" t="inlineStr"/>
      <c r="E1127" s="17" t="inlineStr">
        <is>
          <t>Nem tartozik ide</t>
        </is>
      </c>
      <c r="F1127" s="17" t="inlineStr">
        <is>
          <t>az elmúlt 30 napban</t>
        </is>
      </c>
      <c r="G1127" s="17" t="inlineStr">
        <is>
          <t>Más főkategória terméke</t>
        </is>
      </c>
    </row>
    <row r="1128">
      <c r="A1128" s="17" t="inlineStr">
        <is>
          <t>GRO3322</t>
        </is>
      </c>
      <c r="B1128" s="17" t="inlineStr">
        <is>
          <t>Adjust A Wing Enforcer Reflektor Medium</t>
        </is>
      </c>
      <c r="C1128" s="17" t="inlineStr">
        <is>
          <t>–</t>
        </is>
      </c>
      <c r="D1128" s="17" t="inlineStr"/>
      <c r="E1128" s="17" t="inlineStr">
        <is>
          <t>Nem tartozik ide</t>
        </is>
      </c>
      <c r="F1128" s="17" t="inlineStr">
        <is>
          <t>2024-10 – 2025-09 (lehet, hogy már nem aktív)</t>
        </is>
      </c>
      <c r="G1128" s="17" t="inlineStr">
        <is>
          <t>Más főkategória terméke</t>
        </is>
      </c>
    </row>
    <row r="1129">
      <c r="A1129" s="17" t="inlineStr">
        <is>
          <t>GRO3322V</t>
        </is>
      </c>
      <c r="B1129" s="17" t="inlineStr">
        <is>
          <t>Adjust-A-Wings Enforcer Medium</t>
        </is>
      </c>
      <c r="C1129" s="17" t="inlineStr">
        <is>
          <t>–</t>
        </is>
      </c>
      <c r="D1129" s="17" t="inlineStr"/>
      <c r="E1129" s="17" t="inlineStr">
        <is>
          <t>Nem tartozik ide</t>
        </is>
      </c>
      <c r="F1129" s="17" t="inlineStr">
        <is>
          <t>az elmúlt 30 napban</t>
        </is>
      </c>
      <c r="G1129" s="17" t="inlineStr">
        <is>
          <t>Más főkategória terméke</t>
        </is>
      </c>
    </row>
    <row r="1130">
      <c r="A1130" s="17" t="inlineStr">
        <is>
          <t>GRO3323</t>
        </is>
      </c>
      <c r="B1130" s="17" t="inlineStr">
        <is>
          <t>Cezio párásító (6,5 l / h)</t>
        </is>
      </c>
      <c r="C1130" s="17" t="inlineStr">
        <is>
          <t>–</t>
        </is>
      </c>
      <c r="D1130" s="17" t="inlineStr"/>
      <c r="E1130" s="17" t="inlineStr">
        <is>
          <t>Nem tartozik ide</t>
        </is>
      </c>
      <c r="F1130" s="17" t="inlineStr">
        <is>
          <t>2025-10 – 2026-04</t>
        </is>
      </c>
      <c r="G1130" s="17" t="inlineStr">
        <is>
          <t>Más főkategória terméke</t>
        </is>
      </c>
    </row>
    <row r="1131">
      <c r="A1131" s="17" t="inlineStr">
        <is>
          <t>GRO3325</t>
        </is>
      </c>
      <c r="B1131" s="17" t="inlineStr">
        <is>
          <t>Sylvania SHP-T HPS izzó 1000W V2 E40</t>
        </is>
      </c>
      <c r="C1131" s="17" t="inlineStr">
        <is>
          <t>–</t>
        </is>
      </c>
      <c r="D1131" s="17" t="inlineStr"/>
      <c r="E1131" s="17" t="inlineStr">
        <is>
          <t>Nem tartozik ide</t>
        </is>
      </c>
      <c r="F1131" s="17" t="inlineStr">
        <is>
          <t>2025-10 – 2026-04</t>
        </is>
      </c>
      <c r="G1131" s="17" t="inlineStr">
        <is>
          <t>Más főkategória terméke</t>
        </is>
      </c>
    </row>
    <row r="1132">
      <c r="A1132" s="17" t="inlineStr">
        <is>
          <t>GRO3326</t>
        </is>
      </c>
      <c r="B1132" s="17" t="inlineStr">
        <is>
          <t>Homebox Ambient Növény sátor Q200+</t>
        </is>
      </c>
      <c r="C1132" s="17" t="inlineStr">
        <is>
          <t>–</t>
        </is>
      </c>
      <c r="D1132" s="17" t="inlineStr"/>
      <c r="E1132" s="17" t="inlineStr">
        <is>
          <t>Nem tartozik ide</t>
        </is>
      </c>
      <c r="F1132" s="17" t="inlineStr">
        <is>
          <t>az elmúlt 6 hónapban</t>
        </is>
      </c>
      <c r="G1132" s="17" t="inlineStr">
        <is>
          <t>Más főkategória terméke</t>
        </is>
      </c>
    </row>
    <row r="1133">
      <c r="A1133" s="17" t="inlineStr">
        <is>
          <t>GRO3327</t>
        </is>
      </c>
      <c r="B1133" s="17" t="inlineStr">
        <is>
          <t>Homebox Ambient Növény sátor Q240+</t>
        </is>
      </c>
      <c r="C1133" s="17" t="inlineStr">
        <is>
          <t>–</t>
        </is>
      </c>
      <c r="D1133" s="17" t="inlineStr"/>
      <c r="E1133" s="17" t="inlineStr">
        <is>
          <t>Nem tartozik ide</t>
        </is>
      </c>
      <c r="F1133" s="17" t="inlineStr">
        <is>
          <t>az elmúlt 30 napban</t>
        </is>
      </c>
      <c r="G1133" s="17" t="inlineStr">
        <is>
          <t>Más főkategória terméke</t>
        </is>
      </c>
    </row>
    <row r="1134">
      <c r="A1134" s="17" t="inlineStr">
        <is>
          <t>GRO3328</t>
        </is>
      </c>
      <c r="B1134" s="17" t="inlineStr">
        <is>
          <t>Homebox Ambient Növény sátor Q300+</t>
        </is>
      </c>
      <c r="C1134" s="17" t="inlineStr">
        <is>
          <t>–</t>
        </is>
      </c>
      <c r="D1134" s="17" t="inlineStr"/>
      <c r="E1134" s="17" t="inlineStr">
        <is>
          <t>Nem tartozik ide</t>
        </is>
      </c>
      <c r="F1134" s="17" t="inlineStr">
        <is>
          <t>az elmúlt 6 hónapban</t>
        </is>
      </c>
      <c r="G1134" s="17" t="inlineStr">
        <is>
          <t>Más főkategória terméke</t>
        </is>
      </c>
    </row>
    <row r="1135">
      <c r="A1135" s="17" t="inlineStr">
        <is>
          <t>GRO3329</t>
        </is>
      </c>
      <c r="B1135" s="17" t="inlineStr">
        <is>
          <t>Secret Jardin DF16 fényterelő mikro hálóval</t>
        </is>
      </c>
      <c r="C1135" s="17" t="inlineStr">
        <is>
          <t>–</t>
        </is>
      </c>
      <c r="D1135" s="17" t="inlineStr"/>
      <c r="E1135" s="17" t="inlineStr">
        <is>
          <t>Nem tartozik ide</t>
        </is>
      </c>
      <c r="F1135" s="17" t="inlineStr">
        <is>
          <t>az elmúlt 30 napban</t>
        </is>
      </c>
      <c r="G1135" s="17" t="inlineStr">
        <is>
          <t>Más főkategória terméke</t>
        </is>
      </c>
    </row>
    <row r="1136">
      <c r="A1136" s="17" t="inlineStr">
        <is>
          <t>GRO3331</t>
        </is>
      </c>
      <c r="B1136" s="17" t="inlineStr">
        <is>
          <t>Secret Jardin DF16 cső befogókeret 16mm</t>
        </is>
      </c>
      <c r="C1136" s="17" t="inlineStr">
        <is>
          <t>–</t>
        </is>
      </c>
      <c r="D1136" s="17" t="inlineStr"/>
      <c r="E1136" s="17" t="inlineStr">
        <is>
          <t>Nem tartozik ide</t>
        </is>
      </c>
      <c r="F1136" s="17" t="inlineStr">
        <is>
          <t>az elmúlt 30 napban</t>
        </is>
      </c>
      <c r="G1136" s="17" t="inlineStr">
        <is>
          <t>Más főkategória terméke</t>
        </is>
      </c>
    </row>
    <row r="1137">
      <c r="A1137" s="17" t="inlineStr">
        <is>
          <t>GRO3336</t>
        </is>
      </c>
      <c r="B1137" s="17" t="inlineStr">
        <is>
          <t>Bluelab EC / ppm mérő, hőmérsékletmérő</t>
        </is>
      </c>
      <c r="C1137" s="17" t="inlineStr">
        <is>
          <t>–</t>
        </is>
      </c>
      <c r="D1137" s="17" t="inlineStr"/>
      <c r="E1137" s="17" t="inlineStr">
        <is>
          <t>Nem tartozik ide</t>
        </is>
      </c>
      <c r="F1137" s="17" t="inlineStr">
        <is>
          <t>az elmúlt 30 napban</t>
        </is>
      </c>
      <c r="G1137" s="17" t="inlineStr">
        <is>
          <t>Más főkategória terméke</t>
        </is>
      </c>
    </row>
    <row r="1138">
      <c r="A1138" s="17" t="inlineStr">
        <is>
          <t>GRO3353</t>
        </is>
      </c>
      <c r="B1138" s="17" t="inlineStr">
        <is>
          <t>Can Filter Can Lite Szénszűrő (acél) 425 m3/h szűrővég: 160 mm</t>
        </is>
      </c>
      <c r="C1138" s="17" t="inlineStr">
        <is>
          <t>–</t>
        </is>
      </c>
      <c r="D1138" s="17" t="inlineStr"/>
      <c r="E1138" s="17" t="inlineStr">
        <is>
          <t>Nem tartozik ide</t>
        </is>
      </c>
      <c r="F1138" s="17" t="inlineStr">
        <is>
          <t>az elmúlt 30 napban</t>
        </is>
      </c>
      <c r="G1138" s="17" t="inlineStr">
        <is>
          <t>Más főkategória terméke</t>
        </is>
      </c>
    </row>
    <row r="1139">
      <c r="A1139" s="17" t="inlineStr">
        <is>
          <t>GRO3354</t>
        </is>
      </c>
      <c r="B1139" s="17" t="inlineStr">
        <is>
          <t>Can-Fan ISO-Max hangszigetelt csőventilátor 160 mm 430 m3/h (3 sebesség)</t>
        </is>
      </c>
      <c r="C1139" s="17" t="inlineStr">
        <is>
          <t>–</t>
        </is>
      </c>
      <c r="D1139" s="17" t="inlineStr"/>
      <c r="E1139" s="17" t="inlineStr">
        <is>
          <t>Nem tartozik ide</t>
        </is>
      </c>
      <c r="F1139" s="17" t="inlineStr">
        <is>
          <t>az elmúlt 30 napban</t>
        </is>
      </c>
      <c r="G1139" s="17" t="inlineStr">
        <is>
          <t>Más főkategória terméke</t>
        </is>
      </c>
    </row>
    <row r="1140">
      <c r="A1140" s="17" t="inlineStr">
        <is>
          <t>GRO3356</t>
        </is>
      </c>
      <c r="B1140" s="17" t="inlineStr">
        <is>
          <t>Can-Fan Satellite 4A sebességszabályzó</t>
        </is>
      </c>
      <c r="C1140" s="17" t="inlineStr">
        <is>
          <t>–</t>
        </is>
      </c>
      <c r="D1140" s="17" t="inlineStr"/>
      <c r="E1140" s="17" t="inlineStr">
        <is>
          <t>Nem tartozik ide</t>
        </is>
      </c>
      <c r="F1140" s="17" t="inlineStr">
        <is>
          <t>az elmúlt 30 napban</t>
        </is>
      </c>
      <c r="G1140" s="17" t="inlineStr">
        <is>
          <t>Más főkategória terméke</t>
        </is>
      </c>
    </row>
    <row r="1141">
      <c r="A1141" s="17" t="inlineStr">
        <is>
          <t>GRO3357</t>
        </is>
      </c>
      <c r="B1141" s="17" t="inlineStr">
        <is>
          <t>Urban Garden Spy Full Spectrum LED</t>
        </is>
      </c>
      <c r="C1141" s="17" t="inlineStr">
        <is>
          <t>–</t>
        </is>
      </c>
      <c r="D1141" s="17" t="inlineStr"/>
      <c r="E1141" s="17" t="inlineStr">
        <is>
          <t>Nem tartozik ide</t>
        </is>
      </c>
      <c r="F1141" s="17" t="inlineStr">
        <is>
          <t>2025-10 – 2026-04</t>
        </is>
      </c>
      <c r="G1141" s="17" t="inlineStr">
        <is>
          <t>Más főkategória terméke</t>
        </is>
      </c>
    </row>
    <row r="1142">
      <c r="A1142" s="17" t="inlineStr">
        <is>
          <t>GRO3364</t>
        </is>
      </c>
      <c r="B1142" s="17" t="inlineStr">
        <is>
          <t>Horti Gear mágneses trafó 400W</t>
        </is>
      </c>
      <c r="C1142" s="17" t="inlineStr">
        <is>
          <t>–</t>
        </is>
      </c>
      <c r="D1142" s="17" t="inlineStr"/>
      <c r="E1142" s="17" t="inlineStr">
        <is>
          <t>Nem tartozik ide</t>
        </is>
      </c>
      <c r="F1142" s="17" t="inlineStr">
        <is>
          <t>az elmúlt 30 napban</t>
        </is>
      </c>
      <c r="G1142" s="17" t="inlineStr">
        <is>
          <t>Más főkategória terméke</t>
        </is>
      </c>
    </row>
    <row r="1143">
      <c r="A1143" s="17" t="inlineStr">
        <is>
          <t>GRO3365</t>
        </is>
      </c>
      <c r="B1143" s="17" t="inlineStr">
        <is>
          <t>Horti Gear mágneses trafó 150W</t>
        </is>
      </c>
      <c r="C1143" s="17" t="inlineStr">
        <is>
          <t>–</t>
        </is>
      </c>
      <c r="D1143" s="17" t="inlineStr"/>
      <c r="E1143" s="17" t="inlineStr">
        <is>
          <t>Nem tartozik ide</t>
        </is>
      </c>
      <c r="F1143" s="17" t="inlineStr">
        <is>
          <t>az elmúlt 6 hónapban</t>
        </is>
      </c>
      <c r="G1143" s="17" t="inlineStr">
        <is>
          <t>Más főkategória terméke</t>
        </is>
      </c>
    </row>
    <row r="1144">
      <c r="A1144" s="17" t="inlineStr">
        <is>
          <t>GRO3366</t>
        </is>
      </c>
      <c r="B1144" s="17" t="inlineStr">
        <is>
          <t>Horti Gear mágneses trafó 250W</t>
        </is>
      </c>
      <c r="C1144" s="17" t="inlineStr">
        <is>
          <t>–</t>
        </is>
      </c>
      <c r="D1144" s="17" t="inlineStr"/>
      <c r="E1144" s="17" t="inlineStr">
        <is>
          <t>Nem tartozik ide</t>
        </is>
      </c>
      <c r="F1144" s="17" t="inlineStr">
        <is>
          <t>az elmúlt 30 napban</t>
        </is>
      </c>
      <c r="G1144" s="17" t="inlineStr">
        <is>
          <t>Más főkategória terméke</t>
        </is>
      </c>
    </row>
    <row r="1145">
      <c r="A1145" s="17" t="inlineStr">
        <is>
          <t>GRO3368</t>
        </is>
      </c>
      <c r="B1145" s="17" t="inlineStr">
        <is>
          <t>Homebox Ambient Növény sátor R300+</t>
        </is>
      </c>
      <c r="C1145" s="17" t="inlineStr">
        <is>
          <t>–</t>
        </is>
      </c>
      <c r="D1145" s="17" t="inlineStr"/>
      <c r="E1145" s="17" t="inlineStr">
        <is>
          <t>Nem tartozik ide</t>
        </is>
      </c>
      <c r="F1145" s="17" t="inlineStr">
        <is>
          <t>az elmúlt 6 hónapban</t>
        </is>
      </c>
      <c r="G1145" s="17" t="inlineStr">
        <is>
          <t>Más főkategória terméke</t>
        </is>
      </c>
    </row>
    <row r="1146">
      <c r="A1146" s="17" t="inlineStr">
        <is>
          <t>GRO3371</t>
        </is>
      </c>
      <c r="B1146" s="17" t="inlineStr">
        <is>
          <t>Lumatek ZEUS LED 600W 2.6</t>
        </is>
      </c>
      <c r="C1146" s="17" t="inlineStr">
        <is>
          <t>–</t>
        </is>
      </c>
      <c r="D1146" s="17" t="inlineStr"/>
      <c r="E1146" s="17" t="inlineStr">
        <is>
          <t>Nem tartozik ide</t>
        </is>
      </c>
      <c r="F1146" s="17" t="inlineStr">
        <is>
          <t>2024-10 – 2025-09 (lehet, hogy már nem aktív)</t>
        </is>
      </c>
      <c r="G1146" s="17" t="inlineStr">
        <is>
          <t>Más főkategória terméke</t>
        </is>
      </c>
    </row>
    <row r="1147">
      <c r="A1147" s="17" t="inlineStr">
        <is>
          <t>GRO3373</t>
        </is>
      </c>
      <c r="B1147" s="17" t="inlineStr">
        <is>
          <t>Bluelab connect stick 2</t>
        </is>
      </c>
      <c r="C1147" s="17" t="inlineStr">
        <is>
          <t>–</t>
        </is>
      </c>
      <c r="D1147" s="17" t="inlineStr"/>
      <c r="E1147" s="17" t="inlineStr">
        <is>
          <t>Nem tartozik ide</t>
        </is>
      </c>
      <c r="F1147" s="17" t="inlineStr">
        <is>
          <t>az elmúlt 30 napban</t>
        </is>
      </c>
      <c r="G1147" s="17" t="inlineStr">
        <is>
          <t>Más főkategória terméke</t>
        </is>
      </c>
    </row>
    <row r="1148">
      <c r="A1148" s="17" t="inlineStr">
        <is>
          <t>GRO3374</t>
        </is>
      </c>
      <c r="B1148" s="17" t="inlineStr">
        <is>
          <t>ADWA AD33 digitális EC mérő</t>
        </is>
      </c>
      <c r="C1148" s="17" t="inlineStr">
        <is>
          <t>–</t>
        </is>
      </c>
      <c r="D1148" s="17" t="inlineStr"/>
      <c r="E1148" s="17" t="inlineStr">
        <is>
          <t>Nem tartozik ide</t>
        </is>
      </c>
      <c r="F1148" s="17" t="inlineStr">
        <is>
          <t>az elmúlt 30 napban</t>
        </is>
      </c>
      <c r="G1148" s="17" t="inlineStr">
        <is>
          <t>Más főkategória terméke</t>
        </is>
      </c>
    </row>
    <row r="1149">
      <c r="A1149" s="17" t="inlineStr">
        <is>
          <t>GRO3376</t>
        </is>
      </c>
      <c r="B1149" s="17" t="inlineStr">
        <is>
          <t>GSE hőmérséklet- és minimum sebesség szabályzó</t>
        </is>
      </c>
      <c r="C1149" s="17" t="inlineStr">
        <is>
          <t>–</t>
        </is>
      </c>
      <c r="D1149" s="17" t="inlineStr"/>
      <c r="E1149" s="17" t="inlineStr">
        <is>
          <t>Nem tartozik ide</t>
        </is>
      </c>
      <c r="F1149" s="17" t="inlineStr">
        <is>
          <t>az elmúlt 30 napban</t>
        </is>
      </c>
      <c r="G1149" s="17" t="inlineStr">
        <is>
          <t>Más főkategória terméke</t>
        </is>
      </c>
    </row>
    <row r="1150">
      <c r="A1150" s="17" t="inlineStr">
        <is>
          <t>GRO3381</t>
        </is>
      </c>
      <c r="B1150" s="17" t="inlineStr">
        <is>
          <t>BioNova X-ceL 5 liter</t>
        </is>
      </c>
      <c r="C1150" s="17" t="inlineStr">
        <is>
          <t>–</t>
        </is>
      </c>
      <c r="D1150" s="17" t="inlineStr"/>
      <c r="E1150" s="17" t="inlineStr">
        <is>
          <t>Nem tartozik ide</t>
        </is>
      </c>
      <c r="F1150" s="17" t="inlineStr">
        <is>
          <t>az elmúlt 6 hónapban</t>
        </is>
      </c>
      <c r="G1150" s="17" t="inlineStr">
        <is>
          <t>Más főkategória terméke</t>
        </is>
      </c>
    </row>
    <row r="1151">
      <c r="A1151" s="17" t="inlineStr">
        <is>
          <t>GRO3383</t>
        </is>
      </c>
      <c r="B1151" s="17" t="inlineStr">
        <is>
          <t>BioNova The Missing Link (TML) 5 liter</t>
        </is>
      </c>
      <c r="C1151" s="17" t="inlineStr">
        <is>
          <t>–</t>
        </is>
      </c>
      <c r="D1151" s="17" t="inlineStr"/>
      <c r="E1151" s="17" t="inlineStr">
        <is>
          <t>Nem tartozik ide</t>
        </is>
      </c>
      <c r="F1151" s="17" t="inlineStr">
        <is>
          <t>az elmúlt 6 hónapban</t>
        </is>
      </c>
      <c r="G1151" s="17" t="inlineStr">
        <is>
          <t>Más főkategória terméke</t>
        </is>
      </c>
    </row>
    <row r="1152">
      <c r="A1152" s="17" t="inlineStr">
        <is>
          <t>GRO3386</t>
        </is>
      </c>
      <c r="B1152" s="17" t="inlineStr">
        <is>
          <t>Secret Jardin Daisy Reflektor izzóhoz Daisy E40 Ø60cm</t>
        </is>
      </c>
      <c r="C1152" s="17" t="inlineStr">
        <is>
          <t>–</t>
        </is>
      </c>
      <c r="D1152" s="17" t="inlineStr"/>
      <c r="E1152" s="17" t="inlineStr">
        <is>
          <t>Nem tartozik ide</t>
        </is>
      </c>
      <c r="F1152" s="17" t="inlineStr">
        <is>
          <t>2024-10 – 2025-09 (lehet, hogy már nem aktív)</t>
        </is>
      </c>
      <c r="G1152" s="17" t="inlineStr">
        <is>
          <t>Más főkategória terméke</t>
        </is>
      </c>
    </row>
    <row r="1153">
      <c r="A1153" s="17" t="inlineStr">
        <is>
          <t>GRO3389</t>
        </is>
      </c>
      <c r="B1153" s="17" t="inlineStr">
        <is>
          <t>Secret Jardin Daisy Reflektor S.J. Daisy Ø80cm CMH-IEC 315W</t>
        </is>
      </c>
      <c r="C1153" s="17" t="inlineStr">
        <is>
          <t>–</t>
        </is>
      </c>
      <c r="D1153" s="17" t="inlineStr"/>
      <c r="E1153" s="17" t="inlineStr">
        <is>
          <t>Nem tartozik ide</t>
        </is>
      </c>
      <c r="F1153" s="17" t="inlineStr">
        <is>
          <t>az elmúlt 30 napban</t>
        </is>
      </c>
      <c r="G1153" s="17" t="inlineStr">
        <is>
          <t>Más főkategória terméke</t>
        </is>
      </c>
    </row>
    <row r="1154">
      <c r="A1154" s="17" t="inlineStr">
        <is>
          <t>GRO3390</t>
        </is>
      </c>
      <c r="B1154" s="17" t="inlineStr">
        <is>
          <t>Secret Jardin Cosmorrow LED Blooming 20W 50cm</t>
        </is>
      </c>
      <c r="C1154" s="17" t="inlineStr">
        <is>
          <t>–</t>
        </is>
      </c>
      <c r="D1154" s="17" t="inlineStr"/>
      <c r="E1154" s="17" t="inlineStr">
        <is>
          <t>Nem tartozik ide</t>
        </is>
      </c>
      <c r="F1154" s="17" t="inlineStr">
        <is>
          <t>az elmúlt 30 napban</t>
        </is>
      </c>
      <c r="G1154" s="17" t="inlineStr">
        <is>
          <t>Más főkategória terméke</t>
        </is>
      </c>
    </row>
    <row r="1155">
      <c r="A1155" s="17" t="inlineStr">
        <is>
          <t>GRO3392</t>
        </is>
      </c>
      <c r="B1155" s="17" t="inlineStr">
        <is>
          <t>Secret Jardin Cosmorrow LED Infrared 20W 50cm</t>
        </is>
      </c>
      <c r="C1155" s="17" t="inlineStr">
        <is>
          <t>–</t>
        </is>
      </c>
      <c r="D1155" s="17" t="inlineStr"/>
      <c r="E1155" s="17" t="inlineStr">
        <is>
          <t>Nem tartozik ide</t>
        </is>
      </c>
      <c r="F1155" s="17" t="inlineStr">
        <is>
          <t>az elmúlt 30 napban</t>
        </is>
      </c>
      <c r="G1155" s="17" t="inlineStr">
        <is>
          <t>Más főkategória terméke</t>
        </is>
      </c>
    </row>
    <row r="1156">
      <c r="A1156" s="17" t="inlineStr">
        <is>
          <t>GRO3393</t>
        </is>
      </c>
      <c r="B1156" s="17" t="inlineStr">
        <is>
          <t>Secret Jardin Cosmorrow LED Ultraviolet 20W 50cm</t>
        </is>
      </c>
      <c r="C1156" s="17" t="inlineStr">
        <is>
          <t>–</t>
        </is>
      </c>
      <c r="D1156" s="17" t="inlineStr"/>
      <c r="E1156" s="17" t="inlineStr">
        <is>
          <t>Nem tartozik ide</t>
        </is>
      </c>
      <c r="F1156" s="17" t="inlineStr">
        <is>
          <t>az elmúlt 30 napban</t>
        </is>
      </c>
      <c r="G1156" s="17" t="inlineStr">
        <is>
          <t>Más főkategória terméke</t>
        </is>
      </c>
    </row>
    <row r="1157">
      <c r="A1157" s="17" t="inlineStr">
        <is>
          <t>GRO3394</t>
        </is>
      </c>
      <c r="B1157" s="17" t="inlineStr">
        <is>
          <t>Secret Jardin Cosmorrow Power tápegység 1x20W</t>
        </is>
      </c>
      <c r="C1157" s="17" t="inlineStr">
        <is>
          <t>–</t>
        </is>
      </c>
      <c r="D1157" s="17" t="inlineStr"/>
      <c r="E1157" s="17" t="inlineStr">
        <is>
          <t>Nem tartozik ide</t>
        </is>
      </c>
      <c r="F1157" s="17" t="inlineStr">
        <is>
          <t>az elmúlt 30 napban</t>
        </is>
      </c>
      <c r="G1157" s="17" t="inlineStr">
        <is>
          <t>Más főkategória terméke</t>
        </is>
      </c>
    </row>
    <row r="1158">
      <c r="A1158" s="17" t="inlineStr">
        <is>
          <t>GRO3395</t>
        </is>
      </c>
      <c r="B1158" s="17" t="inlineStr">
        <is>
          <t>Secret Jardin Cosmorrow Power tápegység 2x20W</t>
        </is>
      </c>
      <c r="C1158" s="17" t="inlineStr">
        <is>
          <t>–</t>
        </is>
      </c>
      <c r="D1158" s="17" t="inlineStr"/>
      <c r="E1158" s="17" t="inlineStr">
        <is>
          <t>Nem tartozik ide</t>
        </is>
      </c>
      <c r="F1158" s="17" t="inlineStr">
        <is>
          <t>az elmúlt 30 napban</t>
        </is>
      </c>
      <c r="G1158" s="17" t="inlineStr">
        <is>
          <t>Más főkategória terméke</t>
        </is>
      </c>
    </row>
    <row r="1159">
      <c r="A1159" s="17" t="inlineStr">
        <is>
          <t>GRO3396</t>
        </is>
      </c>
      <c r="B1159" s="17" t="inlineStr">
        <is>
          <t>Secret Jardin WEBIT Növénytartó Háló (scrog) S.J.Webit Elastic 120x120</t>
        </is>
      </c>
      <c r="C1159" s="17" t="inlineStr">
        <is>
          <t>–</t>
        </is>
      </c>
      <c r="D1159" s="17" t="inlineStr"/>
      <c r="E1159" s="17" t="inlineStr">
        <is>
          <t>Nem tartozik ide</t>
        </is>
      </c>
      <c r="F1159" s="17" t="inlineStr">
        <is>
          <t>az elmúlt 30 napban</t>
        </is>
      </c>
      <c r="G1159" s="17" t="inlineStr">
        <is>
          <t>Más főkategória terméke</t>
        </is>
      </c>
    </row>
    <row r="1160">
      <c r="A1160" s="17" t="inlineStr">
        <is>
          <t>GRO3397</t>
        </is>
      </c>
      <c r="B1160" s="17" t="inlineStr">
        <is>
          <t>ONA Block szagsemlegesítő tömb Tropics</t>
        </is>
      </c>
      <c r="C1160" s="17" t="inlineStr">
        <is>
          <t>–</t>
        </is>
      </c>
      <c r="D1160" s="17" t="inlineStr"/>
      <c r="E1160" s="17" t="inlineStr">
        <is>
          <t>Nem tartozik ide</t>
        </is>
      </c>
      <c r="F1160" s="17" t="inlineStr">
        <is>
          <t>az elmúlt 30 napban</t>
        </is>
      </c>
      <c r="G1160" s="17" t="inlineStr">
        <is>
          <t>Más főkategória terméke</t>
        </is>
      </c>
    </row>
    <row r="1161">
      <c r="A1161" s="17" t="inlineStr">
        <is>
          <t>GRO3398</t>
        </is>
      </c>
      <c r="B1161" s="17" t="inlineStr">
        <is>
          <t>Secret Jardin Trafó Support 13x36 cm 10 kg</t>
        </is>
      </c>
      <c r="C1161" s="17" t="inlineStr">
        <is>
          <t>–</t>
        </is>
      </c>
      <c r="D1161" s="17" t="inlineStr"/>
      <c r="E1161" s="17" t="inlineStr">
        <is>
          <t>Nem tartozik ide</t>
        </is>
      </c>
      <c r="F1161" s="17" t="inlineStr">
        <is>
          <t>az elmúlt 30 napban</t>
        </is>
      </c>
      <c r="G1161" s="17" t="inlineStr">
        <is>
          <t>Más főkategória terméke</t>
        </is>
      </c>
    </row>
    <row r="1162">
      <c r="A1162" s="17" t="inlineStr">
        <is>
          <t>GRO3399</t>
        </is>
      </c>
      <c r="B1162" s="17" t="inlineStr">
        <is>
          <t>ONA Gel szagsemlegesítő zselé (Tropics) 1 liter</t>
        </is>
      </c>
      <c r="C1162" s="17" t="inlineStr">
        <is>
          <t>–</t>
        </is>
      </c>
      <c r="D1162" s="17" t="inlineStr"/>
      <c r="E1162" s="17" t="inlineStr">
        <is>
          <t>Nem tartozik ide</t>
        </is>
      </c>
      <c r="F1162" s="17" t="inlineStr">
        <is>
          <t>az elmúlt 30 napban</t>
        </is>
      </c>
      <c r="G1162" s="17" t="inlineStr">
        <is>
          <t>Más főkategória terméke</t>
        </is>
      </c>
    </row>
    <row r="1163">
      <c r="A1163" s="17" t="inlineStr">
        <is>
          <t>GRO3400</t>
        </is>
      </c>
      <c r="B1163" s="17" t="inlineStr">
        <is>
          <t>ONA Gel szagsemlegesítő zselé (Tropics) 500 ml</t>
        </is>
      </c>
      <c r="C1163" s="17" t="inlineStr">
        <is>
          <t>–</t>
        </is>
      </c>
      <c r="D1163" s="17" t="inlineStr"/>
      <c r="E1163" s="17" t="inlineStr">
        <is>
          <t>Nem tartozik ide</t>
        </is>
      </c>
      <c r="F1163" s="17" t="inlineStr">
        <is>
          <t>az elmúlt 30 napban</t>
        </is>
      </c>
      <c r="G1163" s="17" t="inlineStr">
        <is>
          <t>Más főkategória terméke</t>
        </is>
      </c>
    </row>
    <row r="1164">
      <c r="A1164" s="17" t="inlineStr">
        <is>
          <t>GRO3401</t>
        </is>
      </c>
      <c r="B1164" s="17" t="inlineStr">
        <is>
          <t>ONA Gel szagsemlegesítő zselé (Tropics) 4 liter</t>
        </is>
      </c>
      <c r="C1164" s="17" t="inlineStr">
        <is>
          <t>–</t>
        </is>
      </c>
      <c r="D1164" s="17" t="inlineStr"/>
      <c r="E1164" s="17" t="inlineStr">
        <is>
          <t>Nem tartozik ide</t>
        </is>
      </c>
      <c r="F1164" s="17" t="inlineStr">
        <is>
          <t>az elmúlt 30 napban</t>
        </is>
      </c>
      <c r="G1164" s="17" t="inlineStr">
        <is>
          <t>Más főkategória terméke</t>
        </is>
      </c>
    </row>
    <row r="1165">
      <c r="A1165" s="17" t="inlineStr">
        <is>
          <t>GRO3402</t>
        </is>
      </c>
      <c r="B1165" s="17" t="inlineStr">
        <is>
          <t>ONA Gel szagsemlegesítő zselé (Tropics) 20 liter</t>
        </is>
      </c>
      <c r="C1165" s="17" t="inlineStr">
        <is>
          <t>–</t>
        </is>
      </c>
      <c r="D1165" s="17" t="inlineStr"/>
      <c r="E1165" s="17" t="inlineStr">
        <is>
          <t>Nem tartozik ide</t>
        </is>
      </c>
      <c r="F1165" s="17" t="inlineStr">
        <is>
          <t>az elmúlt 30 napban</t>
        </is>
      </c>
      <c r="G1165" s="17" t="inlineStr">
        <is>
          <t>Más főkategória terméke</t>
        </is>
      </c>
    </row>
    <row r="1166">
      <c r="A1166" s="17" t="inlineStr">
        <is>
          <t>GRO3403</t>
        </is>
      </c>
      <c r="B1166" s="17" t="inlineStr">
        <is>
          <t>ONA Spray Pumpás Szagsemlegesítő ONA Spray Tropics</t>
        </is>
      </c>
      <c r="C1166" s="17" t="inlineStr">
        <is>
          <t>–</t>
        </is>
      </c>
      <c r="D1166" s="17" t="inlineStr"/>
      <c r="E1166" s="17" t="inlineStr">
        <is>
          <t>Nem tartozik ide</t>
        </is>
      </c>
      <c r="F1166" s="17" t="inlineStr">
        <is>
          <t>az elmúlt 30 napban</t>
        </is>
      </c>
      <c r="G1166" s="17" t="inlineStr">
        <is>
          <t>Más főkategória terméke</t>
        </is>
      </c>
    </row>
    <row r="1167">
      <c r="A1167" s="17" t="inlineStr">
        <is>
          <t>GRO3404</t>
        </is>
      </c>
      <c r="B1167" s="17" t="inlineStr">
        <is>
          <t>ONA Block szagsemlegesítő tömb Fruit Fusion</t>
        </is>
      </c>
      <c r="C1167" s="17" t="inlineStr">
        <is>
          <t>–</t>
        </is>
      </c>
      <c r="D1167" s="17" t="inlineStr"/>
      <c r="E1167" s="17" t="inlineStr">
        <is>
          <t>Nem tartozik ide</t>
        </is>
      </c>
      <c r="F1167" s="17" t="inlineStr">
        <is>
          <t>az elmúlt 30 napban</t>
        </is>
      </c>
      <c r="G1167" s="17" t="inlineStr">
        <is>
          <t>Más főkategória terméke</t>
        </is>
      </c>
    </row>
    <row r="1168">
      <c r="A1168" s="17" t="inlineStr">
        <is>
          <t>GRO3405</t>
        </is>
      </c>
      <c r="B1168" s="17" t="inlineStr">
        <is>
          <t>ONA Gel szagsemlegesítő zselé (Fruit Fusion) 1 liter</t>
        </is>
      </c>
      <c r="C1168" s="17" t="inlineStr">
        <is>
          <t>–</t>
        </is>
      </c>
      <c r="D1168" s="17" t="inlineStr"/>
      <c r="E1168" s="17" t="inlineStr">
        <is>
          <t>Nem tartozik ide</t>
        </is>
      </c>
      <c r="F1168" s="17" t="inlineStr">
        <is>
          <t>az elmúlt 30 napban</t>
        </is>
      </c>
      <c r="G1168" s="17" t="inlineStr">
        <is>
          <t>Más főkategória terméke</t>
        </is>
      </c>
    </row>
    <row r="1169">
      <c r="A1169" s="17" t="inlineStr">
        <is>
          <t>GRO3406</t>
        </is>
      </c>
      <c r="B1169" s="17" t="inlineStr">
        <is>
          <t>ONA Gel szagsemlegesítő zselé (Fruit Fusion) 500 ml</t>
        </is>
      </c>
      <c r="C1169" s="17" t="inlineStr">
        <is>
          <t>–</t>
        </is>
      </c>
      <c r="D1169" s="17" t="inlineStr"/>
      <c r="E1169" s="17" t="inlineStr">
        <is>
          <t>Nem tartozik ide</t>
        </is>
      </c>
      <c r="F1169" s="17" t="inlineStr">
        <is>
          <t>az elmúlt 30 napban</t>
        </is>
      </c>
      <c r="G1169" s="17" t="inlineStr">
        <is>
          <t>Más főkategória terméke</t>
        </is>
      </c>
    </row>
    <row r="1170">
      <c r="A1170" s="17" t="inlineStr">
        <is>
          <t>GRO3407</t>
        </is>
      </c>
      <c r="B1170" s="17" t="inlineStr">
        <is>
          <t>ONA Gel szagsemlegesítő zselé (Fruit Fusion) 4 liter</t>
        </is>
      </c>
      <c r="C1170" s="17" t="inlineStr">
        <is>
          <t>–</t>
        </is>
      </c>
      <c r="D1170" s="17" t="inlineStr"/>
      <c r="E1170" s="17" t="inlineStr">
        <is>
          <t>Nem tartozik ide</t>
        </is>
      </c>
      <c r="F1170" s="17" t="inlineStr">
        <is>
          <t>az elmúlt 30 napban</t>
        </is>
      </c>
      <c r="G1170" s="17" t="inlineStr">
        <is>
          <t>Más főkategória terméke</t>
        </is>
      </c>
    </row>
    <row r="1171">
      <c r="A1171" s="17" t="inlineStr">
        <is>
          <t>GRO3408</t>
        </is>
      </c>
      <c r="B1171" s="17" t="inlineStr">
        <is>
          <t>ONA Gel szagsemlegesítő zselé (Fruit Fusion) 20 liter</t>
        </is>
      </c>
      <c r="C1171" s="17" t="inlineStr">
        <is>
          <t>–</t>
        </is>
      </c>
      <c r="D1171" s="17" t="inlineStr"/>
      <c r="E1171" s="17" t="inlineStr">
        <is>
          <t>Nem tartozik ide</t>
        </is>
      </c>
      <c r="F1171" s="17" t="inlineStr">
        <is>
          <t>az elmúlt 30 napban</t>
        </is>
      </c>
      <c r="G1171" s="17" t="inlineStr">
        <is>
          <t>Más főkategória terméke</t>
        </is>
      </c>
    </row>
    <row r="1172">
      <c r="A1172" s="17" t="inlineStr">
        <is>
          <t>GRO3409</t>
        </is>
      </c>
      <c r="B1172" s="17" t="inlineStr">
        <is>
          <t>ONA Spray Pumpás Szagsemlegesítő ONA Spray Fruit Fusion</t>
        </is>
      </c>
      <c r="C1172" s="17" t="inlineStr">
        <is>
          <t>–</t>
        </is>
      </c>
      <c r="D1172" s="17" t="inlineStr"/>
      <c r="E1172" s="17" t="inlineStr">
        <is>
          <t>Nem tartozik ide</t>
        </is>
      </c>
      <c r="F1172" s="17" t="inlineStr">
        <is>
          <t>az elmúlt 30 napban</t>
        </is>
      </c>
      <c r="G1172" s="17" t="inlineStr">
        <is>
          <t>Más főkategória terméke</t>
        </is>
      </c>
    </row>
    <row r="1173">
      <c r="A1173" s="17" t="inlineStr">
        <is>
          <t>GRO3410</t>
        </is>
      </c>
      <c r="B1173" s="17" t="inlineStr">
        <is>
          <t>Lumatek Control Panel Plus 2.0 (HID+LED) világításvezérlő</t>
        </is>
      </c>
      <c r="C1173" s="17" t="inlineStr">
        <is>
          <t>–</t>
        </is>
      </c>
      <c r="D1173" s="17" t="inlineStr"/>
      <c r="E1173" s="17" t="inlineStr">
        <is>
          <t>Nem tartozik ide</t>
        </is>
      </c>
      <c r="F1173" s="17" t="inlineStr">
        <is>
          <t>az elmúlt 30 napban</t>
        </is>
      </c>
      <c r="G1173" s="17" t="inlineStr">
        <is>
          <t>Más főkategória terméke</t>
        </is>
      </c>
    </row>
    <row r="1174">
      <c r="A1174" s="17" t="inlineStr">
        <is>
          <t>GRO3413</t>
        </is>
      </c>
      <c r="B1174" s="17" t="inlineStr">
        <is>
          <t>Can Filters Can-Inline Szénszűrő Can-Inline 300 / 100 mm</t>
        </is>
      </c>
      <c r="C1174" s="17" t="inlineStr">
        <is>
          <t>–</t>
        </is>
      </c>
      <c r="D1174" s="17" t="inlineStr"/>
      <c r="E1174" s="17" t="inlineStr">
        <is>
          <t>Nem tartozik ide</t>
        </is>
      </c>
      <c r="F1174" s="17" t="inlineStr">
        <is>
          <t>az elmúlt 30 napban</t>
        </is>
      </c>
      <c r="G1174" s="17" t="inlineStr">
        <is>
          <t>Más főkategória terméke</t>
        </is>
      </c>
    </row>
    <row r="1175">
      <c r="A1175" s="17" t="inlineStr">
        <is>
          <t>GRO3414</t>
        </is>
      </c>
      <c r="B1175" s="17" t="inlineStr">
        <is>
          <t>Can Filters Can-Inline Szénszűrő 425 m3/h / 125 mm</t>
        </is>
      </c>
      <c r="C1175" s="17" t="inlineStr">
        <is>
          <t>–</t>
        </is>
      </c>
      <c r="D1175" s="17" t="inlineStr"/>
      <c r="E1175" s="17" t="inlineStr">
        <is>
          <t>Nem tartozik ide</t>
        </is>
      </c>
      <c r="F1175" s="17" t="inlineStr">
        <is>
          <t>az elmúlt 30 napban</t>
        </is>
      </c>
      <c r="G1175" s="17" t="inlineStr">
        <is>
          <t>Más főkategória terméke</t>
        </is>
      </c>
    </row>
    <row r="1176">
      <c r="A1176" s="17" t="inlineStr">
        <is>
          <t>GRO3415</t>
        </is>
      </c>
      <c r="B1176" s="17" t="inlineStr">
        <is>
          <t>Can Filters Can-Inline Szénszűrő 600 m3/h / 150 mm</t>
        </is>
      </c>
      <c r="C1176" s="17" t="inlineStr">
        <is>
          <t>–</t>
        </is>
      </c>
      <c r="D1176" s="17" t="inlineStr"/>
      <c r="E1176" s="17" t="inlineStr">
        <is>
          <t>Nem tartozik ide</t>
        </is>
      </c>
      <c r="F1176" s="17" t="inlineStr">
        <is>
          <t>az elmúlt 6 hónapban</t>
        </is>
      </c>
      <c r="G1176" s="17" t="inlineStr">
        <is>
          <t>Más főkategória terméke</t>
        </is>
      </c>
    </row>
    <row r="1177">
      <c r="A1177" s="17" t="inlineStr">
        <is>
          <t>GRO3416</t>
        </is>
      </c>
      <c r="B1177" s="17" t="inlineStr">
        <is>
          <t>Can Filters Can-Inline Szénszűrő 1000m3/h / 200 mm</t>
        </is>
      </c>
      <c r="C1177" s="17" t="inlineStr">
        <is>
          <t>–</t>
        </is>
      </c>
      <c r="D1177" s="17" t="inlineStr"/>
      <c r="E1177" s="17" t="inlineStr">
        <is>
          <t>Nem tartozik ide</t>
        </is>
      </c>
      <c r="F1177" s="17" t="inlineStr">
        <is>
          <t>az elmúlt 30 napban</t>
        </is>
      </c>
      <c r="G1177" s="17" t="inlineStr">
        <is>
          <t>Más főkategória terméke</t>
        </is>
      </c>
    </row>
    <row r="1178">
      <c r="A1178" s="17" t="inlineStr">
        <is>
          <t>GRO3417</t>
        </is>
      </c>
      <c r="B1178" s="17" t="inlineStr">
        <is>
          <t>Can Lite Pre filter előszűrő (szénszűrőhöz) 150 m3/h (műanyag házú szűrőhöz)</t>
        </is>
      </c>
      <c r="C1178" s="17" t="inlineStr">
        <is>
          <t>–</t>
        </is>
      </c>
      <c r="D1178" s="17" t="inlineStr"/>
      <c r="E1178" s="17" t="inlineStr">
        <is>
          <t>Nem tartozik ide</t>
        </is>
      </c>
      <c r="F1178" s="17" t="inlineStr">
        <is>
          <t>az elmúlt 30 napban</t>
        </is>
      </c>
      <c r="G1178" s="17" t="inlineStr">
        <is>
          <t>Más főkategória terméke</t>
        </is>
      </c>
    </row>
    <row r="1179">
      <c r="A1179" s="17" t="inlineStr">
        <is>
          <t>GRO3418</t>
        </is>
      </c>
      <c r="B1179" s="17" t="inlineStr">
        <is>
          <t>Can Lite Pre filter előszűrő (szénszűrőhöz) 300 m3/h (műanyag házú szűrőhöz)</t>
        </is>
      </c>
      <c r="C1179" s="17" t="inlineStr">
        <is>
          <t>–</t>
        </is>
      </c>
      <c r="D1179" s="17" t="inlineStr"/>
      <c r="E1179" s="17" t="inlineStr">
        <is>
          <t>Nem tartozik ide</t>
        </is>
      </c>
      <c r="F1179" s="17" t="inlineStr">
        <is>
          <t>az elmúlt 30 napban</t>
        </is>
      </c>
      <c r="G1179" s="17" t="inlineStr">
        <is>
          <t>Más főkategória terméke</t>
        </is>
      </c>
    </row>
    <row r="1180">
      <c r="A1180" s="17" t="inlineStr">
        <is>
          <t>GRO3419</t>
        </is>
      </c>
      <c r="B1180" s="17" t="inlineStr">
        <is>
          <t>Can Lite Pre filter előszűrő (szénszűrőhöz) 425 m3/h (műanyag házú szűrőhöz)</t>
        </is>
      </c>
      <c r="C1180" s="17" t="inlineStr">
        <is>
          <t>–</t>
        </is>
      </c>
      <c r="D1180" s="17" t="inlineStr"/>
      <c r="E1180" s="17" t="inlineStr">
        <is>
          <t>Nem tartozik ide</t>
        </is>
      </c>
      <c r="F1180" s="17" t="inlineStr">
        <is>
          <t>az elmúlt 30 napban</t>
        </is>
      </c>
      <c r="G1180" s="17" t="inlineStr">
        <is>
          <t>Más főkategória terméke</t>
        </is>
      </c>
    </row>
    <row r="1181">
      <c r="A1181" s="17" t="inlineStr">
        <is>
          <t>GRO3421</t>
        </is>
      </c>
      <c r="B1181" s="17" t="inlineStr">
        <is>
          <t>Can Lite Pre filter előszűrő (Can-lite szénszűrőhöz) Pre Filter 600 m3/h (acél házú szűrőhöz)</t>
        </is>
      </c>
      <c r="C1181" s="17" t="inlineStr">
        <is>
          <t>–</t>
        </is>
      </c>
      <c r="D1181" s="17" t="inlineStr"/>
      <c r="E1181" s="17" t="inlineStr">
        <is>
          <t>Nem tartozik ide</t>
        </is>
      </c>
      <c r="F1181" s="17" t="inlineStr">
        <is>
          <t>2024-10 – 2025-09 (lehet, hogy már nem aktív)</t>
        </is>
      </c>
      <c r="G1181" s="17" t="inlineStr">
        <is>
          <t>Más főkategória terméke</t>
        </is>
      </c>
    </row>
    <row r="1182">
      <c r="A1182" s="17" t="inlineStr">
        <is>
          <t>GRO3422</t>
        </is>
      </c>
      <c r="B1182" s="17" t="inlineStr">
        <is>
          <t>Can Lite Pre filter előszűrő (szénszűrőhöz) 800 m3/h (acél házú szűrőhöz)</t>
        </is>
      </c>
      <c r="C1182" s="17" t="inlineStr">
        <is>
          <t>–</t>
        </is>
      </c>
      <c r="D1182" s="17" t="inlineStr"/>
      <c r="E1182" s="17" t="inlineStr">
        <is>
          <t>Nem tartozik ide</t>
        </is>
      </c>
      <c r="F1182" s="17" t="inlineStr">
        <is>
          <t>2025-10 – 2026-04</t>
        </is>
      </c>
      <c r="G1182" s="17" t="inlineStr">
        <is>
          <t>Más főkategória terméke</t>
        </is>
      </c>
    </row>
    <row r="1183">
      <c r="A1183" s="17" t="inlineStr">
        <is>
          <t>GRO3423</t>
        </is>
      </c>
      <c r="B1183" s="17" t="inlineStr">
        <is>
          <t>Can Lite Pre filter előszűrő (szénszűrőhöz) 1000 m3/h (acél házú szűrőhöz)</t>
        </is>
      </c>
      <c r="C1183" s="17" t="inlineStr">
        <is>
          <t>–</t>
        </is>
      </c>
      <c r="D1183" s="17" t="inlineStr"/>
      <c r="E1183" s="17" t="inlineStr">
        <is>
          <t>Nem tartozik ide</t>
        </is>
      </c>
      <c r="F1183" s="17" t="inlineStr">
        <is>
          <t>2025-10 – 2026-04</t>
        </is>
      </c>
      <c r="G1183" s="17" t="inlineStr">
        <is>
          <t>Más főkategória terméke</t>
        </is>
      </c>
    </row>
    <row r="1184">
      <c r="A1184" s="17" t="inlineStr">
        <is>
          <t>GRO3424</t>
        </is>
      </c>
      <c r="B1184" s="17" t="inlineStr">
        <is>
          <t>Can Lite Pre filter előszűrő (szénszűrőhöz) 1500 m3/h (acél házú szűrőhöz)</t>
        </is>
      </c>
      <c r="C1184" s="17" t="inlineStr">
        <is>
          <t>–</t>
        </is>
      </c>
      <c r="D1184" s="17" t="inlineStr"/>
      <c r="E1184" s="17" t="inlineStr">
        <is>
          <t>Nem tartozik ide</t>
        </is>
      </c>
      <c r="F1184" s="17" t="inlineStr">
        <is>
          <t>2025-10 – 2026-04</t>
        </is>
      </c>
      <c r="G1184" s="17" t="inlineStr">
        <is>
          <t>Más főkategória terméke</t>
        </is>
      </c>
    </row>
    <row r="1185">
      <c r="A1185" s="17" t="inlineStr">
        <is>
          <t>GRO3425</t>
        </is>
      </c>
      <c r="B1185" s="17" t="inlineStr">
        <is>
          <t>Can Lite Pre filter előszűrő (szénszűrőhöz) 2000 m3/h (acél házú szűrőhöz)</t>
        </is>
      </c>
      <c r="C1185" s="17" t="inlineStr">
        <is>
          <t>–</t>
        </is>
      </c>
      <c r="D1185" s="17" t="inlineStr"/>
      <c r="E1185" s="17" t="inlineStr">
        <is>
          <t>Nem tartozik ide</t>
        </is>
      </c>
      <c r="F1185" s="17" t="inlineStr">
        <is>
          <t>az elmúlt 30 napban</t>
        </is>
      </c>
      <c r="G1185" s="17" t="inlineStr">
        <is>
          <t>Más főkategória terméke</t>
        </is>
      </c>
    </row>
    <row r="1186">
      <c r="A1186" s="17" t="inlineStr">
        <is>
          <t>GRO3426</t>
        </is>
      </c>
      <c r="B1186" s="17" t="inlineStr">
        <is>
          <t>Can Lite Pre filter előszűrő (szénszűrőhöz) 2500 m3/h (acél házú szűrőhöz)</t>
        </is>
      </c>
      <c r="C1186" s="17" t="inlineStr">
        <is>
          <t>–</t>
        </is>
      </c>
      <c r="D1186" s="17" t="inlineStr"/>
      <c r="E1186" s="17" t="inlineStr">
        <is>
          <t>Nem tartozik ide</t>
        </is>
      </c>
      <c r="F1186" s="17" t="inlineStr">
        <is>
          <t>az elmúlt 6 hónapban</t>
        </is>
      </c>
      <c r="G1186" s="17" t="inlineStr">
        <is>
          <t>Más főkategória terméke</t>
        </is>
      </c>
    </row>
    <row r="1187">
      <c r="A1187" s="17" t="inlineStr">
        <is>
          <t>GRO3427</t>
        </is>
      </c>
      <c r="B1187" s="17" t="inlineStr">
        <is>
          <t>Can Lite Pre filter előszűrő (Can-lite szénszűrőhöz) Pre Filter 3000 m3/h (acél házú szűrőhöz)</t>
        </is>
      </c>
      <c r="C1187" s="17" t="inlineStr">
        <is>
          <t>–</t>
        </is>
      </c>
      <c r="D1187" s="17" t="inlineStr"/>
      <c r="E1187" s="17" t="inlineStr">
        <is>
          <t>Nem tartozik ide</t>
        </is>
      </c>
      <c r="F1187" s="17" t="inlineStr">
        <is>
          <t>2024-10 – 2025-09 (lehet, hogy már nem aktív)</t>
        </is>
      </c>
      <c r="G1187" s="17" t="inlineStr">
        <is>
          <t>Más főkategória terméke</t>
        </is>
      </c>
    </row>
    <row r="1188">
      <c r="A1188" s="17" t="inlineStr">
        <is>
          <t>GRO3428</t>
        </is>
      </c>
      <c r="B1188" s="17" t="inlineStr">
        <is>
          <t>Can Lite Pre filter előszűrő (szénszűrőhöz) 3500 m3/h (acél házú szűrőhöz)</t>
        </is>
      </c>
      <c r="C1188" s="17" t="inlineStr">
        <is>
          <t>–</t>
        </is>
      </c>
      <c r="D1188" s="17" t="inlineStr"/>
      <c r="E1188" s="17" t="inlineStr">
        <is>
          <t>Nem tartozik ide</t>
        </is>
      </c>
      <c r="F1188" s="17" t="inlineStr">
        <is>
          <t>2025-10 – 2026-04</t>
        </is>
      </c>
      <c r="G1188" s="17" t="inlineStr">
        <is>
          <t>Más főkategória terméke</t>
        </is>
      </c>
    </row>
    <row r="1189">
      <c r="A1189" s="17" t="inlineStr">
        <is>
          <t>GRO3429</t>
        </is>
      </c>
      <c r="B1189" s="17" t="inlineStr">
        <is>
          <t>Can Lite Pre filter előszűrő (Can-lite szénszűrőhöz) Pre Filter 4500 m3/h (acél házú szűrőhöz)</t>
        </is>
      </c>
      <c r="C1189" s="17" t="inlineStr">
        <is>
          <t>–</t>
        </is>
      </c>
      <c r="D1189" s="17" t="inlineStr"/>
      <c r="E1189" s="17" t="inlineStr">
        <is>
          <t>Nem tartozik ide</t>
        </is>
      </c>
      <c r="F1189" s="17" t="inlineStr">
        <is>
          <t>2024-10 – 2025-09 (lehet, hogy már nem aktív)</t>
        </is>
      </c>
      <c r="G1189" s="17" t="inlineStr">
        <is>
          <t>Más főkategória terméke</t>
        </is>
      </c>
    </row>
    <row r="1190">
      <c r="A1190" s="17" t="inlineStr">
        <is>
          <t>GRO3433</t>
        </is>
      </c>
      <c r="B1190" s="17" t="inlineStr">
        <is>
          <t>Cornwall Electronics csíptethető oszcilláló ventilátor</t>
        </is>
      </c>
      <c r="C1190" s="17" t="inlineStr">
        <is>
          <t>–</t>
        </is>
      </c>
      <c r="D1190" s="17" t="inlineStr"/>
      <c r="E1190" s="17" t="inlineStr">
        <is>
          <t>Nem tartozik ide</t>
        </is>
      </c>
      <c r="F1190" s="17" t="inlineStr">
        <is>
          <t>az elmúlt 30 napban</t>
        </is>
      </c>
      <c r="G1190" s="17" t="inlineStr">
        <is>
          <t>Más főkategória terméke</t>
        </is>
      </c>
    </row>
    <row r="1191">
      <c r="A1191" s="17" t="inlineStr">
        <is>
          <t>GRO3442</t>
        </is>
      </c>
      <c r="B1191" s="17" t="inlineStr">
        <is>
          <t>Secret Jardin WEBIT Növénytartó Háló (scrog) S.J.Webit Elastic 150x150</t>
        </is>
      </c>
      <c r="C1191" s="17" t="inlineStr">
        <is>
          <t>–</t>
        </is>
      </c>
      <c r="D1191" s="17" t="inlineStr"/>
      <c r="E1191" s="17" t="inlineStr">
        <is>
          <t>Nem tartozik ide</t>
        </is>
      </c>
      <c r="F1191" s="17" t="inlineStr">
        <is>
          <t>az elmúlt 30 napban</t>
        </is>
      </c>
      <c r="G1191" s="17" t="inlineStr">
        <is>
          <t>Más főkategória terméke</t>
        </is>
      </c>
    </row>
    <row r="1192">
      <c r="A1192" s="17" t="inlineStr">
        <is>
          <t>GRO3445</t>
        </is>
      </c>
      <c r="B1192" s="17" t="inlineStr">
        <is>
          <t>Plagron Bat Guano 25 liter</t>
        </is>
      </c>
      <c r="C1192" s="17" t="inlineStr">
        <is>
          <t>–</t>
        </is>
      </c>
      <c r="D1192" s="17" t="inlineStr"/>
      <c r="E1192" s="17" t="inlineStr">
        <is>
          <t>Nem tartozik ide</t>
        </is>
      </c>
      <c r="F1192" s="17" t="inlineStr">
        <is>
          <t>2024-10 – 2025-09 (lehet, hogy már nem aktív)</t>
        </is>
      </c>
      <c r="G1192" s="17" t="inlineStr">
        <is>
          <t>Más főkategória terméke</t>
        </is>
      </c>
    </row>
    <row r="1193">
      <c r="A1193" s="17" t="inlineStr">
        <is>
          <t>GRO3446</t>
        </is>
      </c>
      <c r="B1193" s="17" t="inlineStr">
        <is>
          <t>Cultibox Light Grow Box 120</t>
        </is>
      </c>
      <c r="C1193" s="17" t="inlineStr">
        <is>
          <t>–</t>
        </is>
      </c>
      <c r="D1193" s="17" t="inlineStr"/>
      <c r="E1193" s="17" t="inlineStr">
        <is>
          <t>Nem tartozik ide</t>
        </is>
      </c>
      <c r="F1193" s="17" t="inlineStr">
        <is>
          <t>az elmúlt 6 hónapban</t>
        </is>
      </c>
      <c r="G1193" s="17" t="inlineStr">
        <is>
          <t>Más főkategória terméke</t>
        </is>
      </c>
    </row>
    <row r="1194">
      <c r="A1194" s="17" t="inlineStr">
        <is>
          <t>GRO3449</t>
        </is>
      </c>
      <c r="B1194" s="17" t="inlineStr">
        <is>
          <t>Bluelab EC kalibráló folyadék 2.77</t>
        </is>
      </c>
      <c r="C1194" s="17" t="inlineStr">
        <is>
          <t>–</t>
        </is>
      </c>
      <c r="D1194" s="17" t="inlineStr"/>
      <c r="E1194" s="17" t="inlineStr">
        <is>
          <t>Nem tartozik ide</t>
        </is>
      </c>
      <c r="F1194" s="17" t="inlineStr">
        <is>
          <t>az elmúlt 30 napban</t>
        </is>
      </c>
      <c r="G1194" s="17" t="inlineStr">
        <is>
          <t>Más főkategória terméke</t>
        </is>
      </c>
    </row>
    <row r="1195">
      <c r="A1195" s="17" t="inlineStr">
        <is>
          <t>GRO3450</t>
        </is>
      </c>
      <c r="B1195" s="17" t="inlineStr">
        <is>
          <t>Bluelab készlet PH (PH kalibráló, tisztító, karbantartó készlet)</t>
        </is>
      </c>
      <c r="C1195" s="17" t="inlineStr">
        <is>
          <t>–</t>
        </is>
      </c>
      <c r="D1195" s="17" t="inlineStr"/>
      <c r="E1195" s="17" t="inlineStr">
        <is>
          <t>Nem tartozik ide</t>
        </is>
      </c>
      <c r="F1195" s="17" t="inlineStr">
        <is>
          <t>az elmúlt 30 napban</t>
        </is>
      </c>
      <c r="G1195" s="17" t="inlineStr">
        <is>
          <t>Más főkategória terméke</t>
        </is>
      </c>
    </row>
    <row r="1196">
      <c r="A1196" s="17" t="inlineStr">
        <is>
          <t>GRO3451</t>
        </is>
      </c>
      <c r="B1196" s="17" t="inlineStr">
        <is>
          <t>Bluelab EC karbantartó készlet</t>
        </is>
      </c>
      <c r="C1196" s="17" t="inlineStr">
        <is>
          <t>–</t>
        </is>
      </c>
      <c r="D1196" s="17" t="inlineStr"/>
      <c r="E1196" s="17" t="inlineStr">
        <is>
          <t>Nem tartozik ide</t>
        </is>
      </c>
      <c r="F1196" s="17" t="inlineStr">
        <is>
          <t>az elmúlt 30 napban</t>
        </is>
      </c>
      <c r="G1196" s="17" t="inlineStr">
        <is>
          <t>Más főkategória terméke</t>
        </is>
      </c>
    </row>
    <row r="1197">
      <c r="A1197" s="17" t="inlineStr">
        <is>
          <t>GRO3459</t>
        </is>
      </c>
      <c r="B1197" s="17" t="inlineStr">
        <is>
          <t>Plagron Hydro A/B 1 liter</t>
        </is>
      </c>
      <c r="C1197" s="17" t="inlineStr">
        <is>
          <t>–</t>
        </is>
      </c>
      <c r="D1197" s="17" t="inlineStr"/>
      <c r="E1197" s="17" t="inlineStr">
        <is>
          <t>Nem tartozik ide</t>
        </is>
      </c>
      <c r="F1197" s="17" t="inlineStr">
        <is>
          <t>az elmúlt 30 napban</t>
        </is>
      </c>
      <c r="G1197" s="17" t="inlineStr">
        <is>
          <t>Más főkategória terméke</t>
        </is>
      </c>
    </row>
    <row r="1198">
      <c r="A1198" s="17" t="inlineStr">
        <is>
          <t>GRO3460</t>
        </is>
      </c>
      <c r="B1198" s="17" t="inlineStr">
        <is>
          <t>Plagron Hydro A/B 5 liter</t>
        </is>
      </c>
      <c r="C1198" s="17" t="inlineStr">
        <is>
          <t>–</t>
        </is>
      </c>
      <c r="D1198" s="17" t="inlineStr"/>
      <c r="E1198" s="17" t="inlineStr">
        <is>
          <t>Nem tartozik ide</t>
        </is>
      </c>
      <c r="F1198" s="17" t="inlineStr">
        <is>
          <t>az elmúlt 30 napban</t>
        </is>
      </c>
      <c r="G1198" s="17" t="inlineStr">
        <is>
          <t>Más főkategória terméke</t>
        </is>
      </c>
    </row>
    <row r="1199">
      <c r="A1199" s="17" t="inlineStr">
        <is>
          <t>GRO3462</t>
        </is>
      </c>
      <c r="B1199" s="17" t="inlineStr">
        <is>
          <t>Bluelab Pulse Multimedia EC/MC mérő (EC/nedvesség/hőmérséklet)</t>
        </is>
      </c>
      <c r="C1199" s="17" t="inlineStr">
        <is>
          <t>–</t>
        </is>
      </c>
      <c r="D1199" s="17" t="inlineStr"/>
      <c r="E1199" s="17" t="inlineStr">
        <is>
          <t>Nem tartozik ide</t>
        </is>
      </c>
      <c r="F1199" s="17" t="inlineStr">
        <is>
          <t>az elmúlt 30 napban</t>
        </is>
      </c>
      <c r="G1199" s="17" t="inlineStr">
        <is>
          <t>Más főkategória terméke</t>
        </is>
      </c>
    </row>
    <row r="1200">
      <c r="A1200" s="17" t="inlineStr">
        <is>
          <t>GRO3463</t>
        </is>
      </c>
      <c r="B1200" s="17" t="inlineStr">
        <is>
          <t>Lumatek ATS LED növénytermesztéshez Lumatek ATS 200W PRO LED</t>
        </is>
      </c>
      <c r="C1200" s="17" t="inlineStr">
        <is>
          <t>–</t>
        </is>
      </c>
      <c r="D1200" s="17" t="inlineStr"/>
      <c r="E1200" s="17" t="inlineStr">
        <is>
          <t>Nem tartozik ide</t>
        </is>
      </c>
      <c r="F1200" s="17" t="inlineStr">
        <is>
          <t>2024-10 – 2025-09 (lehet, hogy már nem aktív)</t>
        </is>
      </c>
      <c r="G1200" s="17" t="inlineStr">
        <is>
          <t>Más főkategória terméke</t>
        </is>
      </c>
    </row>
    <row r="1201">
      <c r="A1201" s="17" t="inlineStr">
        <is>
          <t>GRO3466</t>
        </is>
      </c>
      <c r="B1201" s="17" t="inlineStr">
        <is>
          <t>Can Filters Can-Inline Szénszűrő 600 m3/h / 125 mm</t>
        </is>
      </c>
      <c r="C1201" s="17" t="inlineStr">
        <is>
          <t>–</t>
        </is>
      </c>
      <c r="D1201" s="17" t="inlineStr"/>
      <c r="E1201" s="17" t="inlineStr">
        <is>
          <t>Nem tartozik ide</t>
        </is>
      </c>
      <c r="F1201" s="17" t="inlineStr">
        <is>
          <t>az elmúlt 6 hónapban</t>
        </is>
      </c>
      <c r="G1201" s="17" t="inlineStr">
        <is>
          <t>Más főkategória terméke</t>
        </is>
      </c>
    </row>
    <row r="1202">
      <c r="A1202" s="17" t="inlineStr">
        <is>
          <t>GRO3470</t>
        </is>
      </c>
      <c r="B1202" s="17" t="inlineStr">
        <is>
          <t>Adjust A Wing Enforcer Reflektor Small</t>
        </is>
      </c>
      <c r="C1202" s="17" t="inlineStr">
        <is>
          <t>–</t>
        </is>
      </c>
      <c r="D1202" s="17" t="inlineStr"/>
      <c r="E1202" s="17" t="inlineStr">
        <is>
          <t>Nem tartozik ide</t>
        </is>
      </c>
      <c r="F1202" s="17" t="inlineStr">
        <is>
          <t>2024-10 – 2025-09 (lehet, hogy már nem aktív)</t>
        </is>
      </c>
      <c r="G1202" s="17" t="inlineStr">
        <is>
          <t>Más főkategória terméke</t>
        </is>
      </c>
    </row>
    <row r="1203">
      <c r="A1203" s="17" t="inlineStr">
        <is>
          <t>GRO3470V</t>
        </is>
      </c>
      <c r="B1203" s="17" t="inlineStr">
        <is>
          <t>Adjust-A-Wings Enforcer Small</t>
        </is>
      </c>
      <c r="C1203" s="17" t="inlineStr">
        <is>
          <t>–</t>
        </is>
      </c>
      <c r="D1203" s="17" t="inlineStr"/>
      <c r="E1203" s="17" t="inlineStr">
        <is>
          <t>Nem tartozik ide</t>
        </is>
      </c>
      <c r="F1203" s="17" t="inlineStr">
        <is>
          <t>az elmúlt 30 napban</t>
        </is>
      </c>
      <c r="G1203" s="17" t="inlineStr">
        <is>
          <t>Más főkategória terméke</t>
        </is>
      </c>
    </row>
    <row r="1204">
      <c r="A1204" s="17" t="inlineStr">
        <is>
          <t>GRO3471V</t>
        </is>
      </c>
      <c r="B1204" s="17" t="inlineStr">
        <is>
          <t>Adjust-A-Wings Enforcer Small + IEC kábel 2,5 m</t>
        </is>
      </c>
      <c r="C1204" s="17" t="inlineStr">
        <is>
          <t>–</t>
        </is>
      </c>
      <c r="D1204" s="17" t="inlineStr"/>
      <c r="E1204" s="17" t="inlineStr">
        <is>
          <t>Nem tartozik ide</t>
        </is>
      </c>
      <c r="F1204" s="17" t="inlineStr">
        <is>
          <t>az elmúlt 30 napban</t>
        </is>
      </c>
      <c r="G1204" s="17" t="inlineStr">
        <is>
          <t>Más főkategória terméke</t>
        </is>
      </c>
    </row>
    <row r="1205">
      <c r="A1205" s="17" t="inlineStr">
        <is>
          <t>GRO3473</t>
        </is>
      </c>
      <c r="B1205" s="17" t="inlineStr">
        <is>
          <t>Agrolite CFL (energiatakarékos) izzó növénytermesztéshez 105W Virágzáshoz</t>
        </is>
      </c>
      <c r="C1205" s="17" t="inlineStr">
        <is>
          <t>–</t>
        </is>
      </c>
      <c r="D1205" s="17" t="inlineStr"/>
      <c r="E1205" s="17" t="inlineStr">
        <is>
          <t>Nem tartozik ide</t>
        </is>
      </c>
      <c r="F1205" s="17" t="inlineStr">
        <is>
          <t>2024-10 – 2025-09 (lehet, hogy már nem aktív)</t>
        </is>
      </c>
      <c r="G1205" s="17" t="inlineStr">
        <is>
          <t>Más főkategória terméke</t>
        </is>
      </c>
    </row>
    <row r="1206">
      <c r="A1206" s="17" t="inlineStr">
        <is>
          <t>GRO3476</t>
        </is>
      </c>
      <c r="B1206" s="17" t="inlineStr">
        <is>
          <t>Agrolite növénynevelő kompakt (CFL) izzó 200W</t>
        </is>
      </c>
      <c r="C1206" s="17" t="inlineStr">
        <is>
          <t>–</t>
        </is>
      </c>
      <c r="D1206" s="17" t="inlineStr"/>
      <c r="E1206" s="17" t="inlineStr">
        <is>
          <t>Nem tartozik ide</t>
        </is>
      </c>
      <c r="F1206" s="17" t="inlineStr">
        <is>
          <t>2024-10 – 2025-09 (lehet, hogy már nem aktív)</t>
        </is>
      </c>
      <c r="G1206" s="17" t="inlineStr">
        <is>
          <t>Más főkategória terméke</t>
        </is>
      </c>
    </row>
    <row r="1207">
      <c r="A1207" s="17" t="inlineStr">
        <is>
          <t>GRO3477</t>
        </is>
      </c>
      <c r="B1207" s="17" t="inlineStr">
        <is>
          <t>Vents VK EC ventilátor Vents VK EC 100</t>
        </is>
      </c>
      <c r="C1207" s="17" t="inlineStr">
        <is>
          <t>–</t>
        </is>
      </c>
      <c r="D1207" s="17" t="inlineStr"/>
      <c r="E1207" s="17" t="inlineStr">
        <is>
          <t>Nem tartozik ide</t>
        </is>
      </c>
      <c r="F1207" s="17" t="inlineStr">
        <is>
          <t>2025-10 – 2026-04</t>
        </is>
      </c>
      <c r="G1207" s="17" t="inlineStr">
        <is>
          <t>Más főkategória terméke</t>
        </is>
      </c>
    </row>
    <row r="1208">
      <c r="A1208" s="17" t="inlineStr">
        <is>
          <t>GRO3478</t>
        </is>
      </c>
      <c r="B1208" s="17" t="inlineStr">
        <is>
          <t>Vents VK EC ventilátor VK EC 125</t>
        </is>
      </c>
      <c r="C1208" s="17" t="inlineStr">
        <is>
          <t>–</t>
        </is>
      </c>
      <c r="D1208" s="17" t="inlineStr"/>
      <c r="E1208" s="17" t="inlineStr">
        <is>
          <t>Nem tartozik ide</t>
        </is>
      </c>
      <c r="F1208" s="17" t="inlineStr">
        <is>
          <t>2024-10 – 2025-09 (lehet, hogy már nem aktív)</t>
        </is>
      </c>
      <c r="G1208" s="17" t="inlineStr">
        <is>
          <t>Más főkategória terméke</t>
        </is>
      </c>
    </row>
    <row r="1209">
      <c r="A1209" s="17" t="inlineStr">
        <is>
          <t>GRO3479</t>
        </is>
      </c>
      <c r="B1209" s="17" t="inlineStr">
        <is>
          <t>Vents VK EC ventilátor Vents VK EC 150</t>
        </is>
      </c>
      <c r="C1209" s="17" t="inlineStr">
        <is>
          <t>–</t>
        </is>
      </c>
      <c r="D1209" s="17" t="inlineStr"/>
      <c r="E1209" s="17" t="inlineStr">
        <is>
          <t>Nem tartozik ide</t>
        </is>
      </c>
      <c r="F1209" s="17" t="inlineStr">
        <is>
          <t>2025-10 – 2026-04</t>
        </is>
      </c>
      <c r="G1209" s="17" t="inlineStr">
        <is>
          <t>Más főkategória terméke</t>
        </is>
      </c>
    </row>
    <row r="1210">
      <c r="A1210" s="17" t="inlineStr">
        <is>
          <t>GRO3480</t>
        </is>
      </c>
      <c r="B1210" s="17" t="inlineStr">
        <is>
          <t>Vents VK EC ventilátor Vents VK EC 200</t>
        </is>
      </c>
      <c r="C1210" s="17" t="inlineStr">
        <is>
          <t>–</t>
        </is>
      </c>
      <c r="D1210" s="17" t="inlineStr"/>
      <c r="E1210" s="17" t="inlineStr">
        <is>
          <t>Nem tartozik ide</t>
        </is>
      </c>
      <c r="F1210" s="17" t="inlineStr">
        <is>
          <t>az elmúlt 30 napban</t>
        </is>
      </c>
      <c r="G1210" s="17" t="inlineStr">
        <is>
          <t>Más főkategória terméke</t>
        </is>
      </c>
    </row>
    <row r="1211">
      <c r="A1211" s="17" t="inlineStr">
        <is>
          <t>GRO3481</t>
        </is>
      </c>
      <c r="B1211" s="17" t="inlineStr">
        <is>
          <t>Vents VK EC ventilátor Vents VK EC 250</t>
        </is>
      </c>
      <c r="C1211" s="17" t="inlineStr">
        <is>
          <t>–</t>
        </is>
      </c>
      <c r="D1211" s="17" t="inlineStr"/>
      <c r="E1211" s="17" t="inlineStr">
        <is>
          <t>Nem tartozik ide</t>
        </is>
      </c>
      <c r="F1211" s="17" t="inlineStr">
        <is>
          <t>az elmúlt 30 napban</t>
        </is>
      </c>
      <c r="G1211" s="17" t="inlineStr">
        <is>
          <t>Más főkategória terméke</t>
        </is>
      </c>
    </row>
    <row r="1212">
      <c r="A1212" s="17" t="inlineStr">
        <is>
          <t>GRO3482</t>
        </is>
      </c>
      <c r="B1212" s="17" t="inlineStr">
        <is>
          <t>Vents VK EC ventilátor Vents VK EC 315</t>
        </is>
      </c>
      <c r="C1212" s="17" t="inlineStr">
        <is>
          <t>–</t>
        </is>
      </c>
      <c r="D1212" s="17" t="inlineStr"/>
      <c r="E1212" s="17" t="inlineStr">
        <is>
          <t>Nem tartozik ide</t>
        </is>
      </c>
      <c r="F1212" s="17" t="inlineStr">
        <is>
          <t>2025-10 – 2026-04</t>
        </is>
      </c>
      <c r="G1212" s="17" t="inlineStr">
        <is>
          <t>Más főkategória terméke</t>
        </is>
      </c>
    </row>
    <row r="1213">
      <c r="A1213" s="17" t="inlineStr">
        <is>
          <t>GRO3484</t>
        </is>
      </c>
      <c r="B1213" s="17" t="inlineStr">
        <is>
          <t>Canna CalMag Agent 1 liter</t>
        </is>
      </c>
      <c r="C1213" s="17" t="inlineStr">
        <is>
          <t>–</t>
        </is>
      </c>
      <c r="D1213" s="17" t="inlineStr"/>
      <c r="E1213" s="17" t="inlineStr">
        <is>
          <t>Nem tartozik ide</t>
        </is>
      </c>
      <c r="F1213" s="17" t="inlineStr">
        <is>
          <t>az elmúlt 30 napban</t>
        </is>
      </c>
      <c r="G1213" s="17" t="inlineStr">
        <is>
          <t>Más főkategória terméke</t>
        </is>
      </c>
    </row>
    <row r="1214">
      <c r="A1214" s="17" t="inlineStr">
        <is>
          <t>GRO3485</t>
        </is>
      </c>
      <c r="B1214" s="17" t="inlineStr">
        <is>
          <t>Canna CalMag Agent 5 liter</t>
        </is>
      </c>
      <c r="C1214" s="17" t="inlineStr">
        <is>
          <t>–</t>
        </is>
      </c>
      <c r="D1214" s="17" t="inlineStr"/>
      <c r="E1214" s="17" t="inlineStr">
        <is>
          <t>Nem tartozik ide</t>
        </is>
      </c>
      <c r="F1214" s="17" t="inlineStr">
        <is>
          <t>az elmúlt 30 napban</t>
        </is>
      </c>
      <c r="G1214" s="17" t="inlineStr">
        <is>
          <t>Más főkategória terméke</t>
        </is>
      </c>
    </row>
    <row r="1215">
      <c r="A1215" s="17" t="inlineStr">
        <is>
          <t>GRO3487</t>
        </is>
      </c>
      <c r="B1215" s="17" t="inlineStr">
        <is>
          <t>CKV3 szén pellet (Can Filter Original aktív szénszűrőhöz) 25 kg</t>
        </is>
      </c>
      <c r="C1215" s="17" t="inlineStr">
        <is>
          <t>–</t>
        </is>
      </c>
      <c r="D1215" s="17" t="inlineStr"/>
      <c r="E1215" s="17" t="inlineStr">
        <is>
          <t>Nem tartozik ide</t>
        </is>
      </c>
      <c r="F1215" s="17" t="inlineStr">
        <is>
          <t>az elmúlt 30 napban</t>
        </is>
      </c>
      <c r="G1215" s="17" t="inlineStr">
        <is>
          <t>Más főkategória terméke</t>
        </is>
      </c>
    </row>
    <row r="1216">
      <c r="A1216" s="17" t="inlineStr">
        <is>
          <t>GRO3504</t>
        </is>
      </c>
      <c r="B1216" s="17" t="inlineStr">
        <is>
          <t>CKV3 szén pellet (Can Filter Original aktív szénszűrőhöz) 1 kg</t>
        </is>
      </c>
      <c r="C1216" s="17" t="inlineStr">
        <is>
          <t>–</t>
        </is>
      </c>
      <c r="D1216" s="17" t="inlineStr"/>
      <c r="E1216" s="17" t="inlineStr">
        <is>
          <t>Nem tartozik ide</t>
        </is>
      </c>
      <c r="F1216" s="17" t="inlineStr">
        <is>
          <t>az elmúlt 6 hónapban</t>
        </is>
      </c>
      <c r="G1216" s="17" t="inlineStr">
        <is>
          <t>Más főkategória terméke</t>
        </is>
      </c>
    </row>
    <row r="1217">
      <c r="A1217" s="17" t="inlineStr">
        <is>
          <t>GRO3506</t>
        </is>
      </c>
      <c r="B1217" s="17" t="inlineStr">
        <is>
          <t>Secret Jardin PatchIT sátorjavító matrica 220mm</t>
        </is>
      </c>
      <c r="C1217" s="17" t="inlineStr">
        <is>
          <t>–</t>
        </is>
      </c>
      <c r="D1217" s="17" t="inlineStr"/>
      <c r="E1217" s="17" t="inlineStr">
        <is>
          <t>Nem tartozik ide</t>
        </is>
      </c>
      <c r="F1217" s="17" t="inlineStr">
        <is>
          <t>2024-10 – 2025-09 (lehet, hogy már nem aktív)</t>
        </is>
      </c>
      <c r="G1217" s="17" t="inlineStr">
        <is>
          <t>Más főkategória terméke</t>
        </is>
      </c>
    </row>
    <row r="1218">
      <c r="A1218" s="17" t="inlineStr">
        <is>
          <t>GRO3507</t>
        </is>
      </c>
      <c r="B1218" s="17" t="inlineStr">
        <is>
          <t>Secret Jardin PatchIT sátorjavító matrica R4.00 350mm</t>
        </is>
      </c>
      <c r="C1218" s="17" t="inlineStr">
        <is>
          <t>–</t>
        </is>
      </c>
      <c r="D1218" s="17" t="inlineStr"/>
      <c r="E1218" s="17" t="inlineStr">
        <is>
          <t>Nem tartozik ide</t>
        </is>
      </c>
      <c r="F1218" s="17" t="inlineStr">
        <is>
          <t>2024-10 – 2025-09 (lehet, hogy már nem aktív)</t>
        </is>
      </c>
      <c r="G1218" s="17" t="inlineStr">
        <is>
          <t>Más főkategória terméke</t>
        </is>
      </c>
    </row>
    <row r="1219">
      <c r="A1219" s="17" t="inlineStr">
        <is>
          <t>GRO3516</t>
        </is>
      </c>
      <c r="B1219" s="17" t="inlineStr">
        <is>
          <t>Plagron Hydro A/B 10 liter</t>
        </is>
      </c>
      <c r="C1219" s="17" t="inlineStr">
        <is>
          <t>–</t>
        </is>
      </c>
      <c r="D1219" s="17" t="inlineStr"/>
      <c r="E1219" s="17" t="inlineStr">
        <is>
          <t>Nem tartozik ide</t>
        </is>
      </c>
      <c r="F1219" s="17" t="inlineStr">
        <is>
          <t>2025-10 – 2026-04</t>
        </is>
      </c>
      <c r="G1219" s="17" t="inlineStr">
        <is>
          <t>Más főkategória terméke</t>
        </is>
      </c>
    </row>
    <row r="1220">
      <c r="A1220" s="17" t="inlineStr">
        <is>
          <t>GRO3517</t>
        </is>
      </c>
      <c r="B1220" s="17" t="inlineStr">
        <is>
          <t>Plagron Hydro A/B 20 liter</t>
        </is>
      </c>
      <c r="C1220" s="17" t="inlineStr">
        <is>
          <t>–</t>
        </is>
      </c>
      <c r="D1220" s="17" t="inlineStr"/>
      <c r="E1220" s="17" t="inlineStr">
        <is>
          <t>Nem tartozik ide</t>
        </is>
      </c>
      <c r="F1220" s="17" t="inlineStr">
        <is>
          <t>2025-10 – 2026-04</t>
        </is>
      </c>
      <c r="G1220" s="17" t="inlineStr">
        <is>
          <t>Más főkategória terméke</t>
        </is>
      </c>
    </row>
    <row r="1221">
      <c r="A1221" s="17" t="inlineStr">
        <is>
          <t>GRO3518</t>
        </is>
      </c>
      <c r="B1221" s="17" t="inlineStr">
        <is>
          <t>Plagron Cocos Premium perlit 70/30 50 liter</t>
        </is>
      </c>
      <c r="C1221" s="17" t="inlineStr">
        <is>
          <t>–</t>
        </is>
      </c>
      <c r="D1221" s="17" t="inlineStr"/>
      <c r="E1221" s="17" t="inlineStr">
        <is>
          <t>Nem tartozik ide</t>
        </is>
      </c>
      <c r="F1221" s="17" t="inlineStr">
        <is>
          <t>az elmúlt 30 napban</t>
        </is>
      </c>
      <c r="G1221" s="17" t="inlineStr">
        <is>
          <t>Más főkategória terméke</t>
        </is>
      </c>
    </row>
    <row r="1222">
      <c r="A1222" s="17" t="inlineStr">
        <is>
          <t>GRO3529</t>
        </is>
      </c>
      <c r="B1222" s="17" t="inlineStr">
        <is>
          <t>Lumatek ZEUS Xtreme LED 1000W 2.9</t>
        </is>
      </c>
      <c r="C1222" s="17" t="inlineStr">
        <is>
          <t>–</t>
        </is>
      </c>
      <c r="D1222" s="17" t="inlineStr"/>
      <c r="E1222" s="17" t="inlineStr">
        <is>
          <t>Nem tartozik ide</t>
        </is>
      </c>
      <c r="F1222" s="17" t="inlineStr">
        <is>
          <t>2025-10 – 2026-04</t>
        </is>
      </c>
      <c r="G1222" s="17" t="inlineStr">
        <is>
          <t>Más főkategória terméke</t>
        </is>
      </c>
    </row>
    <row r="1223">
      <c r="A1223" s="17" t="inlineStr">
        <is>
          <t>GRO3530</t>
        </is>
      </c>
      <c r="B1223" s="17" t="inlineStr">
        <is>
          <t>Secret Jardin sátor kivágáshoz csatlakozó (DF16 keret) Ø100 mm</t>
        </is>
      </c>
      <c r="C1223" s="17" t="inlineStr">
        <is>
          <t>–</t>
        </is>
      </c>
      <c r="D1223" s="17" t="inlineStr"/>
      <c r="E1223" s="17" t="inlineStr">
        <is>
          <t>Nem tartozik ide</t>
        </is>
      </c>
      <c r="F1223" s="17" t="inlineStr">
        <is>
          <t>az elmúlt 30 napban</t>
        </is>
      </c>
      <c r="G1223" s="17" t="inlineStr">
        <is>
          <t>Más főkategória terméke</t>
        </is>
      </c>
    </row>
    <row r="1224">
      <c r="A1224" s="17" t="inlineStr">
        <is>
          <t>GRO3531</t>
        </is>
      </c>
      <c r="B1224" s="17" t="inlineStr">
        <is>
          <t>Bluelab Combo mérő (pH, tápanyag, hőmérséklet)</t>
        </is>
      </c>
      <c r="C1224" s="17" t="inlineStr">
        <is>
          <t>–</t>
        </is>
      </c>
      <c r="D1224" s="17" t="inlineStr"/>
      <c r="E1224" s="17" t="inlineStr">
        <is>
          <t>Nem tartozik ide</t>
        </is>
      </c>
      <c r="F1224" s="17" t="inlineStr">
        <is>
          <t>az elmúlt 6 hónapban</t>
        </is>
      </c>
      <c r="G1224" s="17" t="inlineStr">
        <is>
          <t>Más főkategória terméke</t>
        </is>
      </c>
    </row>
    <row r="1225">
      <c r="A1225" s="17" t="inlineStr">
        <is>
          <t>GRO3532</t>
        </is>
      </c>
      <c r="B1225" s="17" t="inlineStr">
        <is>
          <t>Can-Filter Original Prémium Szénszűrő</t>
        </is>
      </c>
      <c r="C1225" s="17" t="inlineStr">
        <is>
          <t>–</t>
        </is>
      </c>
      <c r="D1225" s="17" t="inlineStr"/>
      <c r="E1225" s="17" t="inlineStr">
        <is>
          <t>Nem tartozik ide</t>
        </is>
      </c>
      <c r="F1225" s="17" t="inlineStr">
        <is>
          <t>az elmúlt 30 napban</t>
        </is>
      </c>
      <c r="G1225" s="17" t="inlineStr">
        <is>
          <t>Más főkategória terméke</t>
        </is>
      </c>
    </row>
    <row r="1226">
      <c r="A1226" s="17" t="inlineStr">
        <is>
          <t>GRO3533</t>
        </is>
      </c>
      <c r="B1226" s="17" t="inlineStr">
        <is>
          <t>Can-Filters Original Szénszűrő d: 160 mm 700 m3/h L: 50 cm</t>
        </is>
      </c>
      <c r="C1226" s="17" t="inlineStr">
        <is>
          <t>–</t>
        </is>
      </c>
      <c r="D1226" s="17" t="inlineStr"/>
      <c r="E1226" s="17" t="inlineStr">
        <is>
          <t>Nem tartozik ide</t>
        </is>
      </c>
      <c r="F1226" s="17" t="inlineStr">
        <is>
          <t>az elmúlt 30 napban</t>
        </is>
      </c>
      <c r="G1226" s="17" t="inlineStr">
        <is>
          <t>Más főkategória terméke</t>
        </is>
      </c>
    </row>
    <row r="1227">
      <c r="A1227" s="17" t="inlineStr">
        <is>
          <t>GRO3534</t>
        </is>
      </c>
      <c r="B1227" s="17" t="inlineStr">
        <is>
          <t>CAN Original Prémium Szénszűrő CF 350 m3/h, vég: 160 mm</t>
        </is>
      </c>
      <c r="C1227" s="17" t="inlineStr">
        <is>
          <t>–</t>
        </is>
      </c>
      <c r="D1227" s="17" t="inlineStr"/>
      <c r="E1227" s="17" t="inlineStr">
        <is>
          <t>Nem tartozik ide</t>
        </is>
      </c>
      <c r="F1227" s="17" t="inlineStr">
        <is>
          <t>az elmúlt 30 napban</t>
        </is>
      </c>
      <c r="G1227" s="17" t="inlineStr">
        <is>
          <t>Más főkategória terméke</t>
        </is>
      </c>
    </row>
    <row r="1228">
      <c r="A1228" s="17" t="inlineStr">
        <is>
          <t>GRO3535</t>
        </is>
      </c>
      <c r="B1228" s="17" t="inlineStr">
        <is>
          <t>CAN Original Prémium Szénszűrő CF 250 m3/h, vég: 125 mm</t>
        </is>
      </c>
      <c r="C1228" s="17" t="inlineStr">
        <is>
          <t>–</t>
        </is>
      </c>
      <c r="D1228" s="17" t="inlineStr"/>
      <c r="E1228" s="17" t="inlineStr">
        <is>
          <t>Nem tartozik ide</t>
        </is>
      </c>
      <c r="F1228" s="17" t="inlineStr">
        <is>
          <t>az elmúlt 30 napban</t>
        </is>
      </c>
      <c r="G1228" s="17" t="inlineStr">
        <is>
          <t>Más főkategória terméke</t>
        </is>
      </c>
    </row>
    <row r="1229">
      <c r="A1229" s="17" t="inlineStr">
        <is>
          <t>GRO3536</t>
        </is>
      </c>
      <c r="B1229" s="17" t="inlineStr">
        <is>
          <t>CAN Original Premium Szénszűrő CF 150 m3/h</t>
        </is>
      </c>
      <c r="C1229" s="17" t="inlineStr">
        <is>
          <t>–</t>
        </is>
      </c>
      <c r="D1229" s="17" t="inlineStr"/>
      <c r="E1229" s="17" t="inlineStr">
        <is>
          <t>Nem tartozik ide</t>
        </is>
      </c>
      <c r="F1229" s="17" t="inlineStr">
        <is>
          <t>az elmúlt 30 napban</t>
        </is>
      </c>
      <c r="G1229" s="17" t="inlineStr">
        <is>
          <t>Más főkategória terméke</t>
        </is>
      </c>
    </row>
    <row r="1230">
      <c r="A1230" s="17" t="inlineStr">
        <is>
          <t>GRO3538</t>
        </is>
      </c>
      <c r="B1230" s="17" t="inlineStr">
        <is>
          <t>Can-Inline Szénszűrő 600 m3/h vég: 160 mm</t>
        </is>
      </c>
      <c r="C1230" s="17" t="inlineStr">
        <is>
          <t>–</t>
        </is>
      </c>
      <c r="D1230" s="17" t="inlineStr"/>
      <c r="E1230" s="17" t="inlineStr">
        <is>
          <t>Nem tartozik ide</t>
        </is>
      </c>
      <c r="F1230" s="17" t="inlineStr">
        <is>
          <t>2024-10 – 2025-09 (lehet, hogy már nem aktív)</t>
        </is>
      </c>
      <c r="G1230" s="17" t="inlineStr">
        <is>
          <t>Más főkategória terméke</t>
        </is>
      </c>
    </row>
    <row r="1231">
      <c r="A1231" s="17" t="inlineStr">
        <is>
          <t>GRO3539</t>
        </is>
      </c>
      <c r="B1231" s="17" t="inlineStr">
        <is>
          <t>Can-Inline Szénszűrő 1500 m3/h vég: 250 mm</t>
        </is>
      </c>
      <c r="C1231" s="17" t="inlineStr">
        <is>
          <t>–</t>
        </is>
      </c>
      <c r="D1231" s="17" t="inlineStr"/>
      <c r="E1231" s="17" t="inlineStr">
        <is>
          <t>Nem tartozik ide</t>
        </is>
      </c>
      <c r="F1231" s="17" t="inlineStr">
        <is>
          <t>2024-10 – 2025-09 (lehet, hogy már nem aktív)</t>
        </is>
      </c>
      <c r="G1231" s="17" t="inlineStr">
        <is>
          <t>Más főkategória terméke</t>
        </is>
      </c>
    </row>
    <row r="1232">
      <c r="A1232" s="17" t="inlineStr">
        <is>
          <t>GRO3540</t>
        </is>
      </c>
      <c r="B1232" s="17" t="inlineStr">
        <is>
          <t>Can Filters Can-Inline Szénszűrő 2500 m3/h / 250 mm</t>
        </is>
      </c>
      <c r="C1232" s="17" t="inlineStr">
        <is>
          <t>–</t>
        </is>
      </c>
      <c r="D1232" s="17" t="inlineStr"/>
      <c r="E1232" s="17" t="inlineStr">
        <is>
          <t>Nem tartozik ide</t>
        </is>
      </c>
      <c r="F1232" s="17" t="inlineStr">
        <is>
          <t>az elmúlt 6 hónapban</t>
        </is>
      </c>
      <c r="G1232" s="17" t="inlineStr">
        <is>
          <t>Más főkategória terméke</t>
        </is>
      </c>
    </row>
    <row r="1233">
      <c r="A1233" s="17" t="inlineStr">
        <is>
          <t>GRO3542</t>
        </is>
      </c>
      <c r="B1233" s="17" t="inlineStr">
        <is>
          <t>Can Filter Silencer (Ventilátor hangtompító) CFS11</t>
        </is>
      </c>
      <c r="C1233" s="17" t="inlineStr">
        <is>
          <t>–</t>
        </is>
      </c>
      <c r="D1233" s="17" t="inlineStr"/>
      <c r="E1233" s="17" t="inlineStr">
        <is>
          <t>Nem tartozik ide</t>
        </is>
      </c>
      <c r="F1233" s="17" t="inlineStr">
        <is>
          <t>az elmúlt 6 hónapban</t>
        </is>
      </c>
      <c r="G1233" s="17" t="inlineStr">
        <is>
          <t>Más főkategória terméke</t>
        </is>
      </c>
    </row>
    <row r="1234">
      <c r="A1234" s="17" t="inlineStr">
        <is>
          <t>GRO3543</t>
        </is>
      </c>
      <c r="B1234" s="17" t="inlineStr">
        <is>
          <t>Can Filter Silencer (Ventilátor hangtompító) CFS09</t>
        </is>
      </c>
      <c r="C1234" s="17" t="inlineStr">
        <is>
          <t>–</t>
        </is>
      </c>
      <c r="D1234" s="17" t="inlineStr"/>
      <c r="E1234" s="17" t="inlineStr">
        <is>
          <t>Nem tartozik ide</t>
        </is>
      </c>
      <c r="F1234" s="17" t="inlineStr">
        <is>
          <t>az elmúlt 30 napban</t>
        </is>
      </c>
      <c r="G1234" s="17" t="inlineStr">
        <is>
          <t>Más főkategória terméke</t>
        </is>
      </c>
    </row>
    <row r="1235">
      <c r="A1235" s="17" t="inlineStr">
        <is>
          <t>GRO3544</t>
        </is>
      </c>
      <c r="B1235" s="17" t="inlineStr">
        <is>
          <t>Can Filter Silencer (Ventilátor hangtompító) CFS05</t>
        </is>
      </c>
      <c r="C1235" s="17" t="inlineStr">
        <is>
          <t>–</t>
        </is>
      </c>
      <c r="D1235" s="17" t="inlineStr"/>
      <c r="E1235" s="17" t="inlineStr">
        <is>
          <t>Nem tartozik ide</t>
        </is>
      </c>
      <c r="F1235" s="17" t="inlineStr">
        <is>
          <t>az elmúlt 6 hónapban</t>
        </is>
      </c>
      <c r="G1235" s="17" t="inlineStr">
        <is>
          <t>Más főkategória terméke</t>
        </is>
      </c>
    </row>
    <row r="1236">
      <c r="A1236" s="17" t="inlineStr">
        <is>
          <t>GRO3545</t>
        </is>
      </c>
      <c r="B1236" s="17" t="inlineStr">
        <is>
          <t>Can Filter Silencer (Ventilátor hangtompító) CFS03</t>
        </is>
      </c>
      <c r="C1236" s="17" t="inlineStr">
        <is>
          <t>–</t>
        </is>
      </c>
      <c r="D1236" s="17" t="inlineStr"/>
      <c r="E1236" s="17" t="inlineStr">
        <is>
          <t>Nem tartozik ide</t>
        </is>
      </c>
      <c r="F1236" s="17" t="inlineStr">
        <is>
          <t>az elmúlt 30 napban</t>
        </is>
      </c>
      <c r="G1236" s="17" t="inlineStr">
        <is>
          <t>Más főkategória terméke</t>
        </is>
      </c>
    </row>
    <row r="1237">
      <c r="A1237" s="17" t="inlineStr">
        <is>
          <t>GRO3546</t>
        </is>
      </c>
      <c r="B1237" s="17" t="inlineStr">
        <is>
          <t>Can Filter Silencer (Ventilátor hangtompító CFS01</t>
        </is>
      </c>
      <c r="C1237" s="17" t="inlineStr">
        <is>
          <t>–</t>
        </is>
      </c>
      <c r="D1237" s="17" t="inlineStr"/>
      <c r="E1237" s="17" t="inlineStr">
        <is>
          <t>Nem tartozik ide</t>
        </is>
      </c>
      <c r="F1237" s="17" t="inlineStr">
        <is>
          <t>az elmúlt 30 napban</t>
        </is>
      </c>
      <c r="G1237" s="17" t="inlineStr">
        <is>
          <t>Más főkategória terméke</t>
        </is>
      </c>
    </row>
    <row r="1238">
      <c r="A1238" s="17" t="inlineStr">
        <is>
          <t>GRO3547</t>
        </is>
      </c>
      <c r="B1238" s="17" t="inlineStr">
        <is>
          <t>Can Filter Can Lite Szénszűrő (acél) 4500 m3/h szűrővég: 315 mm</t>
        </is>
      </c>
      <c r="C1238" s="17" t="inlineStr">
        <is>
          <t>–</t>
        </is>
      </c>
      <c r="D1238" s="17" t="inlineStr"/>
      <c r="E1238" s="17" t="inlineStr">
        <is>
          <t>Nem tartozik ide</t>
        </is>
      </c>
      <c r="F1238" s="17" t="inlineStr">
        <is>
          <t>az elmúlt 6 hónapban</t>
        </is>
      </c>
      <c r="G1238" s="17" t="inlineStr">
        <is>
          <t>Más főkategória terméke</t>
        </is>
      </c>
    </row>
    <row r="1239">
      <c r="A1239" s="17" t="inlineStr">
        <is>
          <t>GRO3548</t>
        </is>
      </c>
      <c r="B1239" s="17" t="inlineStr">
        <is>
          <t>Can Filter Can Lite Szénszűrő (acél) 1500 m3/h szűrővég: 200 mm</t>
        </is>
      </c>
      <c r="C1239" s="17" t="inlineStr">
        <is>
          <t>–</t>
        </is>
      </c>
      <c r="D1239" s="17" t="inlineStr"/>
      <c r="E1239" s="17" t="inlineStr">
        <is>
          <t>Nem tartozik ide</t>
        </is>
      </c>
      <c r="F1239" s="17" t="inlineStr">
        <is>
          <t>az elmúlt 30 napban</t>
        </is>
      </c>
      <c r="G1239" s="17" t="inlineStr">
        <is>
          <t>Más főkategória terméke</t>
        </is>
      </c>
    </row>
    <row r="1240">
      <c r="A1240" s="17" t="inlineStr">
        <is>
          <t>GRO3552</t>
        </is>
      </c>
      <c r="B1240" s="17" t="inlineStr">
        <is>
          <t>Secret Jardin Dark Street Grow Box DS150W</t>
        </is>
      </c>
      <c r="C1240" s="17" t="inlineStr">
        <is>
          <t>–</t>
        </is>
      </c>
      <c r="D1240" s="17" t="inlineStr"/>
      <c r="E1240" s="17" t="inlineStr">
        <is>
          <t>Nem tartozik ide</t>
        </is>
      </c>
      <c r="F1240" s="17" t="inlineStr">
        <is>
          <t>az elmúlt 30 napban</t>
        </is>
      </c>
      <c r="G1240" s="17" t="inlineStr">
        <is>
          <t>Más főkategória terméke</t>
        </is>
      </c>
    </row>
    <row r="1241">
      <c r="A1241" s="17" t="inlineStr">
        <is>
          <t>GRO3553</t>
        </is>
      </c>
      <c r="B1241" s="17" t="inlineStr">
        <is>
          <t>Secret Jardin DARKROOM Grow Box R4.00 DR150</t>
        </is>
      </c>
      <c r="C1241" s="17" t="inlineStr">
        <is>
          <t>–</t>
        </is>
      </c>
      <c r="D1241" s="17" t="inlineStr"/>
      <c r="E1241" s="17" t="inlineStr">
        <is>
          <t>Nem tartozik ide</t>
        </is>
      </c>
      <c r="F1241" s="17" t="inlineStr">
        <is>
          <t>az elmúlt 30 napban</t>
        </is>
      </c>
      <c r="G1241" s="17" t="inlineStr">
        <is>
          <t>Más főkategória terméke</t>
        </is>
      </c>
    </row>
    <row r="1242">
      <c r="A1242" s="17" t="inlineStr">
        <is>
          <t>GRO3554</t>
        </is>
      </c>
      <c r="B1242" s="17" t="inlineStr">
        <is>
          <t>Secret Jardin DARKROOM Grow Box R4.00 DR240</t>
        </is>
      </c>
      <c r="C1242" s="17" t="inlineStr">
        <is>
          <t>–</t>
        </is>
      </c>
      <c r="D1242" s="17" t="inlineStr"/>
      <c r="E1242" s="17" t="inlineStr">
        <is>
          <t>Nem tartozik ide</t>
        </is>
      </c>
      <c r="F1242" s="17" t="inlineStr">
        <is>
          <t>az elmúlt 30 napban</t>
        </is>
      </c>
      <c r="G1242" s="17" t="inlineStr">
        <is>
          <t>Más főkategória terméke</t>
        </is>
      </c>
    </row>
    <row r="1243">
      <c r="A1243" s="17" t="inlineStr">
        <is>
          <t>GRO3555</t>
        </is>
      </c>
      <c r="B1243" s="17" t="inlineStr">
        <is>
          <t>Secret Jardin DARKROOM Grow Box R4.00 DR300</t>
        </is>
      </c>
      <c r="C1243" s="17" t="inlineStr">
        <is>
          <t>–</t>
        </is>
      </c>
      <c r="D1243" s="17" t="inlineStr"/>
      <c r="E1243" s="17" t="inlineStr">
        <is>
          <t>Nem tartozik ide</t>
        </is>
      </c>
      <c r="F1243" s="17" t="inlineStr">
        <is>
          <t>az elmúlt 30 napban</t>
        </is>
      </c>
      <c r="G1243" s="17" t="inlineStr">
        <is>
          <t>Más főkategória terméke</t>
        </is>
      </c>
    </row>
    <row r="1244">
      <c r="A1244" s="17" t="inlineStr">
        <is>
          <t>GRO3556</t>
        </is>
      </c>
      <c r="B1244" s="17" t="inlineStr">
        <is>
          <t>Secret Jardin DARKROOM Grow Box R4.00 DR240W</t>
        </is>
      </c>
      <c r="C1244" s="17" t="inlineStr">
        <is>
          <t>–</t>
        </is>
      </c>
      <c r="D1244" s="17" t="inlineStr"/>
      <c r="E1244" s="17" t="inlineStr">
        <is>
          <t>Nem tartozik ide</t>
        </is>
      </c>
      <c r="F1244" s="17" t="inlineStr">
        <is>
          <t>az elmúlt 30 napban</t>
        </is>
      </c>
      <c r="G1244" s="17" t="inlineStr">
        <is>
          <t>Más főkategória terméke</t>
        </is>
      </c>
    </row>
    <row r="1245">
      <c r="A1245" s="17" t="inlineStr">
        <is>
          <t>GRO3558</t>
        </is>
      </c>
      <c r="B1245" s="17" t="inlineStr">
        <is>
          <t>Secret Jardin Dark Propagator Grow Box D120</t>
        </is>
      </c>
      <c r="C1245" s="17" t="inlineStr">
        <is>
          <t>–</t>
        </is>
      </c>
      <c r="D1245" s="17" t="inlineStr"/>
      <c r="E1245" s="17" t="inlineStr">
        <is>
          <t>Nem tartozik ide</t>
        </is>
      </c>
      <c r="F1245" s="17" t="inlineStr">
        <is>
          <t>az elmúlt 30 napban</t>
        </is>
      </c>
      <c r="G1245" s="17" t="inlineStr">
        <is>
          <t>Más főkategória terméke</t>
        </is>
      </c>
    </row>
    <row r="1246">
      <c r="A1246" s="17" t="inlineStr">
        <is>
          <t>GRO3560</t>
        </is>
      </c>
      <c r="B1246" s="17" t="inlineStr">
        <is>
          <t>Secret Jardin Hydro Shoot Growbox Secret Jardin HS480W</t>
        </is>
      </c>
      <c r="C1246" s="17" t="inlineStr">
        <is>
          <t>–</t>
        </is>
      </c>
      <c r="D1246" s="17" t="inlineStr"/>
      <c r="E1246" s="17" t="inlineStr">
        <is>
          <t>Nem tartozik ide</t>
        </is>
      </c>
      <c r="F1246" s="17" t="inlineStr">
        <is>
          <t>2024-10 – 2025-09 (lehet, hogy már nem aktív)</t>
        </is>
      </c>
      <c r="G1246" s="17" t="inlineStr">
        <is>
          <t>Más főkategória terméke</t>
        </is>
      </c>
    </row>
    <row r="1247">
      <c r="A1247" s="17" t="inlineStr">
        <is>
          <t>GRO3563</t>
        </is>
      </c>
      <c r="B1247" s="17" t="inlineStr">
        <is>
          <t>Pro-Leaf CO2 érzékelő és digitális szabályzó</t>
        </is>
      </c>
      <c r="C1247" s="17" t="inlineStr">
        <is>
          <t>–</t>
        </is>
      </c>
      <c r="D1247" s="17" t="inlineStr"/>
      <c r="E1247" s="17" t="inlineStr">
        <is>
          <t>Nem tartozik ide</t>
        </is>
      </c>
      <c r="F1247" s="17" t="inlineStr">
        <is>
          <t>az elmúlt 30 napban</t>
        </is>
      </c>
      <c r="G1247" s="17" t="inlineStr">
        <is>
          <t>Más főkategória terméke</t>
        </is>
      </c>
    </row>
    <row r="1248">
      <c r="A1248" s="17" t="inlineStr">
        <is>
          <t>GRO3565</t>
        </is>
      </c>
      <c r="B1248" s="17" t="inlineStr">
        <is>
          <t>Cornwall Electronics digitális hőmérséklet- és páratartalom-mérő</t>
        </is>
      </c>
      <c r="C1248" s="17" t="inlineStr">
        <is>
          <t>–</t>
        </is>
      </c>
      <c r="D1248" s="17" t="inlineStr"/>
      <c r="E1248" s="17" t="inlineStr">
        <is>
          <t>Nem tartozik ide</t>
        </is>
      </c>
      <c r="F1248" s="17" t="inlineStr">
        <is>
          <t>az elmúlt 30 napban</t>
        </is>
      </c>
      <c r="G1248" s="17" t="inlineStr">
        <is>
          <t>Más főkategória terméke</t>
        </is>
      </c>
    </row>
    <row r="1249">
      <c r="A1249" s="17" t="inlineStr">
        <is>
          <t>GRO3568</t>
        </is>
      </c>
      <c r="B1249" s="17" t="inlineStr">
        <is>
          <t>TLED LED BLOOM Spectrum 42W</t>
        </is>
      </c>
      <c r="C1249" s="17" t="inlineStr">
        <is>
          <t>–</t>
        </is>
      </c>
      <c r="D1249" s="17" t="inlineStr"/>
      <c r="E1249" s="17" t="inlineStr">
        <is>
          <t>Nem tartozik ide</t>
        </is>
      </c>
      <c r="F1249" s="17" t="inlineStr">
        <is>
          <t>az elmúlt 30 napban</t>
        </is>
      </c>
      <c r="G1249" s="17" t="inlineStr">
        <is>
          <t>Más főkategória terméke</t>
        </is>
      </c>
    </row>
    <row r="1250">
      <c r="A1250" s="17" t="inlineStr">
        <is>
          <t>GRO3571</t>
        </is>
      </c>
      <c r="B1250" s="17" t="inlineStr">
        <is>
          <t>Ona ventilátor Ona Cyclone</t>
        </is>
      </c>
      <c r="C1250" s="17" t="inlineStr">
        <is>
          <t>–</t>
        </is>
      </c>
      <c r="D1250" s="17" t="inlineStr"/>
      <c r="E1250" s="17" t="inlineStr">
        <is>
          <t>Nem tartozik ide</t>
        </is>
      </c>
      <c r="F1250" s="17" t="inlineStr">
        <is>
          <t>az elmúlt 30 napban</t>
        </is>
      </c>
      <c r="G1250" s="17" t="inlineStr">
        <is>
          <t>Más főkategória terméke</t>
        </is>
      </c>
    </row>
    <row r="1251">
      <c r="A1251" s="17" t="inlineStr">
        <is>
          <t>GRO3572</t>
        </is>
      </c>
      <c r="B1251" s="17" t="inlineStr">
        <is>
          <t>Ona ventilátor Ona Breeze</t>
        </is>
      </c>
      <c r="C1251" s="17" t="inlineStr">
        <is>
          <t>–</t>
        </is>
      </c>
      <c r="D1251" s="17" t="inlineStr"/>
      <c r="E1251" s="17" t="inlineStr">
        <is>
          <t>Nem tartozik ide</t>
        </is>
      </c>
      <c r="F1251" s="17" t="inlineStr">
        <is>
          <t>az elmúlt 30 napban</t>
        </is>
      </c>
      <c r="G1251" s="17" t="inlineStr">
        <is>
          <t>Más főkategória terméke</t>
        </is>
      </c>
    </row>
    <row r="1252">
      <c r="A1252" s="17" t="inlineStr">
        <is>
          <t>GRO3573</t>
        </is>
      </c>
      <c r="B1252" s="17" t="inlineStr">
        <is>
          <t>Lumatek HPS izzó (double ended) 1000 W</t>
        </is>
      </c>
      <c r="C1252" s="17" t="inlineStr">
        <is>
          <t>–</t>
        </is>
      </c>
      <c r="D1252" s="17" t="inlineStr"/>
      <c r="E1252" s="17" t="inlineStr">
        <is>
          <t>Nem tartozik ide</t>
        </is>
      </c>
      <c r="F1252" s="17" t="inlineStr">
        <is>
          <t>az elmúlt 30 napban</t>
        </is>
      </c>
      <c r="G1252" s="17" t="inlineStr">
        <is>
          <t>Más főkategória terméke</t>
        </is>
      </c>
    </row>
    <row r="1253">
      <c r="A1253" s="17" t="inlineStr">
        <is>
          <t>GRO3574</t>
        </is>
      </c>
      <c r="B1253" s="17" t="inlineStr">
        <is>
          <t>Agrolite Dark LED 20W</t>
        </is>
      </c>
      <c r="C1253" s="17" t="inlineStr">
        <is>
          <t>–</t>
        </is>
      </c>
      <c r="D1253" s="17" t="inlineStr"/>
      <c r="E1253" s="17" t="inlineStr">
        <is>
          <t>Nem tartozik ide</t>
        </is>
      </c>
      <c r="F1253" s="17" t="inlineStr">
        <is>
          <t>az elmúlt 30 napban</t>
        </is>
      </c>
      <c r="G1253" s="17" t="inlineStr">
        <is>
          <t>Más főkategória terméke</t>
        </is>
      </c>
    </row>
    <row r="1254">
      <c r="A1254" s="17" t="inlineStr">
        <is>
          <t>GRO3575</t>
        </is>
      </c>
      <c r="B1254" s="17" t="inlineStr">
        <is>
          <t>Aquatek kalibráló por pH 4.01</t>
        </is>
      </c>
      <c r="C1254" s="17" t="inlineStr">
        <is>
          <t>–</t>
        </is>
      </c>
      <c r="D1254" s="17" t="inlineStr"/>
      <c r="E1254" s="17" t="inlineStr">
        <is>
          <t>Nem tartozik ide</t>
        </is>
      </c>
      <c r="F1254" s="17" t="inlineStr">
        <is>
          <t>az elmúlt 30 napban</t>
        </is>
      </c>
      <c r="G1254" s="17" t="inlineStr">
        <is>
          <t>Más főkategória terméke</t>
        </is>
      </c>
    </row>
    <row r="1255">
      <c r="A1255" s="17" t="inlineStr">
        <is>
          <t>GRO3576</t>
        </is>
      </c>
      <c r="B1255" s="17" t="inlineStr">
        <is>
          <t>Légtechnikai csőkapcsoló Ø100 mm</t>
        </is>
      </c>
      <c r="C1255" s="17" t="inlineStr">
        <is>
          <t>–</t>
        </is>
      </c>
      <c r="D1255" s="17" t="inlineStr"/>
      <c r="E1255" s="17" t="inlineStr">
        <is>
          <t>Nem tartozik ide</t>
        </is>
      </c>
      <c r="F1255" s="17" t="inlineStr">
        <is>
          <t>az elmúlt 6 hónapban</t>
        </is>
      </c>
      <c r="G1255" s="17" t="inlineStr">
        <is>
          <t>Más főkategória terméke</t>
        </is>
      </c>
    </row>
    <row r="1256">
      <c r="A1256" s="17" t="inlineStr">
        <is>
          <t>GRO3577</t>
        </is>
      </c>
      <c r="B1256" s="17" t="inlineStr">
        <is>
          <t>Légtechnikai csőkapcsoló (több átmérővel) Ø125 mm</t>
        </is>
      </c>
      <c r="C1256" s="17" t="inlineStr">
        <is>
          <t>–</t>
        </is>
      </c>
      <c r="D1256" s="17" t="inlineStr"/>
      <c r="E1256" s="17" t="inlineStr">
        <is>
          <t>Nem tartozik ide</t>
        </is>
      </c>
      <c r="F1256" s="17" t="inlineStr">
        <is>
          <t>2024-10 – 2025-09 (lehet, hogy már nem aktív)</t>
        </is>
      </c>
      <c r="G1256" s="17" t="inlineStr">
        <is>
          <t>Más főkategória terméke</t>
        </is>
      </c>
    </row>
    <row r="1257">
      <c r="A1257" s="17" t="inlineStr">
        <is>
          <t>GRO3578</t>
        </is>
      </c>
      <c r="B1257" s="17" t="inlineStr">
        <is>
          <t>Légtechnikai csőkapcsoló Ø150 mm</t>
        </is>
      </c>
      <c r="C1257" s="17" t="inlineStr">
        <is>
          <t>–</t>
        </is>
      </c>
      <c r="D1257" s="17" t="inlineStr"/>
      <c r="E1257" s="17" t="inlineStr">
        <is>
          <t>Nem tartozik ide</t>
        </is>
      </c>
      <c r="F1257" s="17" t="inlineStr">
        <is>
          <t>az elmúlt 6 hónapban</t>
        </is>
      </c>
      <c r="G1257" s="17" t="inlineStr">
        <is>
          <t>Más főkategória terméke</t>
        </is>
      </c>
    </row>
    <row r="1258">
      <c r="A1258" s="17" t="inlineStr">
        <is>
          <t>GRO3579</t>
        </is>
      </c>
      <c r="B1258" s="17" t="inlineStr">
        <is>
          <t>Légtechnikai csőkapcsoló Ø160 mm</t>
        </is>
      </c>
      <c r="C1258" s="17" t="inlineStr">
        <is>
          <t>–</t>
        </is>
      </c>
      <c r="D1258" s="17" t="inlineStr"/>
      <c r="E1258" s="17" t="inlineStr">
        <is>
          <t>Nem tartozik ide</t>
        </is>
      </c>
      <c r="F1258" s="17" t="inlineStr">
        <is>
          <t>az elmúlt 30 napban</t>
        </is>
      </c>
      <c r="G1258" s="17" t="inlineStr">
        <is>
          <t>Más főkategória terméke</t>
        </is>
      </c>
    </row>
    <row r="1259">
      <c r="A1259" s="17" t="inlineStr">
        <is>
          <t>GRO3580</t>
        </is>
      </c>
      <c r="B1259" s="17" t="inlineStr">
        <is>
          <t>Légtechnikai csőkapcsoló Ø200 mm</t>
        </is>
      </c>
      <c r="C1259" s="17" t="inlineStr">
        <is>
          <t>–</t>
        </is>
      </c>
      <c r="D1259" s="17" t="inlineStr"/>
      <c r="E1259" s="17" t="inlineStr">
        <is>
          <t>Nem tartozik ide</t>
        </is>
      </c>
      <c r="F1259" s="17" t="inlineStr">
        <is>
          <t>az elmúlt 30 napban</t>
        </is>
      </c>
      <c r="G1259" s="17" t="inlineStr">
        <is>
          <t>Más főkategória terméke</t>
        </is>
      </c>
    </row>
    <row r="1260">
      <c r="A1260" s="17" t="inlineStr">
        <is>
          <t>GRO3581</t>
        </is>
      </c>
      <c r="B1260" s="17" t="inlineStr">
        <is>
          <t>Légtechnikai csőkapcsoló Ø250 mm</t>
        </is>
      </c>
      <c r="C1260" s="17" t="inlineStr">
        <is>
          <t>–</t>
        </is>
      </c>
      <c r="D1260" s="17" t="inlineStr"/>
      <c r="E1260" s="17" t="inlineStr">
        <is>
          <t>Nem tartozik ide</t>
        </is>
      </c>
      <c r="F1260" s="17" t="inlineStr">
        <is>
          <t>az elmúlt 30 napban</t>
        </is>
      </c>
      <c r="G1260" s="17" t="inlineStr">
        <is>
          <t>Más főkategória terméke</t>
        </is>
      </c>
    </row>
    <row r="1261">
      <c r="A1261" s="17" t="inlineStr">
        <is>
          <t>GRO3582</t>
        </is>
      </c>
      <c r="B1261" s="17" t="inlineStr">
        <is>
          <t>Légtechnikai csőkapcsoló Ø315 mm</t>
        </is>
      </c>
      <c r="C1261" s="17" t="inlineStr">
        <is>
          <t>–</t>
        </is>
      </c>
      <c r="D1261" s="17" t="inlineStr"/>
      <c r="E1261" s="17" t="inlineStr">
        <is>
          <t>Nem tartozik ide</t>
        </is>
      </c>
      <c r="F1261" s="17" t="inlineStr">
        <is>
          <t>az elmúlt 30 napban</t>
        </is>
      </c>
      <c r="G1261" s="17" t="inlineStr">
        <is>
          <t>Más főkategória terméke</t>
        </is>
      </c>
    </row>
    <row r="1262">
      <c r="A1262" s="17" t="inlineStr">
        <is>
          <t>GRO3583</t>
        </is>
      </c>
      <c r="B1262" s="17" t="inlineStr">
        <is>
          <t>Légtechnikai csőkapcsoló Ø350 mm</t>
        </is>
      </c>
      <c r="C1262" s="17" t="inlineStr">
        <is>
          <t>–</t>
        </is>
      </c>
      <c r="D1262" s="17" t="inlineStr"/>
      <c r="E1262" s="17" t="inlineStr">
        <is>
          <t>Nem tartozik ide</t>
        </is>
      </c>
      <c r="F1262" s="17" t="inlineStr">
        <is>
          <t>az elmúlt 6 hónapban</t>
        </is>
      </c>
      <c r="G1262" s="17" t="inlineStr">
        <is>
          <t>Más főkategória terméke</t>
        </is>
      </c>
    </row>
    <row r="1263">
      <c r="A1263" s="17" t="inlineStr">
        <is>
          <t>GRO3584</t>
        </is>
      </c>
      <c r="B1263" s="17" t="inlineStr">
        <is>
          <t>Légtechnikai idomkapcsoló Ø100 mm</t>
        </is>
      </c>
      <c r="C1263" s="17" t="inlineStr">
        <is>
          <t>–</t>
        </is>
      </c>
      <c r="D1263" s="17" t="inlineStr"/>
      <c r="E1263" s="17" t="inlineStr">
        <is>
          <t>Nem tartozik ide</t>
        </is>
      </c>
      <c r="F1263" s="17" t="inlineStr">
        <is>
          <t>az elmúlt 6 hónapban</t>
        </is>
      </c>
      <c r="G1263" s="17" t="inlineStr">
        <is>
          <t>Más főkategória terméke</t>
        </is>
      </c>
    </row>
    <row r="1264">
      <c r="A1264" s="17" t="inlineStr">
        <is>
          <t>GRO3585</t>
        </is>
      </c>
      <c r="B1264" s="17" t="inlineStr">
        <is>
          <t>Légtechnikai idomkapcsoló Ø125 mm</t>
        </is>
      </c>
      <c r="C1264" s="17" t="inlineStr">
        <is>
          <t>–</t>
        </is>
      </c>
      <c r="D1264" s="17" t="inlineStr"/>
      <c r="E1264" s="17" t="inlineStr">
        <is>
          <t>Nem tartozik ide</t>
        </is>
      </c>
      <c r="F1264" s="17" t="inlineStr">
        <is>
          <t>2024-10 – 2025-09 (lehet, hogy már nem aktív)</t>
        </is>
      </c>
      <c r="G1264" s="17" t="inlineStr">
        <is>
          <t>Más főkategória terméke</t>
        </is>
      </c>
    </row>
    <row r="1265">
      <c r="A1265" s="17" t="inlineStr">
        <is>
          <t>GRO3586</t>
        </is>
      </c>
      <c r="B1265" s="17" t="inlineStr">
        <is>
          <t>Légtechnikai idomkapcsoló Ø150 mm</t>
        </is>
      </c>
      <c r="C1265" s="17" t="inlineStr">
        <is>
          <t>–</t>
        </is>
      </c>
      <c r="D1265" s="17" t="inlineStr"/>
      <c r="E1265" s="17" t="inlineStr">
        <is>
          <t>Nem tartozik ide</t>
        </is>
      </c>
      <c r="F1265" s="17" t="inlineStr">
        <is>
          <t>az elmúlt 30 napban</t>
        </is>
      </c>
      <c r="G1265" s="17" t="inlineStr">
        <is>
          <t>Más főkategória terméke</t>
        </is>
      </c>
    </row>
    <row r="1266">
      <c r="A1266" s="17" t="inlineStr">
        <is>
          <t>GRO3587</t>
        </is>
      </c>
      <c r="B1266" s="17" t="inlineStr">
        <is>
          <t>Légtechnikai idomkapcsoló Ø160 mm</t>
        </is>
      </c>
      <c r="C1266" s="17" t="inlineStr">
        <is>
          <t>–</t>
        </is>
      </c>
      <c r="D1266" s="17" t="inlineStr"/>
      <c r="E1266" s="17" t="inlineStr">
        <is>
          <t>Nem tartozik ide</t>
        </is>
      </c>
      <c r="F1266" s="17" t="inlineStr">
        <is>
          <t>2025-10 – 2026-04</t>
        </is>
      </c>
      <c r="G1266" s="17" t="inlineStr">
        <is>
          <t>Más főkategória terméke</t>
        </is>
      </c>
    </row>
    <row r="1267">
      <c r="A1267" s="17" t="inlineStr">
        <is>
          <t>GRO3588</t>
        </is>
      </c>
      <c r="B1267" s="17" t="inlineStr">
        <is>
          <t>Légtechnikai idomkapcsoló Ø200 mm</t>
        </is>
      </c>
      <c r="C1267" s="17" t="inlineStr">
        <is>
          <t>–</t>
        </is>
      </c>
      <c r="D1267" s="17" t="inlineStr"/>
      <c r="E1267" s="17" t="inlineStr">
        <is>
          <t>Nem tartozik ide</t>
        </is>
      </c>
      <c r="F1267" s="17" t="inlineStr">
        <is>
          <t>az elmúlt 30 napban</t>
        </is>
      </c>
      <c r="G1267" s="17" t="inlineStr">
        <is>
          <t>Más főkategória terméke</t>
        </is>
      </c>
    </row>
    <row r="1268">
      <c r="A1268" s="17" t="inlineStr">
        <is>
          <t>GRO3589</t>
        </is>
      </c>
      <c r="B1268" s="17" t="inlineStr">
        <is>
          <t>Légtechnikai idomkapcsoló Ø250 mm</t>
        </is>
      </c>
      <c r="C1268" s="17" t="inlineStr">
        <is>
          <t>–</t>
        </is>
      </c>
      <c r="D1268" s="17" t="inlineStr"/>
      <c r="E1268" s="17" t="inlineStr">
        <is>
          <t>Nem tartozik ide</t>
        </is>
      </c>
      <c r="F1268" s="17" t="inlineStr">
        <is>
          <t>2025-10 – 2026-04</t>
        </is>
      </c>
      <c r="G1268" s="17" t="inlineStr">
        <is>
          <t>Más főkategória terméke</t>
        </is>
      </c>
    </row>
    <row r="1269">
      <c r="A1269" s="17" t="inlineStr">
        <is>
          <t>GRO3590</t>
        </is>
      </c>
      <c r="B1269" s="17" t="inlineStr">
        <is>
          <t>Légtechnikai idomkapcsoló Ø315 mm</t>
        </is>
      </c>
      <c r="C1269" s="17" t="inlineStr">
        <is>
          <t>–</t>
        </is>
      </c>
      <c r="D1269" s="17" t="inlineStr"/>
      <c r="E1269" s="17" t="inlineStr">
        <is>
          <t>Nem tartozik ide</t>
        </is>
      </c>
      <c r="F1269" s="17" t="inlineStr">
        <is>
          <t>az elmúlt 30 napban</t>
        </is>
      </c>
      <c r="G1269" s="17" t="inlineStr">
        <is>
          <t>Más főkategória terméke</t>
        </is>
      </c>
    </row>
    <row r="1270">
      <c r="A1270" s="17" t="inlineStr">
        <is>
          <t>GRO3591</t>
        </is>
      </c>
      <c r="B1270" s="17" t="inlineStr">
        <is>
          <t>Légtechnikai idomkapcsoló Ø350 mm</t>
        </is>
      </c>
      <c r="C1270" s="17" t="inlineStr">
        <is>
          <t>–</t>
        </is>
      </c>
      <c r="D1270" s="17" t="inlineStr"/>
      <c r="E1270" s="17" t="inlineStr">
        <is>
          <t>Nem tartozik ide</t>
        </is>
      </c>
      <c r="F1270" s="17" t="inlineStr">
        <is>
          <t>az elmúlt 6 hónapban</t>
        </is>
      </c>
      <c r="G1270" s="17" t="inlineStr">
        <is>
          <t>Más főkategória terméke</t>
        </is>
      </c>
    </row>
    <row r="1271">
      <c r="A1271" s="17" t="inlineStr">
        <is>
          <t>GRO3592</t>
        </is>
      </c>
      <c r="B1271" s="17" t="inlineStr">
        <is>
          <t>Secret Jardin Cosmorrow LED Blooming 40W 90cm</t>
        </is>
      </c>
      <c r="C1271" s="17" t="inlineStr">
        <is>
          <t>–</t>
        </is>
      </c>
      <c r="D1271" s="17" t="inlineStr"/>
      <c r="E1271" s="17" t="inlineStr">
        <is>
          <t>Nem tartozik ide</t>
        </is>
      </c>
      <c r="F1271" s="17" t="inlineStr">
        <is>
          <t>az elmúlt 30 napban</t>
        </is>
      </c>
      <c r="G1271" s="17" t="inlineStr">
        <is>
          <t>Más főkategória terméke</t>
        </is>
      </c>
    </row>
    <row r="1272">
      <c r="A1272" s="17" t="inlineStr">
        <is>
          <t>GRO3593</t>
        </is>
      </c>
      <c r="B1272" s="17" t="inlineStr">
        <is>
          <t>Secret Jardin Cosmorrow LED Growing 40W 90cm</t>
        </is>
      </c>
      <c r="C1272" s="17" t="inlineStr">
        <is>
          <t>–</t>
        </is>
      </c>
      <c r="D1272" s="17" t="inlineStr"/>
      <c r="E1272" s="17" t="inlineStr">
        <is>
          <t>Nem tartozik ide</t>
        </is>
      </c>
      <c r="F1272" s="17" t="inlineStr">
        <is>
          <t>az elmúlt 30 napban</t>
        </is>
      </c>
      <c r="G1272" s="17" t="inlineStr">
        <is>
          <t>Más főkategória terméke</t>
        </is>
      </c>
    </row>
    <row r="1273">
      <c r="A1273" s="17" t="inlineStr">
        <is>
          <t>GRO3594</t>
        </is>
      </c>
      <c r="B1273" s="17" t="inlineStr">
        <is>
          <t>Secret Jardin Cosmorrow LED Infrared 40W 90cm</t>
        </is>
      </c>
      <c r="C1273" s="17" t="inlineStr">
        <is>
          <t>–</t>
        </is>
      </c>
      <c r="D1273" s="17" t="inlineStr"/>
      <c r="E1273" s="17" t="inlineStr">
        <is>
          <t>Nem tartozik ide</t>
        </is>
      </c>
      <c r="F1273" s="17" t="inlineStr">
        <is>
          <t>az elmúlt 30 napban</t>
        </is>
      </c>
      <c r="G1273" s="17" t="inlineStr">
        <is>
          <t>Más főkategória terméke</t>
        </is>
      </c>
    </row>
    <row r="1274">
      <c r="A1274" s="17" t="inlineStr">
        <is>
          <t>GRO3595</t>
        </is>
      </c>
      <c r="B1274" s="17" t="inlineStr">
        <is>
          <t>Secret Jardin Cosmorrow LED Ultraviolet 40W 90cm</t>
        </is>
      </c>
      <c r="C1274" s="17" t="inlineStr">
        <is>
          <t>–</t>
        </is>
      </c>
      <c r="D1274" s="17" t="inlineStr"/>
      <c r="E1274" s="17" t="inlineStr">
        <is>
          <t>Nem tartozik ide</t>
        </is>
      </c>
      <c r="F1274" s="17" t="inlineStr">
        <is>
          <t>az elmúlt 30 napban</t>
        </is>
      </c>
      <c r="G1274" s="17" t="inlineStr">
        <is>
          <t>Más főkategória terméke</t>
        </is>
      </c>
    </row>
    <row r="1275">
      <c r="A1275" s="17" t="inlineStr">
        <is>
          <t>GRO3596</t>
        </is>
      </c>
      <c r="B1275" s="17" t="inlineStr">
        <is>
          <t>Secret Jardin Cosmorrow Power tápegység 1x40W</t>
        </is>
      </c>
      <c r="C1275" s="17" t="inlineStr">
        <is>
          <t>–</t>
        </is>
      </c>
      <c r="D1275" s="17" t="inlineStr"/>
      <c r="E1275" s="17" t="inlineStr">
        <is>
          <t>Nem tartozik ide</t>
        </is>
      </c>
      <c r="F1275" s="17" t="inlineStr">
        <is>
          <t>az elmúlt 30 napban</t>
        </is>
      </c>
      <c r="G1275" s="17" t="inlineStr">
        <is>
          <t>Más főkategória terméke</t>
        </is>
      </c>
    </row>
    <row r="1276">
      <c r="A1276" s="17" t="inlineStr">
        <is>
          <t>GRO3597</t>
        </is>
      </c>
      <c r="B1276" s="17" t="inlineStr">
        <is>
          <t>Secret Jardin Cosmorrow Power tápegység 2x40W</t>
        </is>
      </c>
      <c r="C1276" s="17" t="inlineStr">
        <is>
          <t>–</t>
        </is>
      </c>
      <c r="D1276" s="17" t="inlineStr"/>
      <c r="E1276" s="17" t="inlineStr">
        <is>
          <t>Nem tartozik ide</t>
        </is>
      </c>
      <c r="F1276" s="17" t="inlineStr">
        <is>
          <t>az elmúlt 6 hónapban</t>
        </is>
      </c>
      <c r="G1276" s="17" t="inlineStr">
        <is>
          <t>Más főkategória terméke</t>
        </is>
      </c>
    </row>
    <row r="1277">
      <c r="A1277" s="17" t="inlineStr">
        <is>
          <t>GRO3598</t>
        </is>
      </c>
      <c r="B1277" s="17" t="inlineStr">
        <is>
          <t>Lumatek ATS PRO Grow LED 200W</t>
        </is>
      </c>
      <c r="C1277" s="17" t="inlineStr">
        <is>
          <t>–</t>
        </is>
      </c>
      <c r="D1277" s="17" t="inlineStr"/>
      <c r="E1277" s="17" t="inlineStr">
        <is>
          <t>Nem tartozik ide</t>
        </is>
      </c>
      <c r="F1277" s="17" t="inlineStr">
        <is>
          <t>az elmúlt 6 hónapban</t>
        </is>
      </c>
      <c r="G1277" s="17" t="inlineStr">
        <is>
          <t>Más főkategória terméke</t>
        </is>
      </c>
    </row>
    <row r="1278">
      <c r="A1278" s="17" t="inlineStr">
        <is>
          <t>GRO3599</t>
        </is>
      </c>
      <c r="B1278" s="17" t="inlineStr">
        <is>
          <t>Lumatek ATS PRO Grow LED 300W</t>
        </is>
      </c>
      <c r="C1278" s="17" t="inlineStr">
        <is>
          <t>–</t>
        </is>
      </c>
      <c r="D1278" s="17" t="inlineStr"/>
      <c r="E1278" s="17" t="inlineStr">
        <is>
          <t>Nem tartozik ide</t>
        </is>
      </c>
      <c r="F1278" s="17" t="inlineStr">
        <is>
          <t>az elmúlt 6 hónapban</t>
        </is>
      </c>
      <c r="G1278" s="17" t="inlineStr">
        <is>
          <t>Más főkategória terméke</t>
        </is>
      </c>
    </row>
    <row r="1279">
      <c r="A1279" s="17" t="inlineStr">
        <is>
          <t>GRO3600</t>
        </is>
      </c>
      <c r="B1279" s="17" t="inlineStr">
        <is>
          <t>Lumatek ZEUS LED lámpa 600W 2.9</t>
        </is>
      </c>
      <c r="C1279" s="17" t="inlineStr">
        <is>
          <t>–</t>
        </is>
      </c>
      <c r="D1279" s="17" t="inlineStr"/>
      <c r="E1279" s="17" t="inlineStr">
        <is>
          <t>Nem tartozik ide</t>
        </is>
      </c>
      <c r="F1279" s="17" t="inlineStr">
        <is>
          <t>2024-10 – 2025-09 (lehet, hogy már nem aktív)</t>
        </is>
      </c>
      <c r="G1279" s="17" t="inlineStr">
        <is>
          <t>Más főkategória terméke</t>
        </is>
      </c>
    </row>
    <row r="1280">
      <c r="A1280" s="17" t="inlineStr">
        <is>
          <t>GRO3611</t>
        </is>
      </c>
      <c r="B1280" s="17" t="inlineStr">
        <is>
          <t>Secret Jardin DF16 elszívó ventilátor 150/250/350 m3/h</t>
        </is>
      </c>
      <c r="C1280" s="17" t="inlineStr">
        <is>
          <t>–</t>
        </is>
      </c>
      <c r="D1280" s="17" t="inlineStr"/>
      <c r="E1280" s="17" t="inlineStr">
        <is>
          <t>Nem tartozik ide</t>
        </is>
      </c>
      <c r="F1280" s="17" t="inlineStr">
        <is>
          <t>az elmúlt 30 napban</t>
        </is>
      </c>
      <c r="G1280" s="17" t="inlineStr">
        <is>
          <t>Más főkategória terméke</t>
        </is>
      </c>
    </row>
    <row r="1281">
      <c r="A1281" s="17" t="inlineStr">
        <is>
          <t>GRO3612</t>
        </is>
      </c>
      <c r="B1281" s="17" t="inlineStr">
        <is>
          <t>Secret Jardin DF16 szénszűrő 150 m3/óra</t>
        </is>
      </c>
      <c r="C1281" s="17" t="inlineStr">
        <is>
          <t>–</t>
        </is>
      </c>
      <c r="D1281" s="17" t="inlineStr"/>
      <c r="E1281" s="17" t="inlineStr">
        <is>
          <t>Nem tartozik ide</t>
        </is>
      </c>
      <c r="F1281" s="17" t="inlineStr">
        <is>
          <t>az elmúlt 30 napban</t>
        </is>
      </c>
      <c r="G1281" s="17" t="inlineStr">
        <is>
          <t>Más főkategória terméke</t>
        </is>
      </c>
    </row>
    <row r="1282">
      <c r="A1282" s="17" t="inlineStr">
        <is>
          <t>GRO3613</t>
        </is>
      </c>
      <c r="B1282" s="17" t="inlineStr">
        <is>
          <t>Secret Jardin DF16 szénszűrő 250 m3/óra</t>
        </is>
      </c>
      <c r="C1282" s="17" t="inlineStr">
        <is>
          <t>–</t>
        </is>
      </c>
      <c r="D1282" s="17" t="inlineStr"/>
      <c r="E1282" s="17" t="inlineStr">
        <is>
          <t>Nem tartozik ide</t>
        </is>
      </c>
      <c r="F1282" s="17" t="inlineStr">
        <is>
          <t>az elmúlt 6 hónapban</t>
        </is>
      </c>
      <c r="G1282" s="17" t="inlineStr">
        <is>
          <t>Más főkategória terméke</t>
        </is>
      </c>
    </row>
    <row r="1283">
      <c r="A1283" s="17" t="inlineStr">
        <is>
          <t>GRO3614</t>
        </is>
      </c>
      <c r="B1283" s="17" t="inlineStr">
        <is>
          <t>Secret Jardin DF16 szénszűrő 350 m3/óra</t>
        </is>
      </c>
      <c r="C1283" s="17" t="inlineStr">
        <is>
          <t>–</t>
        </is>
      </c>
      <c r="D1283" s="17" t="inlineStr"/>
      <c r="E1283" s="17" t="inlineStr">
        <is>
          <t>Nem tartozik ide</t>
        </is>
      </c>
      <c r="F1283" s="17" t="inlineStr">
        <is>
          <t>az elmúlt 30 napban</t>
        </is>
      </c>
      <c r="G1283" s="17" t="inlineStr">
        <is>
          <t>Más főkategória terméke</t>
        </is>
      </c>
    </row>
    <row r="1284">
      <c r="A1284" s="17" t="inlineStr">
        <is>
          <t>GRO3618</t>
        </is>
      </c>
      <c r="B1284" s="17" t="inlineStr">
        <is>
          <t>Prima klima Industry Line szénszűrő Industry Line K1600 d:100mm 280m3/h</t>
        </is>
      </c>
      <c r="C1284" s="17" t="inlineStr">
        <is>
          <t>–</t>
        </is>
      </c>
      <c r="D1284" s="17" t="inlineStr"/>
      <c r="E1284" s="17" t="inlineStr">
        <is>
          <t>Nem tartozik ide</t>
        </is>
      </c>
      <c r="F1284" s="17" t="inlineStr">
        <is>
          <t>az elmúlt 30 napban</t>
        </is>
      </c>
      <c r="G1284" s="17" t="inlineStr">
        <is>
          <t>Más főkategória terméke</t>
        </is>
      </c>
    </row>
    <row r="1285">
      <c r="A1285" s="17" t="inlineStr">
        <is>
          <t>GRO3619</t>
        </is>
      </c>
      <c r="B1285" s="17" t="inlineStr">
        <is>
          <t>Prima klima Industry Line szénszűrő Industry Line K1602 d:125mm 280m3/h</t>
        </is>
      </c>
      <c r="C1285" s="17" t="inlineStr">
        <is>
          <t>–</t>
        </is>
      </c>
      <c r="D1285" s="17" t="inlineStr"/>
      <c r="E1285" s="17" t="inlineStr">
        <is>
          <t>Nem tartozik ide</t>
        </is>
      </c>
      <c r="F1285" s="17" t="inlineStr">
        <is>
          <t>az elmúlt 30 napban</t>
        </is>
      </c>
      <c r="G1285" s="17" t="inlineStr">
        <is>
          <t>Más főkategória terméke</t>
        </is>
      </c>
    </row>
    <row r="1286">
      <c r="A1286" s="17" t="inlineStr">
        <is>
          <t>GRO3620</t>
        </is>
      </c>
      <c r="B1286" s="17" t="inlineStr">
        <is>
          <t>Prima klima Industry Line szénszűrő Industry Line K1603 d:125mm 460m3/h</t>
        </is>
      </c>
      <c r="C1286" s="17" t="inlineStr">
        <is>
          <t>–</t>
        </is>
      </c>
      <c r="D1286" s="17" t="inlineStr"/>
      <c r="E1286" s="17" t="inlineStr">
        <is>
          <t>Nem tartozik ide</t>
        </is>
      </c>
      <c r="F1286" s="17" t="inlineStr">
        <is>
          <t>az elmúlt 30 napban</t>
        </is>
      </c>
      <c r="G1286" s="17" t="inlineStr">
        <is>
          <t>Más főkategória terméke</t>
        </is>
      </c>
    </row>
    <row r="1287">
      <c r="A1287" s="17" t="inlineStr">
        <is>
          <t>GRO3621</t>
        </is>
      </c>
      <c r="B1287" s="17" t="inlineStr">
        <is>
          <t>Prima klima Industry Line szénszűrő Industry Line K1604 d:125mm 700m3/h</t>
        </is>
      </c>
      <c r="C1287" s="17" t="inlineStr">
        <is>
          <t>–</t>
        </is>
      </c>
      <c r="D1287" s="17" t="inlineStr"/>
      <c r="E1287" s="17" t="inlineStr">
        <is>
          <t>Nem tartozik ide</t>
        </is>
      </c>
      <c r="F1287" s="17" t="inlineStr">
        <is>
          <t>az elmúlt 30 napban</t>
        </is>
      </c>
      <c r="G1287" s="17" t="inlineStr">
        <is>
          <t>Más főkategória terméke</t>
        </is>
      </c>
    </row>
    <row r="1288">
      <c r="A1288" s="17" t="inlineStr">
        <is>
          <t>GRO3622</t>
        </is>
      </c>
      <c r="B1288" s="17" t="inlineStr">
        <is>
          <t>Prima klima Industry Line szénszűrő Industry Line K1605 d:150mm 680m3/h</t>
        </is>
      </c>
      <c r="C1288" s="17" t="inlineStr">
        <is>
          <t>–</t>
        </is>
      </c>
      <c r="D1288" s="17" t="inlineStr"/>
      <c r="E1288" s="17" t="inlineStr">
        <is>
          <t>Nem tartozik ide</t>
        </is>
      </c>
      <c r="F1288" s="17" t="inlineStr">
        <is>
          <t>az elmúlt 30 napban</t>
        </is>
      </c>
      <c r="G1288" s="17" t="inlineStr">
        <is>
          <t>Más főkategória terméke</t>
        </is>
      </c>
    </row>
    <row r="1289">
      <c r="A1289" s="17" t="inlineStr">
        <is>
          <t>GRO3623</t>
        </is>
      </c>
      <c r="B1289" s="17" t="inlineStr">
        <is>
          <t>Prima klima Industry Line szénszűrő Industry Line K1606 d:150mm 1080m3/h</t>
        </is>
      </c>
      <c r="C1289" s="17" t="inlineStr">
        <is>
          <t>–</t>
        </is>
      </c>
      <c r="D1289" s="17" t="inlineStr"/>
      <c r="E1289" s="17" t="inlineStr">
        <is>
          <t>Nem tartozik ide</t>
        </is>
      </c>
      <c r="F1289" s="17" t="inlineStr">
        <is>
          <t>az elmúlt 30 napban</t>
        </is>
      </c>
      <c r="G1289" s="17" t="inlineStr">
        <is>
          <t>Más főkategória terméke</t>
        </is>
      </c>
    </row>
    <row r="1290">
      <c r="A1290" s="17" t="inlineStr">
        <is>
          <t>GRO3624</t>
        </is>
      </c>
      <c r="B1290" s="17" t="inlineStr">
        <is>
          <t>Prima klima Industry Line szénszűrő Industry Line K1607 d:160mm 720m3/h</t>
        </is>
      </c>
      <c r="C1290" s="17" t="inlineStr">
        <is>
          <t>–</t>
        </is>
      </c>
      <c r="D1290" s="17" t="inlineStr"/>
      <c r="E1290" s="17" t="inlineStr">
        <is>
          <t>Nem tartozik ide</t>
        </is>
      </c>
      <c r="F1290" s="17" t="inlineStr">
        <is>
          <t>az elmúlt 30 napban</t>
        </is>
      </c>
      <c r="G1290" s="17" t="inlineStr">
        <is>
          <t>Más főkategória terméke</t>
        </is>
      </c>
    </row>
    <row r="1291">
      <c r="A1291" s="17" t="inlineStr">
        <is>
          <t>GRO3625</t>
        </is>
      </c>
      <c r="B1291" s="17" t="inlineStr">
        <is>
          <t>Prima klima Industry Line szénszűrő Industry Line K1608 d:160mm 1150m3/h</t>
        </is>
      </c>
      <c r="C1291" s="17" t="inlineStr">
        <is>
          <t>–</t>
        </is>
      </c>
      <c r="D1291" s="17" t="inlineStr"/>
      <c r="E1291" s="17" t="inlineStr">
        <is>
          <t>Nem tartozik ide</t>
        </is>
      </c>
      <c r="F1291" s="17" t="inlineStr">
        <is>
          <t>2025-10 – 2026-04</t>
        </is>
      </c>
      <c r="G1291" s="17" t="inlineStr">
        <is>
          <t>Más főkategória terméke</t>
        </is>
      </c>
    </row>
    <row r="1292">
      <c r="A1292" s="17" t="inlineStr">
        <is>
          <t>GRO3626</t>
        </is>
      </c>
      <c r="B1292" s="17" t="inlineStr">
        <is>
          <t>Prima klima Industry Line szénszűrő Industry Line K1609 d:200mm 1090m3/h</t>
        </is>
      </c>
      <c r="C1292" s="17" t="inlineStr">
        <is>
          <t>–</t>
        </is>
      </c>
      <c r="D1292" s="17" t="inlineStr"/>
      <c r="E1292" s="17" t="inlineStr">
        <is>
          <t>Nem tartozik ide</t>
        </is>
      </c>
      <c r="F1292" s="17" t="inlineStr">
        <is>
          <t>az elmúlt 30 napban</t>
        </is>
      </c>
      <c r="G1292" s="17" t="inlineStr">
        <is>
          <t>Más főkategória terméke</t>
        </is>
      </c>
    </row>
    <row r="1293">
      <c r="A1293" s="17" t="inlineStr">
        <is>
          <t>GRO3627</t>
        </is>
      </c>
      <c r="B1293" s="17" t="inlineStr">
        <is>
          <t>Prima klima Industry Line szénszűrő Industry Line K1610 d:200mm 1650m3/h</t>
        </is>
      </c>
      <c r="C1293" s="17" t="inlineStr">
        <is>
          <t>–</t>
        </is>
      </c>
      <c r="D1293" s="17" t="inlineStr"/>
      <c r="E1293" s="17" t="inlineStr">
        <is>
          <t>Nem tartozik ide</t>
        </is>
      </c>
      <c r="F1293" s="17" t="inlineStr">
        <is>
          <t>az elmúlt 6 hónapban</t>
        </is>
      </c>
      <c r="G1293" s="17" t="inlineStr">
        <is>
          <t>Más főkategória terméke</t>
        </is>
      </c>
    </row>
    <row r="1294">
      <c r="A1294" s="17" t="inlineStr">
        <is>
          <t>GRO3628</t>
        </is>
      </c>
      <c r="B1294" s="17" t="inlineStr">
        <is>
          <t>Prima klima Industry Line szénszűrő Industry Line K1611 d:250mm 1800m3/h</t>
        </is>
      </c>
      <c r="C1294" s="17" t="inlineStr">
        <is>
          <t>–</t>
        </is>
      </c>
      <c r="D1294" s="17" t="inlineStr"/>
      <c r="E1294" s="17" t="inlineStr">
        <is>
          <t>Nem tartozik ide</t>
        </is>
      </c>
      <c r="F1294" s="17" t="inlineStr">
        <is>
          <t>az elmúlt 30 napban</t>
        </is>
      </c>
      <c r="G1294" s="17" t="inlineStr">
        <is>
          <t>Más főkategória terméke</t>
        </is>
      </c>
    </row>
    <row r="1295">
      <c r="A1295" s="17" t="inlineStr">
        <is>
          <t>GRO3630</t>
        </is>
      </c>
      <c r="B1295" s="17" t="inlineStr">
        <is>
          <t>Prima klima Ecoline szénszűrő K2600-100 d:100mm 360m3/h</t>
        </is>
      </c>
      <c r="C1295" s="17" t="inlineStr">
        <is>
          <t>–</t>
        </is>
      </c>
      <c r="D1295" s="17" t="inlineStr"/>
      <c r="E1295" s="17" t="inlineStr">
        <is>
          <t>Nem tartozik ide</t>
        </is>
      </c>
      <c r="F1295" s="17" t="inlineStr">
        <is>
          <t>az elmúlt 30 napban</t>
        </is>
      </c>
      <c r="G1295" s="17" t="inlineStr">
        <is>
          <t>Más főkategória terméke</t>
        </is>
      </c>
    </row>
    <row r="1296">
      <c r="A1296" s="17" t="inlineStr">
        <is>
          <t>GRO3631</t>
        </is>
      </c>
      <c r="B1296" s="17" t="inlineStr">
        <is>
          <t>Prima klima Ecoline szénszűrő K2600-125 d:125mm 360m3/h</t>
        </is>
      </c>
      <c r="C1296" s="17" t="inlineStr">
        <is>
          <t>–</t>
        </is>
      </c>
      <c r="D1296" s="17" t="inlineStr"/>
      <c r="E1296" s="17" t="inlineStr">
        <is>
          <t>Nem tartozik ide</t>
        </is>
      </c>
      <c r="F1296" s="17" t="inlineStr">
        <is>
          <t>az elmúlt 30 napban</t>
        </is>
      </c>
      <c r="G1296" s="17" t="inlineStr">
        <is>
          <t>Más főkategória terméke</t>
        </is>
      </c>
    </row>
    <row r="1297">
      <c r="A1297" s="17" t="inlineStr">
        <is>
          <t>GRO3632</t>
        </is>
      </c>
      <c r="B1297" s="17" t="inlineStr">
        <is>
          <t>Prima klima Ecoline szénszűrő K2601-100 d:100mm 480m3/h</t>
        </is>
      </c>
      <c r="C1297" s="17" t="inlineStr">
        <is>
          <t>–</t>
        </is>
      </c>
      <c r="D1297" s="17" t="inlineStr"/>
      <c r="E1297" s="17" t="inlineStr">
        <is>
          <t>Nem tartozik ide</t>
        </is>
      </c>
      <c r="F1297" s="17" t="inlineStr">
        <is>
          <t>az elmúlt 30 napban</t>
        </is>
      </c>
      <c r="G1297" s="17" t="inlineStr">
        <is>
          <t>Más főkategória terméke</t>
        </is>
      </c>
    </row>
    <row r="1298">
      <c r="A1298" s="17" t="inlineStr">
        <is>
          <t>GRO3633</t>
        </is>
      </c>
      <c r="B1298" s="17" t="inlineStr">
        <is>
          <t>Prima klima Ecoline szénszűrő K2601-125 d:125mm 480m3/h</t>
        </is>
      </c>
      <c r="C1298" s="17" t="inlineStr">
        <is>
          <t>–</t>
        </is>
      </c>
      <c r="D1298" s="17" t="inlineStr"/>
      <c r="E1298" s="17" t="inlineStr">
        <is>
          <t>Nem tartozik ide</t>
        </is>
      </c>
      <c r="F1298" s="17" t="inlineStr">
        <is>
          <t>az elmúlt 30 napban</t>
        </is>
      </c>
      <c r="G1298" s="17" t="inlineStr">
        <is>
          <t>Más főkategória terméke</t>
        </is>
      </c>
    </row>
    <row r="1299">
      <c r="A1299" s="17" t="inlineStr">
        <is>
          <t>GRO3634</t>
        </is>
      </c>
      <c r="B1299" s="17" t="inlineStr">
        <is>
          <t>Prima klima Ecoline szénszűrő K2603-150 d:150mm 900m3/h</t>
        </is>
      </c>
      <c r="C1299" s="17" t="inlineStr">
        <is>
          <t>–</t>
        </is>
      </c>
      <c r="D1299" s="17" t="inlineStr"/>
      <c r="E1299" s="17" t="inlineStr">
        <is>
          <t>Nem tartozik ide</t>
        </is>
      </c>
      <c r="F1299" s="17" t="inlineStr">
        <is>
          <t>az elmúlt 6 hónapban</t>
        </is>
      </c>
      <c r="G1299" s="17" t="inlineStr">
        <is>
          <t>Más főkategória terméke</t>
        </is>
      </c>
    </row>
    <row r="1300">
      <c r="A1300" s="17" t="inlineStr">
        <is>
          <t>GRO3635</t>
        </is>
      </c>
      <c r="B1300" s="17" t="inlineStr">
        <is>
          <t>Prima klima Ecoline szénszűrő K2603-160 d:160mm 900m3/h</t>
        </is>
      </c>
      <c r="C1300" s="17" t="inlineStr">
        <is>
          <t>–</t>
        </is>
      </c>
      <c r="D1300" s="17" t="inlineStr"/>
      <c r="E1300" s="17" t="inlineStr">
        <is>
          <t>Nem tartozik ide</t>
        </is>
      </c>
      <c r="F1300" s="17" t="inlineStr">
        <is>
          <t>az elmúlt 30 napban</t>
        </is>
      </c>
      <c r="G1300" s="17" t="inlineStr">
        <is>
          <t>Más főkategória terméke</t>
        </is>
      </c>
    </row>
    <row r="1301">
      <c r="A1301" s="17" t="inlineStr">
        <is>
          <t>GRO3636</t>
        </is>
      </c>
      <c r="B1301" s="17" t="inlineStr">
        <is>
          <t>Prima klima ventilátor (1 sebességes) PK100-L</t>
        </is>
      </c>
      <c r="C1301" s="17" t="inlineStr">
        <is>
          <t>–</t>
        </is>
      </c>
      <c r="D1301" s="17" t="inlineStr"/>
      <c r="E1301" s="17" t="inlineStr">
        <is>
          <t>Nem tartozik ide</t>
        </is>
      </c>
      <c r="F1301" s="17" t="inlineStr">
        <is>
          <t>az elmúlt 6 hónapban</t>
        </is>
      </c>
      <c r="G1301" s="17" t="inlineStr">
        <is>
          <t>Más főkategória terméke</t>
        </is>
      </c>
    </row>
    <row r="1302">
      <c r="A1302" s="17" t="inlineStr">
        <is>
          <t>GRO3637</t>
        </is>
      </c>
      <c r="B1302" s="17" t="inlineStr">
        <is>
          <t>Prima klima ventilátor (hőmérsékletszabályzós) PK100-TC</t>
        </is>
      </c>
      <c r="C1302" s="17" t="inlineStr">
        <is>
          <t>–</t>
        </is>
      </c>
      <c r="D1302" s="17" t="inlineStr"/>
      <c r="E1302" s="17" t="inlineStr">
        <is>
          <t>Nem tartozik ide</t>
        </is>
      </c>
      <c r="F1302" s="17" t="inlineStr">
        <is>
          <t>az elmúlt 30 napban</t>
        </is>
      </c>
      <c r="G1302" s="17" t="inlineStr">
        <is>
          <t>Más főkategória terméke</t>
        </is>
      </c>
    </row>
    <row r="1303">
      <c r="A1303" s="17" t="inlineStr">
        <is>
          <t>GRO3638</t>
        </is>
      </c>
      <c r="B1303" s="17" t="inlineStr">
        <is>
          <t>Prima klima ventilátor (2 sebességes) PK125-2</t>
        </is>
      </c>
      <c r="C1303" s="17" t="inlineStr">
        <is>
          <t>–</t>
        </is>
      </c>
      <c r="D1303" s="17" t="inlineStr"/>
      <c r="E1303" s="17" t="inlineStr">
        <is>
          <t>Nem tartozik ide</t>
        </is>
      </c>
      <c r="F1303" s="17" t="inlineStr">
        <is>
          <t>az elmúlt 30 napban</t>
        </is>
      </c>
      <c r="G1303" s="17" t="inlineStr">
        <is>
          <t>Más főkategória terméke</t>
        </is>
      </c>
    </row>
    <row r="1304">
      <c r="A1304" s="17" t="inlineStr">
        <is>
          <t>GRO3639</t>
        </is>
      </c>
      <c r="B1304" s="17" t="inlineStr">
        <is>
          <t>Prima klima ventilátor (1 sebességes) PK125-L</t>
        </is>
      </c>
      <c r="C1304" s="17" t="inlineStr">
        <is>
          <t>–</t>
        </is>
      </c>
      <c r="D1304" s="17" t="inlineStr"/>
      <c r="E1304" s="17" t="inlineStr">
        <is>
          <t>Nem tartozik ide</t>
        </is>
      </c>
      <c r="F1304" s="17" t="inlineStr">
        <is>
          <t>az elmúlt 6 hónapban</t>
        </is>
      </c>
      <c r="G1304" s="17" t="inlineStr">
        <is>
          <t>Más főkategória terméke</t>
        </is>
      </c>
    </row>
    <row r="1305">
      <c r="A1305" s="17" t="inlineStr">
        <is>
          <t>GRO3640</t>
        </is>
      </c>
      <c r="B1305" s="17" t="inlineStr">
        <is>
          <t>Prima klima ventilátor (hőmérsékletszabályzós) PK125-TC</t>
        </is>
      </c>
      <c r="C1305" s="17" t="inlineStr">
        <is>
          <t>–</t>
        </is>
      </c>
      <c r="D1305" s="17" t="inlineStr"/>
      <c r="E1305" s="17" t="inlineStr">
        <is>
          <t>Nem tartozik ide</t>
        </is>
      </c>
      <c r="F1305" s="17" t="inlineStr">
        <is>
          <t>az elmúlt 30 napban</t>
        </is>
      </c>
      <c r="G1305" s="17" t="inlineStr">
        <is>
          <t>Más főkategória terméke</t>
        </is>
      </c>
    </row>
    <row r="1306">
      <c r="A1306" s="17" t="inlineStr">
        <is>
          <t>GRO3641</t>
        </is>
      </c>
      <c r="B1306" s="17" t="inlineStr">
        <is>
          <t>Prima klima ventilátor (2 sebességes) PK150-2</t>
        </is>
      </c>
      <c r="C1306" s="17" t="inlineStr">
        <is>
          <t>–</t>
        </is>
      </c>
      <c r="D1306" s="17" t="inlineStr"/>
      <c r="E1306" s="17" t="inlineStr">
        <is>
          <t>Nem tartozik ide</t>
        </is>
      </c>
      <c r="F1306" s="17" t="inlineStr">
        <is>
          <t>az elmúlt 30 napban</t>
        </is>
      </c>
      <c r="G1306" s="17" t="inlineStr">
        <is>
          <t>Más főkategória terméke</t>
        </is>
      </c>
    </row>
    <row r="1307">
      <c r="A1307" s="17" t="inlineStr">
        <is>
          <t>GRO3642</t>
        </is>
      </c>
      <c r="B1307" s="17" t="inlineStr">
        <is>
          <t>Prima klima ventilátor (hőmérsékletszabályzós) PK150-TC</t>
        </is>
      </c>
      <c r="C1307" s="17" t="inlineStr">
        <is>
          <t>–</t>
        </is>
      </c>
      <c r="D1307" s="17" t="inlineStr"/>
      <c r="E1307" s="17" t="inlineStr">
        <is>
          <t>Nem tartozik ide</t>
        </is>
      </c>
      <c r="F1307" s="17" t="inlineStr">
        <is>
          <t>az elmúlt 30 napban</t>
        </is>
      </c>
      <c r="G1307" s="17" t="inlineStr">
        <is>
          <t>Más főkategória terméke</t>
        </is>
      </c>
    </row>
    <row r="1308">
      <c r="A1308" s="17" t="inlineStr">
        <is>
          <t>GRO3643</t>
        </is>
      </c>
      <c r="B1308" s="17" t="inlineStr">
        <is>
          <t>Prima klima ventilátor (2 sebességes) PK160-2</t>
        </is>
      </c>
      <c r="C1308" s="17" t="inlineStr">
        <is>
          <t>–</t>
        </is>
      </c>
      <c r="D1308" s="17" t="inlineStr"/>
      <c r="E1308" s="17" t="inlineStr">
        <is>
          <t>Nem tartozik ide</t>
        </is>
      </c>
      <c r="F1308" s="17" t="inlineStr">
        <is>
          <t>az elmúlt 30 napban</t>
        </is>
      </c>
      <c r="G1308" s="17" t="inlineStr">
        <is>
          <t>Más főkategória terméke</t>
        </is>
      </c>
    </row>
    <row r="1309">
      <c r="A1309" s="17" t="inlineStr">
        <is>
          <t>GRO3644</t>
        </is>
      </c>
      <c r="B1309" s="17" t="inlineStr">
        <is>
          <t>Prima klima ventilátor (1 sebességes) PK160-L</t>
        </is>
      </c>
      <c r="C1309" s="17" t="inlineStr">
        <is>
          <t>–</t>
        </is>
      </c>
      <c r="D1309" s="17" t="inlineStr"/>
      <c r="E1309" s="17" t="inlineStr">
        <is>
          <t>Nem tartozik ide</t>
        </is>
      </c>
      <c r="F1309" s="17" t="inlineStr">
        <is>
          <t>az elmúlt 6 hónapban</t>
        </is>
      </c>
      <c r="G1309" s="17" t="inlineStr">
        <is>
          <t>Más főkategória terméke</t>
        </is>
      </c>
    </row>
    <row r="1310">
      <c r="A1310" s="17" t="inlineStr">
        <is>
          <t>GRO3645</t>
        </is>
      </c>
      <c r="B1310" s="17" t="inlineStr">
        <is>
          <t>Prima klima ventilátor (hőmérsékletszabályzós) PK160-TC</t>
        </is>
      </c>
      <c r="C1310" s="17" t="inlineStr">
        <is>
          <t>–</t>
        </is>
      </c>
      <c r="D1310" s="17" t="inlineStr"/>
      <c r="E1310" s="17" t="inlineStr">
        <is>
          <t>Nem tartozik ide</t>
        </is>
      </c>
      <c r="F1310" s="17" t="inlineStr">
        <is>
          <t>az elmúlt 30 napban</t>
        </is>
      </c>
      <c r="G1310" s="17" t="inlineStr">
        <is>
          <t>Más főkategória terméke</t>
        </is>
      </c>
    </row>
    <row r="1311">
      <c r="A1311" s="17" t="inlineStr">
        <is>
          <t>GRO3646</t>
        </is>
      </c>
      <c r="B1311" s="17" t="inlineStr">
        <is>
          <t>Prima klima ventilátor (1 sebességes) PK200-L</t>
        </is>
      </c>
      <c r="C1311" s="17" t="inlineStr">
        <is>
          <t>–</t>
        </is>
      </c>
      <c r="D1311" s="17" t="inlineStr"/>
      <c r="E1311" s="17" t="inlineStr">
        <is>
          <t>Nem tartozik ide</t>
        </is>
      </c>
      <c r="F1311" s="17" t="inlineStr">
        <is>
          <t>az elmúlt 6 hónapban</t>
        </is>
      </c>
      <c r="G1311" s="17" t="inlineStr">
        <is>
          <t>Más főkategória terméke</t>
        </is>
      </c>
    </row>
    <row r="1312">
      <c r="A1312" s="17" t="inlineStr">
        <is>
          <t>GRO3647</t>
        </is>
      </c>
      <c r="B1312" s="17" t="inlineStr">
        <is>
          <t>Prima klima Azerwing reflektor LA55-A</t>
        </is>
      </c>
      <c r="C1312" s="17" t="inlineStr">
        <is>
          <t>–</t>
        </is>
      </c>
      <c r="D1312" s="17" t="inlineStr"/>
      <c r="E1312" s="17" t="inlineStr">
        <is>
          <t>Nem tartozik ide</t>
        </is>
      </c>
      <c r="F1312" s="17" t="inlineStr">
        <is>
          <t>az elmúlt 30 napban</t>
        </is>
      </c>
      <c r="G1312" s="17" t="inlineStr">
        <is>
          <t>Más főkategória terméke</t>
        </is>
      </c>
    </row>
    <row r="1313">
      <c r="A1313" s="17" t="inlineStr">
        <is>
          <t>GRO3648</t>
        </is>
      </c>
      <c r="B1313" s="17" t="inlineStr">
        <is>
          <t>Prima klima Azerwing reflektor LA55-V</t>
        </is>
      </c>
      <c r="C1313" s="17" t="inlineStr">
        <is>
          <t>–</t>
        </is>
      </c>
      <c r="D1313" s="17" t="inlineStr"/>
      <c r="E1313" s="17" t="inlineStr">
        <is>
          <t>Nem tartozik ide</t>
        </is>
      </c>
      <c r="F1313" s="17" t="inlineStr">
        <is>
          <t>az elmúlt 30 napban</t>
        </is>
      </c>
      <c r="G1313" s="17" t="inlineStr">
        <is>
          <t>Más főkategória terméke</t>
        </is>
      </c>
    </row>
    <row r="1314">
      <c r="A1314" s="17" t="inlineStr">
        <is>
          <t>GRO3649</t>
        </is>
      </c>
      <c r="B1314" s="17" t="inlineStr">
        <is>
          <t>Prima klima Azerwing reflektor LA75-V</t>
        </is>
      </c>
      <c r="C1314" s="17" t="inlineStr">
        <is>
          <t>–</t>
        </is>
      </c>
      <c r="D1314" s="17" t="inlineStr"/>
      <c r="E1314" s="17" t="inlineStr">
        <is>
          <t>Nem tartozik ide</t>
        </is>
      </c>
      <c r="F1314" s="17" t="inlineStr">
        <is>
          <t>2024-10 – 2025-09 (lehet, hogy már nem aktív)</t>
        </is>
      </c>
      <c r="G1314" s="17" t="inlineStr">
        <is>
          <t>Más főkategória terméke</t>
        </is>
      </c>
    </row>
    <row r="1315">
      <c r="A1315" s="17" t="inlineStr">
        <is>
          <t>GRO3650</t>
        </is>
      </c>
      <c r="B1315" s="17" t="inlineStr">
        <is>
          <t>SANlight tápkábel (EVO &amp; Q Gen2 LEDekhez)</t>
        </is>
      </c>
      <c r="C1315" s="17" t="inlineStr">
        <is>
          <t>–</t>
        </is>
      </c>
      <c r="D1315" s="17" t="inlineStr"/>
      <c r="E1315" s="17" t="inlineStr">
        <is>
          <t>Nem tartozik ide</t>
        </is>
      </c>
      <c r="F1315" s="17" t="inlineStr">
        <is>
          <t>az elmúlt 30 napban</t>
        </is>
      </c>
      <c r="G1315" s="17" t="inlineStr">
        <is>
          <t>Más főkategória terméke</t>
        </is>
      </c>
    </row>
    <row r="1316">
      <c r="A1316" s="17" t="inlineStr">
        <is>
          <t>GRO3651</t>
        </is>
      </c>
      <c r="B1316" s="17" t="inlineStr">
        <is>
          <t>SANlight EVO dimmerkapcsoló (mágneses / bluetooth) mágneses</t>
        </is>
      </c>
      <c r="C1316" s="17" t="inlineStr">
        <is>
          <t>–</t>
        </is>
      </c>
      <c r="D1316" s="17" t="inlineStr"/>
      <c r="E1316" s="17" t="inlineStr">
        <is>
          <t>Nem tartozik ide</t>
        </is>
      </c>
      <c r="F1316" s="17" t="inlineStr">
        <is>
          <t>az elmúlt 6 hónapban</t>
        </is>
      </c>
      <c r="G1316" s="17" t="inlineStr">
        <is>
          <t>Más főkategória terméke</t>
        </is>
      </c>
    </row>
    <row r="1317">
      <c r="A1317" s="17" t="inlineStr">
        <is>
          <t>GRO3652</t>
        </is>
      </c>
      <c r="B1317" s="17" t="inlineStr">
        <is>
          <t>SANlight EVO dimmerkapcsoló (mágneses / bluetooth) bluetooth</t>
        </is>
      </c>
      <c r="C1317" s="17" t="inlineStr">
        <is>
          <t>–</t>
        </is>
      </c>
      <c r="D1317" s="17" t="inlineStr"/>
      <c r="E1317" s="17" t="inlineStr">
        <is>
          <t>Nem tartozik ide</t>
        </is>
      </c>
      <c r="F1317" s="17" t="inlineStr">
        <is>
          <t>az elmúlt 30 napban</t>
        </is>
      </c>
      <c r="G1317" s="17" t="inlineStr">
        <is>
          <t>Más főkategória terméke</t>
        </is>
      </c>
    </row>
    <row r="1318">
      <c r="A1318" s="17" t="inlineStr">
        <is>
          <t>GRO3657</t>
        </is>
      </c>
      <c r="B1318" s="17" t="inlineStr">
        <is>
          <t>Urban Garden ECO digitális trafó (dimmelhető)</t>
        </is>
      </c>
      <c r="C1318" s="17" t="inlineStr">
        <is>
          <t>–</t>
        </is>
      </c>
      <c r="D1318" s="17" t="inlineStr"/>
      <c r="E1318" s="17" t="inlineStr">
        <is>
          <t>Nem tartozik ide</t>
        </is>
      </c>
      <c r="F1318" s="17" t="inlineStr">
        <is>
          <t>2024-10 – 2025-09 (lehet, hogy már nem aktív)</t>
        </is>
      </c>
      <c r="G1318" s="17" t="inlineStr">
        <is>
          <t>Más főkategória terméke</t>
        </is>
      </c>
    </row>
    <row r="1319">
      <c r="A1319" s="17" t="inlineStr">
        <is>
          <t>GRO3659</t>
        </is>
      </c>
      <c r="B1319" s="17" t="inlineStr">
        <is>
          <t>Lumatek kábel 5 m LED 2.0</t>
        </is>
      </c>
      <c r="C1319" s="17" t="inlineStr">
        <is>
          <t>–</t>
        </is>
      </c>
      <c r="D1319" s="17" t="inlineStr"/>
      <c r="E1319" s="17" t="inlineStr">
        <is>
          <t>Nem tartozik ide</t>
        </is>
      </c>
      <c r="F1319" s="17" t="inlineStr">
        <is>
          <t>az elmúlt 6 hónapban</t>
        </is>
      </c>
      <c r="G1319" s="17" t="inlineStr">
        <is>
          <t>Más főkategória terméke</t>
        </is>
      </c>
    </row>
    <row r="1320">
      <c r="A1320" s="17" t="inlineStr">
        <is>
          <t>GRO3673</t>
        </is>
      </c>
      <c r="B1320" s="17" t="inlineStr">
        <is>
          <t>Lumatek ZEUS PRO LED 465W 2.9</t>
        </is>
      </c>
      <c r="C1320" s="17" t="inlineStr">
        <is>
          <t>–</t>
        </is>
      </c>
      <c r="D1320" s="17" t="inlineStr"/>
      <c r="E1320" s="17" t="inlineStr">
        <is>
          <t>Nem tartozik ide</t>
        </is>
      </c>
      <c r="F1320" s="17" t="inlineStr">
        <is>
          <t>az elmúlt 30 napban</t>
        </is>
      </c>
      <c r="G1320" s="17" t="inlineStr">
        <is>
          <t>Más főkategória terméke</t>
        </is>
      </c>
    </row>
    <row r="1321">
      <c r="A1321" s="17" t="inlineStr">
        <is>
          <t>GRO3678</t>
        </is>
      </c>
      <c r="B1321" s="17" t="inlineStr">
        <is>
          <t>Bluelab pH kalibráló folyadék 250 ml 4.0</t>
        </is>
      </c>
      <c r="C1321" s="17" t="inlineStr">
        <is>
          <t>–</t>
        </is>
      </c>
      <c r="D1321" s="17" t="inlineStr"/>
      <c r="E1321" s="17" t="inlineStr">
        <is>
          <t>Nem tartozik ide</t>
        </is>
      </c>
      <c r="F1321" s="17" t="inlineStr">
        <is>
          <t>az elmúlt 30 napban</t>
        </is>
      </c>
      <c r="G1321" s="17" t="inlineStr">
        <is>
          <t>Más főkategória terméke</t>
        </is>
      </c>
    </row>
    <row r="1322">
      <c r="A1322" s="17" t="inlineStr">
        <is>
          <t>GRO3679</t>
        </is>
      </c>
      <c r="B1322" s="17" t="inlineStr">
        <is>
          <t>Bluelab pH kalibráló folyadék 250 ml 7.0</t>
        </is>
      </c>
      <c r="C1322" s="17" t="inlineStr">
        <is>
          <t>–</t>
        </is>
      </c>
      <c r="D1322" s="17" t="inlineStr"/>
      <c r="E1322" s="17" t="inlineStr">
        <is>
          <t>Nem tartozik ide</t>
        </is>
      </c>
      <c r="F1322" s="17" t="inlineStr">
        <is>
          <t>az elmúlt 30 napban</t>
        </is>
      </c>
      <c r="G1322" s="17" t="inlineStr">
        <is>
          <t>Más főkategória terméke</t>
        </is>
      </c>
    </row>
    <row r="1323">
      <c r="A1323" s="17" t="inlineStr">
        <is>
          <t>GRO3682</t>
        </is>
      </c>
      <c r="B1323" s="17" t="inlineStr">
        <is>
          <t>Cool Wing kiegészítő csatlakozó AAW szárnyhoz</t>
        </is>
      </c>
      <c r="C1323" s="17" t="inlineStr">
        <is>
          <t>–</t>
        </is>
      </c>
      <c r="D1323" s="17" t="inlineStr"/>
      <c r="E1323" s="17" t="inlineStr">
        <is>
          <t>Nem tartozik ide</t>
        </is>
      </c>
      <c r="F1323" s="17" t="inlineStr">
        <is>
          <t>2025-10 – 2026-04</t>
        </is>
      </c>
      <c r="G1323" s="17" t="inlineStr">
        <is>
          <t>Más főkategória terméke</t>
        </is>
      </c>
    </row>
    <row r="1324">
      <c r="A1324" s="17" t="inlineStr">
        <is>
          <t>GRO3683</t>
        </is>
      </c>
      <c r="B1324" s="17" t="inlineStr">
        <is>
          <t>TBOX mechanikus időzítő</t>
        </is>
      </c>
      <c r="C1324" s="17" t="inlineStr">
        <is>
          <t>–</t>
        </is>
      </c>
      <c r="D1324" s="17" t="inlineStr"/>
      <c r="E1324" s="17" t="inlineStr">
        <is>
          <t>Nem tartozik ide</t>
        </is>
      </c>
      <c r="F1324" s="17" t="inlineStr">
        <is>
          <t>az elmúlt 30 napban</t>
        </is>
      </c>
      <c r="G1324" s="17" t="inlineStr">
        <is>
          <t>Más főkategória terméke</t>
        </is>
      </c>
    </row>
    <row r="1325">
      <c r="A1325" s="17" t="inlineStr">
        <is>
          <t>GRO3688</t>
        </is>
      </c>
      <c r="B1325" s="17" t="inlineStr">
        <is>
          <t>GIB Growth Spectrum Advanced MH izzó 1000 W</t>
        </is>
      </c>
      <c r="C1325" s="17" t="inlineStr">
        <is>
          <t>–</t>
        </is>
      </c>
      <c r="D1325" s="17" t="inlineStr"/>
      <c r="E1325" s="17" t="inlineStr">
        <is>
          <t>Nem tartozik ide</t>
        </is>
      </c>
      <c r="F1325" s="17" t="inlineStr">
        <is>
          <t>az elmúlt 30 napban</t>
        </is>
      </c>
      <c r="G1325" s="17" t="inlineStr">
        <is>
          <t>Más főkategória terméke</t>
        </is>
      </c>
    </row>
    <row r="1326">
      <c r="A1326" s="17" t="inlineStr">
        <is>
          <t>GRO3689</t>
        </is>
      </c>
      <c r="B1326" s="17" t="inlineStr">
        <is>
          <t>Secret Jardin WEBIT Növénytartó Háló (scrog) S.J.Webit Elastic 240x120</t>
        </is>
      </c>
      <c r="C1326" s="17" t="inlineStr">
        <is>
          <t>–</t>
        </is>
      </c>
      <c r="D1326" s="17" t="inlineStr"/>
      <c r="E1326" s="17" t="inlineStr">
        <is>
          <t>Nem tartozik ide</t>
        </is>
      </c>
      <c r="F1326" s="17" t="inlineStr">
        <is>
          <t>az elmúlt 6 hónapban</t>
        </is>
      </c>
      <c r="G1326" s="17" t="inlineStr">
        <is>
          <t>Más főkategória terméke</t>
        </is>
      </c>
    </row>
    <row r="1327">
      <c r="A1327" s="17" t="inlineStr">
        <is>
          <t>GRO3690</t>
        </is>
      </c>
      <c r="B1327" s="17" t="inlineStr">
        <is>
          <t>Secret Jardin WEBIT Növénytartó Háló (scrog) S.J.Webit Elastic 300x150</t>
        </is>
      </c>
      <c r="C1327" s="17" t="inlineStr">
        <is>
          <t>–</t>
        </is>
      </c>
      <c r="D1327" s="17" t="inlineStr"/>
      <c r="E1327" s="17" t="inlineStr">
        <is>
          <t>Nem tartozik ide</t>
        </is>
      </c>
      <c r="F1327" s="17" t="inlineStr">
        <is>
          <t>az elmúlt 30 napban</t>
        </is>
      </c>
      <c r="G1327" s="17" t="inlineStr">
        <is>
          <t>Más főkategória terméke</t>
        </is>
      </c>
    </row>
    <row r="1328">
      <c r="A1328" s="17" t="inlineStr">
        <is>
          <t>GRO3691</t>
        </is>
      </c>
      <c r="B1328" s="17" t="inlineStr">
        <is>
          <t>Secret Jardin Darkstreet Y Sarok Elem Ø25 mm</t>
        </is>
      </c>
      <c r="C1328" s="17" t="inlineStr">
        <is>
          <t>–</t>
        </is>
      </c>
      <c r="D1328" s="17" t="inlineStr"/>
      <c r="E1328" s="17" t="inlineStr">
        <is>
          <t>Nem tartozik ide</t>
        </is>
      </c>
      <c r="F1328" s="17" t="inlineStr">
        <is>
          <t>az elmúlt 6 hónapban</t>
        </is>
      </c>
      <c r="G1328" s="17" t="inlineStr">
        <is>
          <t>Más főkategória terméke</t>
        </is>
      </c>
    </row>
    <row r="1329">
      <c r="A1329" s="17" t="inlineStr">
        <is>
          <t>GRO3693</t>
        </is>
      </c>
      <c r="B1329" s="17" t="inlineStr">
        <is>
          <t>ONA Card sprayer szagsemlegesítő Fresh Linen</t>
        </is>
      </c>
      <c r="C1329" s="17" t="inlineStr">
        <is>
          <t>–</t>
        </is>
      </c>
      <c r="D1329" s="17" t="inlineStr"/>
      <c r="E1329" s="17" t="inlineStr">
        <is>
          <t>Nem tartozik ide</t>
        </is>
      </c>
      <c r="F1329" s="17" t="inlineStr">
        <is>
          <t>az elmúlt 30 napban</t>
        </is>
      </c>
      <c r="G1329" s="17" t="inlineStr">
        <is>
          <t>Más főkategória terméke</t>
        </is>
      </c>
    </row>
    <row r="1330">
      <c r="A1330" s="17" t="inlineStr">
        <is>
          <t>GRO3694</t>
        </is>
      </c>
      <c r="B1330" s="17" t="inlineStr">
        <is>
          <t>ONA Card sprayer szagsemlegesítő PRO</t>
        </is>
      </c>
      <c r="C1330" s="17" t="inlineStr">
        <is>
          <t>–</t>
        </is>
      </c>
      <c r="D1330" s="17" t="inlineStr"/>
      <c r="E1330" s="17" t="inlineStr">
        <is>
          <t>Nem tartozik ide</t>
        </is>
      </c>
      <c r="F1330" s="17" t="inlineStr">
        <is>
          <t>az elmúlt 30 napban</t>
        </is>
      </c>
      <c r="G1330" s="17" t="inlineStr">
        <is>
          <t>Más főkategória terméke</t>
        </is>
      </c>
    </row>
    <row r="1331">
      <c r="A1331" s="17" t="inlineStr">
        <is>
          <t>GRO3695</t>
        </is>
      </c>
      <c r="B1331" s="17" t="inlineStr">
        <is>
          <t>ONA Block adagoló</t>
        </is>
      </c>
      <c r="C1331" s="17" t="inlineStr">
        <is>
          <t>–</t>
        </is>
      </c>
      <c r="D1331" s="17" t="inlineStr"/>
      <c r="E1331" s="17" t="inlineStr">
        <is>
          <t>Nem tartozik ide</t>
        </is>
      </c>
      <c r="F1331" s="17" t="inlineStr">
        <is>
          <t>az elmúlt 6 hónapban</t>
        </is>
      </c>
      <c r="G1331" s="17" t="inlineStr">
        <is>
          <t>Más főkategória terméke</t>
        </is>
      </c>
    </row>
    <row r="1332">
      <c r="A1332" s="17" t="inlineStr">
        <is>
          <t>GRO3699</t>
        </is>
      </c>
      <c r="B1332" s="17" t="inlineStr">
        <is>
          <t>Prima klima EC ventilátor (hőmérsékletszabályzós) PK125EC-TC</t>
        </is>
      </c>
      <c r="C1332" s="17" t="inlineStr">
        <is>
          <t>–</t>
        </is>
      </c>
      <c r="D1332" s="17" t="inlineStr"/>
      <c r="E1332" s="17" t="inlineStr">
        <is>
          <t>Nem tartozik ide</t>
        </is>
      </c>
      <c r="F1332" s="17" t="inlineStr">
        <is>
          <t>az elmúlt 30 napban</t>
        </is>
      </c>
      <c r="G1332" s="17" t="inlineStr">
        <is>
          <t>Más főkategória terméke</t>
        </is>
      </c>
    </row>
    <row r="1333">
      <c r="A1333" s="17" t="inlineStr">
        <is>
          <t>GRO3700</t>
        </is>
      </c>
      <c r="B1333" s="17" t="inlineStr">
        <is>
          <t>Prima klima EC ventilátor (hőmérsékletszabályzós) PK160EC-TC</t>
        </is>
      </c>
      <c r="C1333" s="17" t="inlineStr">
        <is>
          <t>–</t>
        </is>
      </c>
      <c r="D1333" s="17" t="inlineStr"/>
      <c r="E1333" s="17" t="inlineStr">
        <is>
          <t>Nem tartozik ide</t>
        </is>
      </c>
      <c r="F1333" s="17" t="inlineStr">
        <is>
          <t>az elmúlt 6 hónapban</t>
        </is>
      </c>
      <c r="G1333" s="17" t="inlineStr">
        <is>
          <t>Más főkategória terméke</t>
        </is>
      </c>
    </row>
    <row r="1334">
      <c r="A1334" s="17" t="inlineStr">
        <is>
          <t>GRO3701</t>
        </is>
      </c>
      <c r="B1334" s="17" t="inlineStr">
        <is>
          <t>Prima klima EC ventilátor (hőmérsékletszabályzós) PK250EC-TC</t>
        </is>
      </c>
      <c r="C1334" s="17" t="inlineStr">
        <is>
          <t>–</t>
        </is>
      </c>
      <c r="D1334" s="17" t="inlineStr"/>
      <c r="E1334" s="17" t="inlineStr">
        <is>
          <t>Nem tartozik ide</t>
        </is>
      </c>
      <c r="F1334" s="17" t="inlineStr">
        <is>
          <t>az elmúlt 30 napban</t>
        </is>
      </c>
      <c r="G1334" s="17" t="inlineStr">
        <is>
          <t>Más főkategória terméke</t>
        </is>
      </c>
    </row>
    <row r="1335">
      <c r="A1335" s="17" t="inlineStr">
        <is>
          <t>GRO3703</t>
        </is>
      </c>
      <c r="B1335" s="17" t="inlineStr">
        <is>
          <t>Adjust-A-Wings Hellion Full Spectrum LED 700 W</t>
        </is>
      </c>
      <c r="C1335" s="17" t="inlineStr">
        <is>
          <t>–</t>
        </is>
      </c>
      <c r="D1335" s="17" t="inlineStr"/>
      <c r="E1335" s="17" t="inlineStr">
        <is>
          <t>Nem tartozik ide</t>
        </is>
      </c>
      <c r="F1335" s="17" t="inlineStr">
        <is>
          <t>2025-10 – 2026-04</t>
        </is>
      </c>
      <c r="G1335" s="17" t="inlineStr">
        <is>
          <t>Más főkategória terméke</t>
        </is>
      </c>
    </row>
    <row r="1336">
      <c r="A1336" s="17" t="inlineStr">
        <is>
          <t>GRO3704</t>
        </is>
      </c>
      <c r="B1336" s="17" t="inlineStr">
        <is>
          <t>Adjust-A-Wings Hellion Full Spectrum LED 1000 W</t>
        </is>
      </c>
      <c r="C1336" s="17" t="inlineStr">
        <is>
          <t>–</t>
        </is>
      </c>
      <c r="D1336" s="17" t="inlineStr"/>
      <c r="E1336" s="17" t="inlineStr">
        <is>
          <t>Nem tartozik ide</t>
        </is>
      </c>
      <c r="F1336" s="17" t="inlineStr">
        <is>
          <t>2025-10 – 2026-04</t>
        </is>
      </c>
      <c r="G1336" s="17" t="inlineStr">
        <is>
          <t>Más főkategória terméke</t>
        </is>
      </c>
    </row>
    <row r="1337">
      <c r="A1337" s="17" t="inlineStr">
        <is>
          <t>GRO3708</t>
        </is>
      </c>
      <c r="B1337" s="17" t="inlineStr">
        <is>
          <t>Plagron Silic Rock 500 ml</t>
        </is>
      </c>
      <c r="C1337" s="17" t="inlineStr">
        <is>
          <t>–</t>
        </is>
      </c>
      <c r="D1337" s="17" t="inlineStr"/>
      <c r="E1337" s="17" t="inlineStr">
        <is>
          <t>Nem tartozik ide</t>
        </is>
      </c>
      <c r="F1337" s="17" t="inlineStr">
        <is>
          <t>az elmúlt 30 napban</t>
        </is>
      </c>
      <c r="G1337" s="17" t="inlineStr">
        <is>
          <t>Más főkategória terméke</t>
        </is>
      </c>
    </row>
    <row r="1338">
      <c r="A1338" s="17" t="inlineStr">
        <is>
          <t>GRO3709</t>
        </is>
      </c>
      <c r="B1338" s="17" t="inlineStr">
        <is>
          <t>Plagron Silic Rock 1 liter</t>
        </is>
      </c>
      <c r="C1338" s="17" t="inlineStr">
        <is>
          <t>–</t>
        </is>
      </c>
      <c r="D1338" s="17" t="inlineStr"/>
      <c r="E1338" s="17" t="inlineStr">
        <is>
          <t>Nem tartozik ide</t>
        </is>
      </c>
      <c r="F1338" s="17" t="inlineStr">
        <is>
          <t>az elmúlt 30 napban</t>
        </is>
      </c>
      <c r="G1338" s="17" t="inlineStr">
        <is>
          <t>Más főkategória terméke</t>
        </is>
      </c>
    </row>
    <row r="1339">
      <c r="A1339" s="17" t="inlineStr">
        <is>
          <t>GRO3710</t>
        </is>
      </c>
      <c r="B1339" s="17" t="inlineStr">
        <is>
          <t>Plagron CalMag Pro 500 ml</t>
        </is>
      </c>
      <c r="C1339" s="17" t="inlineStr">
        <is>
          <t>–</t>
        </is>
      </c>
      <c r="D1339" s="17" t="inlineStr"/>
      <c r="E1339" s="17" t="inlineStr">
        <is>
          <t>Nem tartozik ide</t>
        </is>
      </c>
      <c r="F1339" s="17" t="inlineStr">
        <is>
          <t>az elmúlt 30 napban</t>
        </is>
      </c>
      <c r="G1339" s="17" t="inlineStr">
        <is>
          <t>Más főkategória terméke</t>
        </is>
      </c>
    </row>
    <row r="1340">
      <c r="A1340" s="17" t="inlineStr">
        <is>
          <t>GRO3711</t>
        </is>
      </c>
      <c r="B1340" s="17" t="inlineStr">
        <is>
          <t>Plagron CalMag Pro 1 liter</t>
        </is>
      </c>
      <c r="C1340" s="17" t="inlineStr">
        <is>
          <t>–</t>
        </is>
      </c>
      <c r="D1340" s="17" t="inlineStr"/>
      <c r="E1340" s="17" t="inlineStr">
        <is>
          <t>Nem tartozik ide</t>
        </is>
      </c>
      <c r="F1340" s="17" t="inlineStr">
        <is>
          <t>az elmúlt 30 napban</t>
        </is>
      </c>
      <c r="G1340" s="17" t="inlineStr">
        <is>
          <t>Más főkategória terméke</t>
        </is>
      </c>
    </row>
    <row r="1341">
      <c r="A1341" s="17" t="inlineStr">
        <is>
          <t>GRO3712</t>
        </is>
      </c>
      <c r="B1341" s="17" t="inlineStr">
        <is>
          <t>Plagron CalMag Pro 5 liter</t>
        </is>
      </c>
      <c r="C1341" s="17" t="inlineStr">
        <is>
          <t>–</t>
        </is>
      </c>
      <c r="D1341" s="17" t="inlineStr"/>
      <c r="E1341" s="17" t="inlineStr">
        <is>
          <t>Nem tartozik ide</t>
        </is>
      </c>
      <c r="F1341" s="17" t="inlineStr">
        <is>
          <t>az elmúlt 30 napban</t>
        </is>
      </c>
      <c r="G1341" s="17" t="inlineStr">
        <is>
          <t>Más főkategória terméke</t>
        </is>
      </c>
    </row>
    <row r="1342">
      <c r="A1342" s="17" t="inlineStr">
        <is>
          <t>GRO3716</t>
        </is>
      </c>
      <c r="B1342" s="17" t="inlineStr">
        <is>
          <t>Prima klima EC ventilátor (hőmérsékletszabályzós) PK150EC-TC</t>
        </is>
      </c>
      <c r="C1342" s="17" t="inlineStr">
        <is>
          <t>–</t>
        </is>
      </c>
      <c r="D1342" s="17" t="inlineStr"/>
      <c r="E1342" s="17" t="inlineStr">
        <is>
          <t>Nem tartozik ide</t>
        </is>
      </c>
      <c r="F1342" s="17" t="inlineStr">
        <is>
          <t>az elmúlt 30 napban</t>
        </is>
      </c>
      <c r="G1342" s="17" t="inlineStr">
        <is>
          <t>Más főkategória terméke</t>
        </is>
      </c>
    </row>
    <row r="1343">
      <c r="A1343" s="17" t="inlineStr">
        <is>
          <t>GRO3718</t>
        </is>
      </c>
      <c r="B1343" s="17" t="inlineStr">
        <is>
          <t>Secret Jardin légtechnika bilincs (gumi) RD100</t>
        </is>
      </c>
      <c r="C1343" s="17" t="inlineStr">
        <is>
          <t>–</t>
        </is>
      </c>
      <c r="D1343" s="17" t="inlineStr"/>
      <c r="E1343" s="17" t="inlineStr">
        <is>
          <t>Nem tartozik ide</t>
        </is>
      </c>
      <c r="F1343" s="17" t="inlineStr">
        <is>
          <t>az elmúlt 30 napban</t>
        </is>
      </c>
      <c r="G1343" s="17" t="inlineStr">
        <is>
          <t>Más főkategória terméke</t>
        </is>
      </c>
    </row>
    <row r="1344">
      <c r="A1344" s="17" t="inlineStr">
        <is>
          <t>GRO3719</t>
        </is>
      </c>
      <c r="B1344" s="17" t="inlineStr">
        <is>
          <t>Secret Jardin légtechnika bilincs (gumi) RD125</t>
        </is>
      </c>
      <c r="C1344" s="17" t="inlineStr">
        <is>
          <t>–</t>
        </is>
      </c>
      <c r="D1344" s="17" t="inlineStr"/>
      <c r="E1344" s="17" t="inlineStr">
        <is>
          <t>Nem tartozik ide</t>
        </is>
      </c>
      <c r="F1344" s="17" t="inlineStr">
        <is>
          <t>az elmúlt 30 napban</t>
        </is>
      </c>
      <c r="G1344" s="17" t="inlineStr">
        <is>
          <t>Más főkategória terméke</t>
        </is>
      </c>
    </row>
    <row r="1345">
      <c r="A1345" s="17" t="inlineStr">
        <is>
          <t>GRO3720</t>
        </is>
      </c>
      <c r="B1345" s="17" t="inlineStr">
        <is>
          <t>Secret Jardin légtechnika bilincs (gumi) RD150</t>
        </is>
      </c>
      <c r="C1345" s="17" t="inlineStr">
        <is>
          <t>–</t>
        </is>
      </c>
      <c r="D1345" s="17" t="inlineStr"/>
      <c r="E1345" s="17" t="inlineStr">
        <is>
          <t>Nem tartozik ide</t>
        </is>
      </c>
      <c r="F1345" s="17" t="inlineStr">
        <is>
          <t>az elmúlt 30 napban</t>
        </is>
      </c>
      <c r="G1345" s="17" t="inlineStr">
        <is>
          <t>Más főkategória terméke</t>
        </is>
      </c>
    </row>
    <row r="1346">
      <c r="A1346" s="17" t="inlineStr">
        <is>
          <t>GRO3721</t>
        </is>
      </c>
      <c r="B1346" s="17" t="inlineStr">
        <is>
          <t>Secret Jardin légtechnika bilincs (gumi) RD200</t>
        </is>
      </c>
      <c r="C1346" s="17" t="inlineStr">
        <is>
          <t>–</t>
        </is>
      </c>
      <c r="D1346" s="17" t="inlineStr"/>
      <c r="E1346" s="17" t="inlineStr">
        <is>
          <t>Nem tartozik ide</t>
        </is>
      </c>
      <c r="F1346" s="17" t="inlineStr">
        <is>
          <t>az elmúlt 30 napban</t>
        </is>
      </c>
      <c r="G1346" s="17" t="inlineStr">
        <is>
          <t>Más főkategória terméke</t>
        </is>
      </c>
    </row>
    <row r="1347">
      <c r="A1347" s="17" t="inlineStr">
        <is>
          <t>GRO3722</t>
        </is>
      </c>
      <c r="B1347" s="17" t="inlineStr">
        <is>
          <t>Secret Jardin légtechnika bilincs (gumi) RD250</t>
        </is>
      </c>
      <c r="C1347" s="17" t="inlineStr">
        <is>
          <t>–</t>
        </is>
      </c>
      <c r="D1347" s="17" t="inlineStr"/>
      <c r="E1347" s="17" t="inlineStr">
        <is>
          <t>Nem tartozik ide</t>
        </is>
      </c>
      <c r="F1347" s="17" t="inlineStr">
        <is>
          <t>az elmúlt 30 napban</t>
        </is>
      </c>
      <c r="G1347" s="17" t="inlineStr">
        <is>
          <t>Más főkategória terméke</t>
        </is>
      </c>
    </row>
    <row r="1348">
      <c r="A1348" s="17" t="inlineStr">
        <is>
          <t>GRO3723</t>
        </is>
      </c>
      <c r="B1348" s="17" t="inlineStr">
        <is>
          <t>Secret Jardin kábelakasztó d: 16 mm (15 db)</t>
        </is>
      </c>
      <c r="C1348" s="17" t="inlineStr">
        <is>
          <t>–</t>
        </is>
      </c>
      <c r="D1348" s="17" t="inlineStr"/>
      <c r="E1348" s="17" t="inlineStr">
        <is>
          <t>Nem tartozik ide</t>
        </is>
      </c>
      <c r="F1348" s="17" t="inlineStr">
        <is>
          <t>az elmúlt 30 napban</t>
        </is>
      </c>
      <c r="G1348" s="17" t="inlineStr">
        <is>
          <t>Más főkategória terméke</t>
        </is>
      </c>
    </row>
    <row r="1349">
      <c r="A1349" s="17" t="inlineStr">
        <is>
          <t>GRO3725</t>
        </is>
      </c>
      <c r="B1349" s="17" t="inlineStr">
        <is>
          <t>Secret Jardin Space Booster készlet (d:16mm) 60 x 60 mm</t>
        </is>
      </c>
      <c r="C1349" s="17" t="inlineStr">
        <is>
          <t>–</t>
        </is>
      </c>
      <c r="D1349" s="17" t="inlineStr"/>
      <c r="E1349" s="17" t="inlineStr">
        <is>
          <t>Nem tartozik ide</t>
        </is>
      </c>
      <c r="F1349" s="17" t="inlineStr">
        <is>
          <t>2024-10 – 2025-09 (lehet, hogy már nem aktív)</t>
        </is>
      </c>
      <c r="G1349" s="17" t="inlineStr">
        <is>
          <t>Más főkategória terméke</t>
        </is>
      </c>
    </row>
    <row r="1350">
      <c r="A1350" s="17" t="inlineStr">
        <is>
          <t>GRO3726</t>
        </is>
      </c>
      <c r="B1350" s="17" t="inlineStr">
        <is>
          <t>Secret Jardin Space Booster készlet (d:16mm)</t>
        </is>
      </c>
      <c r="C1350" s="17" t="inlineStr">
        <is>
          <t>–</t>
        </is>
      </c>
      <c r="D1350" s="17" t="inlineStr"/>
      <c r="E1350" s="17" t="inlineStr">
        <is>
          <t>Nem tartozik ide</t>
        </is>
      </c>
      <c r="F1350" s="17" t="inlineStr">
        <is>
          <t>2024-10 – 2025-09 (lehet, hogy már nem aktív)</t>
        </is>
      </c>
      <c r="G1350" s="17" t="inlineStr">
        <is>
          <t>Más főkategória terméke</t>
        </is>
      </c>
    </row>
    <row r="1351">
      <c r="A1351" s="17" t="inlineStr">
        <is>
          <t>GRO3728</t>
        </is>
      </c>
      <c r="B1351" s="17" t="inlineStr">
        <is>
          <t>Secret Box Extraktor dimmelhető motorral 60 x 40 x 33,5 cm</t>
        </is>
      </c>
      <c r="C1351" s="17" t="inlineStr">
        <is>
          <t>–</t>
        </is>
      </c>
      <c r="D1351" s="17" t="inlineStr"/>
      <c r="E1351" s="17" t="inlineStr">
        <is>
          <t>Nem tartozik ide</t>
        </is>
      </c>
      <c r="F1351" s="17" t="inlineStr">
        <is>
          <t>az elmúlt 30 napban</t>
        </is>
      </c>
      <c r="G1351" s="17" t="inlineStr">
        <is>
          <t>Más főkategória terméke</t>
        </is>
      </c>
    </row>
    <row r="1352">
      <c r="A1352" s="17" t="inlineStr">
        <is>
          <t>GRO3729</t>
        </is>
      </c>
      <c r="B1352" s="17" t="inlineStr">
        <is>
          <t>Secret Box Big 100 mikronos háló</t>
        </is>
      </c>
      <c r="C1352" s="17" t="inlineStr">
        <is>
          <t>–</t>
        </is>
      </c>
      <c r="D1352" s="17" t="inlineStr"/>
      <c r="E1352" s="17" t="inlineStr">
        <is>
          <t>Nem tartozik ide</t>
        </is>
      </c>
      <c r="F1352" s="17" t="inlineStr">
        <is>
          <t>az elmúlt 30 napban</t>
        </is>
      </c>
      <c r="G1352" s="17" t="inlineStr">
        <is>
          <t>Más főkategória terméke</t>
        </is>
      </c>
    </row>
    <row r="1353">
      <c r="A1353" s="17" t="inlineStr">
        <is>
          <t>GRO3731</t>
        </is>
      </c>
      <c r="B1353" s="17" t="inlineStr">
        <is>
          <t>Secret Jardin TNoled 2 x 40W Growing</t>
        </is>
      </c>
      <c r="C1353" s="17" t="inlineStr">
        <is>
          <t>–</t>
        </is>
      </c>
      <c r="D1353" s="17" t="inlineStr"/>
      <c r="E1353" s="17" t="inlineStr">
        <is>
          <t>Nem tartozik ide</t>
        </is>
      </c>
      <c r="F1353" s="17" t="inlineStr">
        <is>
          <t>az elmúlt 30 napban</t>
        </is>
      </c>
      <c r="G1353" s="17" t="inlineStr">
        <is>
          <t>Más főkategória terméke</t>
        </is>
      </c>
    </row>
    <row r="1354">
      <c r="A1354" s="17" t="inlineStr">
        <is>
          <t>GRO3733</t>
        </is>
      </c>
      <c r="B1354" s="17" t="inlineStr">
        <is>
          <t>SGC Smart Grow világítás szabályozó</t>
        </is>
      </c>
      <c r="C1354" s="17" t="inlineStr">
        <is>
          <t>–</t>
        </is>
      </c>
      <c r="D1354" s="17" t="inlineStr"/>
      <c r="E1354" s="17" t="inlineStr">
        <is>
          <t>Nem tartozik ide</t>
        </is>
      </c>
      <c r="F1354" s="17" t="inlineStr">
        <is>
          <t>az elmúlt 30 napban</t>
        </is>
      </c>
      <c r="G1354" s="17" t="inlineStr">
        <is>
          <t>Más főkategória terméke</t>
        </is>
      </c>
    </row>
    <row r="1355">
      <c r="A1355" s="17" t="inlineStr">
        <is>
          <t>GRO3734</t>
        </is>
      </c>
      <c r="B1355" s="17" t="inlineStr">
        <is>
          <t>SGC CO2 pára-, hőmérséklet- és fényszenzor</t>
        </is>
      </c>
      <c r="C1355" s="17" t="inlineStr">
        <is>
          <t>–</t>
        </is>
      </c>
      <c r="D1355" s="17" t="inlineStr"/>
      <c r="E1355" s="17" t="inlineStr">
        <is>
          <t>Nem tartozik ide</t>
        </is>
      </c>
      <c r="F1355" s="17" t="inlineStr">
        <is>
          <t>az elmúlt 30 napban</t>
        </is>
      </c>
      <c r="G1355" s="17" t="inlineStr">
        <is>
          <t>Más főkategória terméke</t>
        </is>
      </c>
    </row>
    <row r="1356">
      <c r="A1356" s="17" t="inlineStr">
        <is>
          <t>GRO3737</t>
        </is>
      </c>
      <c r="B1356" s="17" t="inlineStr">
        <is>
          <t>Hesi Pro-Line csomag</t>
        </is>
      </c>
      <c r="C1356" s="17" t="inlineStr">
        <is>
          <t>–</t>
        </is>
      </c>
      <c r="D1356" s="17" t="inlineStr"/>
      <c r="E1356" s="17" t="inlineStr">
        <is>
          <t>Nem tartozik ide</t>
        </is>
      </c>
      <c r="F1356" s="17" t="inlineStr">
        <is>
          <t>2025-10 – 2026-04</t>
        </is>
      </c>
      <c r="G1356" s="17" t="inlineStr">
        <is>
          <t>Más főkategória terméke</t>
        </is>
      </c>
    </row>
    <row r="1357">
      <c r="A1357" s="17" t="inlineStr">
        <is>
          <t>GRO3740</t>
        </is>
      </c>
      <c r="B1357" s="17" t="inlineStr">
        <is>
          <t>Master Products trimmelő gép</t>
        </is>
      </c>
      <c r="C1357" s="17" t="inlineStr">
        <is>
          <t>–</t>
        </is>
      </c>
      <c r="D1357" s="17" t="inlineStr"/>
      <c r="E1357" s="17" t="inlineStr">
        <is>
          <t>Nem tartozik ide</t>
        </is>
      </c>
      <c r="F1357" s="17" t="inlineStr">
        <is>
          <t>az elmúlt 30 napban</t>
        </is>
      </c>
      <c r="G1357" s="17" t="inlineStr">
        <is>
          <t>Más főkategória terméke</t>
        </is>
      </c>
    </row>
    <row r="1358">
      <c r="A1358" s="17" t="inlineStr">
        <is>
          <t>GRO3744</t>
        </is>
      </c>
      <c r="B1358" s="17" t="inlineStr">
        <is>
          <t>Prosystem Aqua pH vezérlő</t>
        </is>
      </c>
      <c r="C1358" s="17" t="inlineStr">
        <is>
          <t>–</t>
        </is>
      </c>
      <c r="D1358" s="17" t="inlineStr"/>
      <c r="E1358" s="17" t="inlineStr">
        <is>
          <t>Nem tartozik ide</t>
        </is>
      </c>
      <c r="F1358" s="17" t="inlineStr">
        <is>
          <t>2024-10 – 2025-09 (lehet, hogy már nem aktív)</t>
        </is>
      </c>
      <c r="G1358" s="17" t="inlineStr">
        <is>
          <t>Más főkategória terméke</t>
        </is>
      </c>
    </row>
    <row r="1359">
      <c r="A1359" s="17" t="inlineStr">
        <is>
          <t>GRO3746</t>
        </is>
      </c>
      <c r="B1359" s="17" t="inlineStr">
        <is>
          <t>Prosystem Aqua hidroponikus rendszer vezérlő</t>
        </is>
      </c>
      <c r="C1359" s="17" t="inlineStr">
        <is>
          <t>–</t>
        </is>
      </c>
      <c r="D1359" s="17" t="inlineStr"/>
      <c r="E1359" s="17" t="inlineStr">
        <is>
          <t>Nem tartozik ide</t>
        </is>
      </c>
      <c r="F1359" s="17" t="inlineStr">
        <is>
          <t>2025-10 – 2026-04</t>
        </is>
      </c>
      <c r="G1359" s="17" t="inlineStr">
        <is>
          <t>Más főkategória terméke</t>
        </is>
      </c>
    </row>
    <row r="1360">
      <c r="A1360" s="17" t="inlineStr">
        <is>
          <t>GRO3747</t>
        </is>
      </c>
      <c r="B1360" s="17" t="inlineStr">
        <is>
          <t>Combiflex alumínium cső 10m 160 mm</t>
        </is>
      </c>
      <c r="C1360" s="17" t="inlineStr">
        <is>
          <t>–</t>
        </is>
      </c>
      <c r="D1360" s="17" t="inlineStr"/>
      <c r="E1360" s="17" t="inlineStr">
        <is>
          <t>Nem tartozik ide</t>
        </is>
      </c>
      <c r="F1360" s="17" t="inlineStr">
        <is>
          <t>az elmúlt 6 hónapban</t>
        </is>
      </c>
      <c r="G1360" s="17" t="inlineStr">
        <is>
          <t>Más főkategória terméke</t>
        </is>
      </c>
    </row>
    <row r="1361">
      <c r="A1361" s="17" t="inlineStr">
        <is>
          <t>GRO3748</t>
        </is>
      </c>
      <c r="B1361" s="17" t="inlineStr">
        <is>
          <t>Vermikulit 5 liter</t>
        </is>
      </c>
      <c r="C1361" s="17" t="inlineStr">
        <is>
          <t>–</t>
        </is>
      </c>
      <c r="D1361" s="17" t="inlineStr"/>
      <c r="E1361" s="17" t="inlineStr">
        <is>
          <t>Nem tartozik ide</t>
        </is>
      </c>
      <c r="F1361" s="17" t="inlineStr">
        <is>
          <t>az elmúlt 30 napban</t>
        </is>
      </c>
      <c r="G1361" s="17" t="inlineStr">
        <is>
          <t>Más főkategória terméke</t>
        </is>
      </c>
    </row>
    <row r="1362">
      <c r="A1362" s="17" t="inlineStr">
        <is>
          <t>GRO3749</t>
        </is>
      </c>
      <c r="B1362" s="17" t="inlineStr">
        <is>
          <t>Műanyag növénytámasz (100 cm)</t>
        </is>
      </c>
      <c r="C1362" s="17" t="inlineStr">
        <is>
          <t>–</t>
        </is>
      </c>
      <c r="D1362" s="17" t="inlineStr"/>
      <c r="E1362" s="17" t="inlineStr">
        <is>
          <t>Nem tartozik ide</t>
        </is>
      </c>
      <c r="F1362" s="17" t="inlineStr">
        <is>
          <t>2025-10 – 2026-04</t>
        </is>
      </c>
      <c r="G1362" s="17" t="inlineStr">
        <is>
          <t>Más főkategória terméke</t>
        </is>
      </c>
    </row>
    <row r="1363">
      <c r="A1363" s="17" t="inlineStr">
        <is>
          <t>GRO3750</t>
        </is>
      </c>
      <c r="B1363" s="17" t="inlineStr">
        <is>
          <t>TBOX4 mechanikus időkapcsoló</t>
        </is>
      </c>
      <c r="C1363" s="17" t="inlineStr">
        <is>
          <t>–</t>
        </is>
      </c>
      <c r="D1363" s="17" t="inlineStr"/>
      <c r="E1363" s="17" t="inlineStr">
        <is>
          <t>Nem tartozik ide</t>
        </is>
      </c>
      <c r="F1363" s="17" t="inlineStr">
        <is>
          <t>az elmúlt 30 napban</t>
        </is>
      </c>
      <c r="G1363" s="17" t="inlineStr">
        <is>
          <t>Más főkategória terméke</t>
        </is>
      </c>
    </row>
    <row r="1364">
      <c r="A1364" s="17" t="inlineStr">
        <is>
          <t>GRO3755</t>
        </is>
      </c>
      <c r="B1364" s="17" t="inlineStr">
        <is>
          <t>Cultibox Light növénysátor Cultibox 100</t>
        </is>
      </c>
      <c r="C1364" s="17" t="inlineStr">
        <is>
          <t>–</t>
        </is>
      </c>
      <c r="D1364" s="17" t="inlineStr"/>
      <c r="E1364" s="17" t="inlineStr">
        <is>
          <t>Nem tartozik ide</t>
        </is>
      </c>
      <c r="F1364" s="17" t="inlineStr">
        <is>
          <t>2024-10 – 2025-09 (lehet, hogy már nem aktív)</t>
        </is>
      </c>
      <c r="G1364" s="17" t="inlineStr">
        <is>
          <t>Más főkategória terméke</t>
        </is>
      </c>
    </row>
    <row r="1365">
      <c r="A1365" s="17" t="inlineStr">
        <is>
          <t>GRO3759</t>
        </is>
      </c>
      <c r="B1365" s="17" t="inlineStr">
        <is>
          <t>Grodan Grotop Master termesztőtábla kőzetgyapot 1000 x 150 x 75 mm</t>
        </is>
      </c>
      <c r="C1365" s="17" t="inlineStr">
        <is>
          <t>–</t>
        </is>
      </c>
      <c r="D1365" s="17" t="inlineStr"/>
      <c r="E1365" s="17" t="inlineStr">
        <is>
          <t>Nem tartozik ide</t>
        </is>
      </c>
      <c r="F1365" s="17" t="inlineStr">
        <is>
          <t>az elmúlt 30 napban</t>
        </is>
      </c>
      <c r="G1365" s="17" t="inlineStr">
        <is>
          <t>Más főkategória terméke</t>
        </is>
      </c>
    </row>
    <row r="1366">
      <c r="A1366" s="17" t="inlineStr">
        <is>
          <t>GRO3760</t>
        </is>
      </c>
      <c r="B1366" s="17" t="inlineStr">
        <is>
          <t>Secret Jardin Cosmorrow LED Growing 20W 50cm</t>
        </is>
      </c>
      <c r="C1366" s="17" t="inlineStr">
        <is>
          <t>–</t>
        </is>
      </c>
      <c r="D1366" s="17" t="inlineStr"/>
      <c r="E1366" s="17" t="inlineStr">
        <is>
          <t>Nem tartozik ide</t>
        </is>
      </c>
      <c r="F1366" s="17" t="inlineStr">
        <is>
          <t>az elmúlt 30 napban</t>
        </is>
      </c>
      <c r="G1366" s="17" t="inlineStr">
        <is>
          <t>Más főkategória terméke</t>
        </is>
      </c>
    </row>
    <row r="1367">
      <c r="A1367" s="17" t="inlineStr">
        <is>
          <t>GRO3762</t>
        </is>
      </c>
      <c r="B1367" s="17" t="inlineStr">
        <is>
          <t>Secret Jardin Tnoled LED blooming 2x40W</t>
        </is>
      </c>
      <c r="C1367" s="17" t="inlineStr">
        <is>
          <t>–</t>
        </is>
      </c>
      <c r="D1367" s="17" t="inlineStr"/>
      <c r="E1367" s="17" t="inlineStr">
        <is>
          <t>Nem tartozik ide</t>
        </is>
      </c>
      <c r="F1367" s="17" t="inlineStr">
        <is>
          <t>az elmúlt 30 napban</t>
        </is>
      </c>
      <c r="G1367" s="17" t="inlineStr">
        <is>
          <t>Más főkategória terméke</t>
        </is>
      </c>
    </row>
    <row r="1368">
      <c r="A1368" s="17" t="inlineStr">
        <is>
          <t>GRO3763</t>
        </is>
      </c>
      <c r="B1368" s="17" t="inlineStr">
        <is>
          <t>Secret Jardin DF16 elszívó ventilátor 50/100/150 m3/h</t>
        </is>
      </c>
      <c r="C1368" s="17" t="inlineStr">
        <is>
          <t>–</t>
        </is>
      </c>
      <c r="D1368" s="17" t="inlineStr"/>
      <c r="E1368" s="17" t="inlineStr">
        <is>
          <t>Nem tartozik ide</t>
        </is>
      </c>
      <c r="F1368" s="17" t="inlineStr">
        <is>
          <t>az elmúlt 30 napban</t>
        </is>
      </c>
      <c r="G1368" s="17" t="inlineStr">
        <is>
          <t>Más főkategória terméke</t>
        </is>
      </c>
    </row>
    <row r="1369">
      <c r="A1369" s="17" t="inlineStr">
        <is>
          <t>GRO3765</t>
        </is>
      </c>
      <c r="B1369" s="17" t="inlineStr">
        <is>
          <t>Wilma csepegtető rendszer 8 x 1,65 l</t>
        </is>
      </c>
      <c r="C1369" s="17" t="inlineStr">
        <is>
          <t>–</t>
        </is>
      </c>
      <c r="D1369" s="17" t="inlineStr"/>
      <c r="E1369" s="17" t="inlineStr">
        <is>
          <t>Nem tartozik ide</t>
        </is>
      </c>
      <c r="F1369" s="17" t="inlineStr">
        <is>
          <t>az elmúlt 30 napban</t>
        </is>
      </c>
      <c r="G1369" s="17" t="inlineStr">
        <is>
          <t>Más főkategória terméke</t>
        </is>
      </c>
    </row>
    <row r="1370">
      <c r="A1370" s="17" t="inlineStr">
        <is>
          <t>GRO3766</t>
        </is>
      </c>
      <c r="B1370" s="17" t="inlineStr">
        <is>
          <t>Wilma csepegtető rendszer 4 x 25 l</t>
        </is>
      </c>
      <c r="C1370" s="17" t="inlineStr">
        <is>
          <t>–</t>
        </is>
      </c>
      <c r="D1370" s="17" t="inlineStr"/>
      <c r="E1370" s="17" t="inlineStr">
        <is>
          <t>Nem tartozik ide</t>
        </is>
      </c>
      <c r="F1370" s="17" t="inlineStr">
        <is>
          <t>az elmúlt 30 napban</t>
        </is>
      </c>
      <c r="G1370" s="17" t="inlineStr">
        <is>
          <t>Más főkategória terméke</t>
        </is>
      </c>
    </row>
    <row r="1371">
      <c r="A1371" s="17" t="inlineStr">
        <is>
          <t>GRO3767</t>
        </is>
      </c>
      <c r="B1371" s="17" t="inlineStr">
        <is>
          <t>Wilma csepegtető rendszer 5 x 25 l</t>
        </is>
      </c>
      <c r="C1371" s="17" t="inlineStr">
        <is>
          <t>–</t>
        </is>
      </c>
      <c r="D1371" s="17" t="inlineStr"/>
      <c r="E1371" s="17" t="inlineStr">
        <is>
          <t>Nem tartozik ide</t>
        </is>
      </c>
      <c r="F1371" s="17" t="inlineStr">
        <is>
          <t>az elmúlt 30 napban</t>
        </is>
      </c>
      <c r="G1371" s="17" t="inlineStr">
        <is>
          <t>Más főkategória terméke</t>
        </is>
      </c>
    </row>
    <row r="1372">
      <c r="A1372" s="17" t="inlineStr">
        <is>
          <t>GRO3778</t>
        </is>
      </c>
      <c r="B1372" s="17" t="inlineStr">
        <is>
          <t>Ona szövetszálas ragasztószalag 50 mm</t>
        </is>
      </c>
      <c r="C1372" s="17" t="inlineStr">
        <is>
          <t>–</t>
        </is>
      </c>
      <c r="D1372" s="17" t="inlineStr"/>
      <c r="E1372" s="17" t="inlineStr">
        <is>
          <t>Nem tartozik ide</t>
        </is>
      </c>
      <c r="F1372" s="17" t="inlineStr">
        <is>
          <t>az elmúlt 30 napban</t>
        </is>
      </c>
      <c r="G1372" s="17" t="inlineStr">
        <is>
          <t>Más főkategória terméke</t>
        </is>
      </c>
    </row>
    <row r="1373">
      <c r="A1373" s="17" t="inlineStr">
        <is>
          <t>GRO3779</t>
        </is>
      </c>
      <c r="B1373" s="17" t="inlineStr">
        <is>
          <t>ONA fémezett fólia-ragasztószalag 75 mm</t>
        </is>
      </c>
      <c r="C1373" s="17" t="inlineStr">
        <is>
          <t>–</t>
        </is>
      </c>
      <c r="D1373" s="17" t="inlineStr"/>
      <c r="E1373" s="17" t="inlineStr">
        <is>
          <t>Nem tartozik ide</t>
        </is>
      </c>
      <c r="F1373" s="17" t="inlineStr">
        <is>
          <t>az elmúlt 30 napban</t>
        </is>
      </c>
      <c r="G1373" s="17" t="inlineStr">
        <is>
          <t>Más főkategória terméke</t>
        </is>
      </c>
    </row>
    <row r="1374">
      <c r="A1374" s="17" t="inlineStr">
        <is>
          <t>GRO3782</t>
        </is>
      </c>
      <c r="B1374" s="17" t="inlineStr">
        <is>
          <t>Hesi pipetta 3 ml</t>
        </is>
      </c>
      <c r="C1374" s="17" t="inlineStr">
        <is>
          <t>–</t>
        </is>
      </c>
      <c r="D1374" s="17" t="inlineStr"/>
      <c r="E1374" s="17" t="inlineStr">
        <is>
          <t>Nem tartozik ide</t>
        </is>
      </c>
      <c r="F1374" s="17" t="inlineStr">
        <is>
          <t>az elmúlt 30 napban</t>
        </is>
      </c>
      <c r="G1374" s="17" t="inlineStr">
        <is>
          <t>Más főkategória terméke</t>
        </is>
      </c>
    </row>
    <row r="1375">
      <c r="A1375" s="17" t="inlineStr">
        <is>
          <t>GRO3787</t>
        </is>
      </c>
      <c r="B1375" s="17" t="inlineStr">
        <is>
          <t>Cornwall Electronics ipari páramentesítő 50l / 24h</t>
        </is>
      </c>
      <c r="C1375" s="17" t="inlineStr">
        <is>
          <t>–</t>
        </is>
      </c>
      <c r="D1375" s="17" t="inlineStr"/>
      <c r="E1375" s="17" t="inlineStr">
        <is>
          <t>Nem tartozik ide</t>
        </is>
      </c>
      <c r="F1375" s="17" t="inlineStr">
        <is>
          <t>az elmúlt 30 napban</t>
        </is>
      </c>
      <c r="G1375" s="17" t="inlineStr">
        <is>
          <t>Más főkategória terméke</t>
        </is>
      </c>
    </row>
    <row r="1376">
      <c r="A1376" s="17" t="inlineStr">
        <is>
          <t>GRO3788</t>
        </is>
      </c>
      <c r="B1376" s="17" t="inlineStr">
        <is>
          <t>Mérőedény 70 ml</t>
        </is>
      </c>
      <c r="C1376" s="17" t="inlineStr">
        <is>
          <t>–</t>
        </is>
      </c>
      <c r="D1376" s="17" t="inlineStr"/>
      <c r="E1376" s="17" t="inlineStr">
        <is>
          <t>Nem tartozik ide</t>
        </is>
      </c>
      <c r="F1376" s="17" t="inlineStr">
        <is>
          <t>az elmúlt 30 napban</t>
        </is>
      </c>
      <c r="G1376" s="17" t="inlineStr">
        <is>
          <t>Más főkategória terméke</t>
        </is>
      </c>
    </row>
    <row r="1377">
      <c r="A1377" s="17" t="inlineStr">
        <is>
          <t>GRO3789</t>
        </is>
      </c>
      <c r="B1377" s="17" t="inlineStr">
        <is>
          <t>Mérőedény 250 ml</t>
        </is>
      </c>
      <c r="C1377" s="17" t="inlineStr">
        <is>
          <t>–</t>
        </is>
      </c>
      <c r="D1377" s="17" t="inlineStr"/>
      <c r="E1377" s="17" t="inlineStr">
        <is>
          <t>Nem tartozik ide</t>
        </is>
      </c>
      <c r="F1377" s="17" t="inlineStr">
        <is>
          <t>az elmúlt 30 napban</t>
        </is>
      </c>
      <c r="G1377" s="17" t="inlineStr">
        <is>
          <t>Más főkategória terméke</t>
        </is>
      </c>
    </row>
    <row r="1378">
      <c r="A1378" s="17" t="inlineStr">
        <is>
          <t>GRO3790</t>
        </is>
      </c>
      <c r="B1378" s="17" t="inlineStr">
        <is>
          <t>Smart CO2 termelő zsák</t>
        </is>
      </c>
      <c r="C1378" s="17" t="inlineStr">
        <is>
          <t>–</t>
        </is>
      </c>
      <c r="D1378" s="17" t="inlineStr"/>
      <c r="E1378" s="17" t="inlineStr">
        <is>
          <t>Nem tartozik ide</t>
        </is>
      </c>
      <c r="F1378" s="17" t="inlineStr">
        <is>
          <t>az elmúlt 30 napban</t>
        </is>
      </c>
      <c r="G1378" s="17" t="inlineStr">
        <is>
          <t>Más főkategória terméke</t>
        </is>
      </c>
    </row>
    <row r="1379">
      <c r="A1379" s="17" t="inlineStr">
        <is>
          <t>GRO3791</t>
        </is>
      </c>
      <c r="B1379" s="17" t="inlineStr">
        <is>
          <t>Secret Box Big 200 mikronos háló</t>
        </is>
      </c>
      <c r="C1379" s="17" t="inlineStr">
        <is>
          <t>–</t>
        </is>
      </c>
      <c r="D1379" s="17" t="inlineStr"/>
      <c r="E1379" s="17" t="inlineStr">
        <is>
          <t>Nem tartozik ide</t>
        </is>
      </c>
      <c r="F1379" s="17" t="inlineStr">
        <is>
          <t>az elmúlt 30 napban</t>
        </is>
      </c>
      <c r="G1379" s="17" t="inlineStr">
        <is>
          <t>Más főkategória terméke</t>
        </is>
      </c>
    </row>
    <row r="1380">
      <c r="A1380" s="17" t="inlineStr">
        <is>
          <t>GRO3794</t>
        </is>
      </c>
      <c r="B1380" s="17" t="inlineStr">
        <is>
          <t>Szénszűrő EL 1500</t>
        </is>
      </c>
      <c r="C1380" s="17" t="inlineStr">
        <is>
          <t>–</t>
        </is>
      </c>
      <c r="D1380" s="17" t="inlineStr"/>
      <c r="E1380" s="17" t="inlineStr">
        <is>
          <t>Nem tartozik ide</t>
        </is>
      </c>
      <c r="F1380" s="17" t="inlineStr">
        <is>
          <t>2024-10 – 2025-09 (lehet, hogy már nem aktív)</t>
        </is>
      </c>
      <c r="G1380" s="17" t="inlineStr">
        <is>
          <t>Más főkategória terméke</t>
        </is>
      </c>
    </row>
    <row r="1381">
      <c r="A1381" s="17" t="inlineStr">
        <is>
          <t>GRO3795</t>
        </is>
      </c>
      <c r="B1381" s="17" t="inlineStr">
        <is>
          <t>Szénszűrő EL 1000</t>
        </is>
      </c>
      <c r="C1381" s="17" t="inlineStr">
        <is>
          <t>–</t>
        </is>
      </c>
      <c r="D1381" s="17" t="inlineStr"/>
      <c r="E1381" s="17" t="inlineStr">
        <is>
          <t>Nem tartozik ide</t>
        </is>
      </c>
      <c r="F1381" s="17" t="inlineStr">
        <is>
          <t>2024-10 – 2025-09 (lehet, hogy már nem aktív)</t>
        </is>
      </c>
      <c r="G1381" s="17" t="inlineStr">
        <is>
          <t>Más főkategória terméke</t>
        </is>
      </c>
    </row>
    <row r="1382">
      <c r="A1382" s="17" t="inlineStr">
        <is>
          <t>GRO3797</t>
        </is>
      </c>
      <c r="B1382" s="17" t="inlineStr">
        <is>
          <t>Szénszűrő EL 600</t>
        </is>
      </c>
      <c r="C1382" s="17" t="inlineStr">
        <is>
          <t>–</t>
        </is>
      </c>
      <c r="D1382" s="17" t="inlineStr"/>
      <c r="E1382" s="17" t="inlineStr">
        <is>
          <t>Nem tartozik ide</t>
        </is>
      </c>
      <c r="F1382" s="17" t="inlineStr">
        <is>
          <t>2025-10 – 2026-04</t>
        </is>
      </c>
      <c r="G1382" s="17" t="inlineStr">
        <is>
          <t>Más főkategória terméke</t>
        </is>
      </c>
    </row>
    <row r="1383">
      <c r="A1383" s="17" t="inlineStr">
        <is>
          <t>GRO3798</t>
        </is>
      </c>
      <c r="B1383" s="17" t="inlineStr">
        <is>
          <t>Szénszűrő EL 425</t>
        </is>
      </c>
      <c r="C1383" s="17" t="inlineStr">
        <is>
          <t>–</t>
        </is>
      </c>
      <c r="D1383" s="17" t="inlineStr"/>
      <c r="E1383" s="17" t="inlineStr">
        <is>
          <t>Nem tartozik ide</t>
        </is>
      </c>
      <c r="F1383" s="17" t="inlineStr">
        <is>
          <t>az elmúlt 6 hónapban</t>
        </is>
      </c>
      <c r="G1383" s="17" t="inlineStr">
        <is>
          <t>Más főkategória terméke</t>
        </is>
      </c>
    </row>
    <row r="1384">
      <c r="A1384" s="17" t="inlineStr">
        <is>
          <t>GRO3799</t>
        </is>
      </c>
      <c r="B1384" s="17" t="inlineStr">
        <is>
          <t>Szénszűrő EL 300</t>
        </is>
      </c>
      <c r="C1384" s="17" t="inlineStr">
        <is>
          <t>–</t>
        </is>
      </c>
      <c r="D1384" s="17" t="inlineStr"/>
      <c r="E1384" s="17" t="inlineStr">
        <is>
          <t>Nem tartozik ide</t>
        </is>
      </c>
      <c r="F1384" s="17" t="inlineStr">
        <is>
          <t>az elmúlt 6 hónapban</t>
        </is>
      </c>
      <c r="G1384" s="17" t="inlineStr">
        <is>
          <t>Más főkategória terméke</t>
        </is>
      </c>
    </row>
    <row r="1385">
      <c r="A1385" s="17" t="inlineStr">
        <is>
          <t>GRO3800</t>
        </is>
      </c>
      <c r="B1385" s="17" t="inlineStr">
        <is>
          <t>Secret Jardin Cosmorrow LED készlet (blooming) 60K</t>
        </is>
      </c>
      <c r="C1385" s="17" t="inlineStr">
        <is>
          <t>–</t>
        </is>
      </c>
      <c r="D1385" s="17" t="inlineStr"/>
      <c r="E1385" s="17" t="inlineStr">
        <is>
          <t>Nem tartozik ide</t>
        </is>
      </c>
      <c r="F1385" s="17" t="inlineStr">
        <is>
          <t>az elmúlt 30 napban</t>
        </is>
      </c>
      <c r="G1385" s="17" t="inlineStr">
        <is>
          <t>Más főkategória terméke</t>
        </is>
      </c>
    </row>
    <row r="1386">
      <c r="A1386" s="17" t="inlineStr">
        <is>
          <t>GRO3801</t>
        </is>
      </c>
      <c r="B1386" s="17" t="inlineStr">
        <is>
          <t>Secret Jardin Cosmorrow LED készlet (virágzás) Cosmorrow LED 100K</t>
        </is>
      </c>
      <c r="C1386" s="17" t="inlineStr">
        <is>
          <t>–</t>
        </is>
      </c>
      <c r="D1386" s="17" t="inlineStr"/>
      <c r="E1386" s="17" t="inlineStr">
        <is>
          <t>Nem tartozik ide</t>
        </is>
      </c>
      <c r="F1386" s="17" t="inlineStr">
        <is>
          <t>2024-10 – 2025-09 (lehet, hogy már nem aktív)</t>
        </is>
      </c>
      <c r="G1386" s="17" t="inlineStr">
        <is>
          <t>Más főkategória terméke</t>
        </is>
      </c>
    </row>
    <row r="1387">
      <c r="A1387" s="17" t="inlineStr">
        <is>
          <t>GRO3802</t>
        </is>
      </c>
      <c r="B1387" s="17" t="inlineStr">
        <is>
          <t>Secret Jardin Cosmorrow LED készlet (blooming) 200FS</t>
        </is>
      </c>
      <c r="C1387" s="17" t="inlineStr">
        <is>
          <t>–</t>
        </is>
      </c>
      <c r="D1387" s="17" t="inlineStr"/>
      <c r="E1387" s="17" t="inlineStr">
        <is>
          <t>Nem tartozik ide</t>
        </is>
      </c>
      <c r="F1387" s="17" t="inlineStr">
        <is>
          <t>az elmúlt 30 napban</t>
        </is>
      </c>
      <c r="G1387" s="17" t="inlineStr">
        <is>
          <t>Más főkategória terméke</t>
        </is>
      </c>
    </row>
    <row r="1388">
      <c r="A1388" s="17" t="inlineStr">
        <is>
          <t>GRO3803</t>
        </is>
      </c>
      <c r="B1388" s="17" t="inlineStr">
        <is>
          <t>Secret Jardin Cosmorrow LED Full Spectrum 40W 70cm</t>
        </is>
      </c>
      <c r="C1388" s="17" t="inlineStr">
        <is>
          <t>–</t>
        </is>
      </c>
      <c r="D1388" s="17" t="inlineStr"/>
      <c r="E1388" s="17" t="inlineStr">
        <is>
          <t>Nem tartozik ide</t>
        </is>
      </c>
      <c r="F1388" s="17" t="inlineStr">
        <is>
          <t>az elmúlt 30 napban</t>
        </is>
      </c>
      <c r="G1388" s="17" t="inlineStr">
        <is>
          <t>Más főkategória terméke</t>
        </is>
      </c>
    </row>
    <row r="1389">
      <c r="A1389" s="17" t="inlineStr">
        <is>
          <t>GRO3804</t>
        </is>
      </c>
      <c r="B1389" s="17" t="inlineStr">
        <is>
          <t>SANlight FLEX II LED 10</t>
        </is>
      </c>
      <c r="C1389" s="17" t="inlineStr">
        <is>
          <t>–</t>
        </is>
      </c>
      <c r="D1389" s="17" t="inlineStr"/>
      <c r="E1389" s="17" t="inlineStr">
        <is>
          <t>Nem tartozik ide</t>
        </is>
      </c>
      <c r="F1389" s="17" t="inlineStr">
        <is>
          <t>az elmúlt 30 napban</t>
        </is>
      </c>
      <c r="G1389" s="17" t="inlineStr">
        <is>
          <t>Más főkategória terméke</t>
        </is>
      </c>
    </row>
    <row r="1390">
      <c r="A1390" s="17" t="inlineStr">
        <is>
          <t>GRO3805</t>
        </is>
      </c>
      <c r="B1390" s="17" t="inlineStr">
        <is>
          <t>SANlight FLEX II LED 20</t>
        </is>
      </c>
      <c r="C1390" s="17" t="inlineStr">
        <is>
          <t>–</t>
        </is>
      </c>
      <c r="D1390" s="17" t="inlineStr"/>
      <c r="E1390" s="17" t="inlineStr">
        <is>
          <t>Nem tartozik ide</t>
        </is>
      </c>
      <c r="F1390" s="17" t="inlineStr">
        <is>
          <t>az elmúlt 30 napban</t>
        </is>
      </c>
      <c r="G1390" s="17" t="inlineStr">
        <is>
          <t>Más főkategória terméke</t>
        </is>
      </c>
    </row>
    <row r="1391">
      <c r="A1391" s="17" t="inlineStr">
        <is>
          <t>GRO3806</t>
        </is>
      </c>
      <c r="B1391" s="17" t="inlineStr">
        <is>
          <t>SANlight Flex II wallplug 25 W</t>
        </is>
      </c>
      <c r="C1391" s="17" t="inlineStr">
        <is>
          <t>–</t>
        </is>
      </c>
      <c r="D1391" s="17" t="inlineStr"/>
      <c r="E1391" s="17" t="inlineStr">
        <is>
          <t>Nem tartozik ide</t>
        </is>
      </c>
      <c r="F1391" s="17" t="inlineStr">
        <is>
          <t>az elmúlt 30 napban</t>
        </is>
      </c>
      <c r="G1391" s="17" t="inlineStr">
        <is>
          <t>Más főkategória terméke</t>
        </is>
      </c>
    </row>
    <row r="1392">
      <c r="A1392" s="17" t="inlineStr">
        <is>
          <t>GRO3807</t>
        </is>
      </c>
      <c r="B1392" s="17" t="inlineStr">
        <is>
          <t>SANlight Flex II wallplug 60 W</t>
        </is>
      </c>
      <c r="C1392" s="17" t="inlineStr">
        <is>
          <t>–</t>
        </is>
      </c>
      <c r="D1392" s="17" t="inlineStr"/>
      <c r="E1392" s="17" t="inlineStr">
        <is>
          <t>Nem tartozik ide</t>
        </is>
      </c>
      <c r="F1392" s="17" t="inlineStr">
        <is>
          <t>az elmúlt 30 napban</t>
        </is>
      </c>
      <c r="G1392" s="17" t="inlineStr">
        <is>
          <t>Más főkategória terméke</t>
        </is>
      </c>
    </row>
    <row r="1393">
      <c r="A1393" s="17" t="inlineStr">
        <is>
          <t>GRO3811</t>
        </is>
      </c>
      <c r="B1393" s="17" t="inlineStr">
        <is>
          <t>CO2 reduktor - nyomásmérő és szabályozó szelep</t>
        </is>
      </c>
      <c r="C1393" s="17" t="inlineStr">
        <is>
          <t>–</t>
        </is>
      </c>
      <c r="D1393" s="17" t="inlineStr"/>
      <c r="E1393" s="17" t="inlineStr">
        <is>
          <t>Nem tartozik ide</t>
        </is>
      </c>
      <c r="F1393" s="17" t="inlineStr">
        <is>
          <t>az elmúlt 30 napban</t>
        </is>
      </c>
      <c r="G1393" s="17" t="inlineStr">
        <is>
          <t>Más főkategória terméke</t>
        </is>
      </c>
    </row>
    <row r="1394">
      <c r="A1394" s="17" t="inlineStr">
        <is>
          <t>GRO3812</t>
        </is>
      </c>
      <c r="B1394" s="17" t="inlineStr">
        <is>
          <t>Secret Jardin DF16 szénszűrő 100 m3/óra</t>
        </is>
      </c>
      <c r="C1394" s="17" t="inlineStr">
        <is>
          <t>–</t>
        </is>
      </c>
      <c r="D1394" s="17" t="inlineStr"/>
      <c r="E1394" s="17" t="inlineStr">
        <is>
          <t>Nem tartozik ide</t>
        </is>
      </c>
      <c r="F1394" s="17" t="inlineStr">
        <is>
          <t>az elmúlt 30 napban</t>
        </is>
      </c>
      <c r="G1394" s="17" t="inlineStr">
        <is>
          <t>Más főkategória terméke</t>
        </is>
      </c>
    </row>
    <row r="1395">
      <c r="A1395" s="17" t="inlineStr">
        <is>
          <t>GRO3813</t>
        </is>
      </c>
      <c r="B1395" s="17" t="inlineStr">
        <is>
          <t>Vents Stream ventilátor</t>
        </is>
      </c>
      <c r="C1395" s="17" t="inlineStr">
        <is>
          <t>–</t>
        </is>
      </c>
      <c r="D1395" s="17" t="inlineStr"/>
      <c r="E1395" s="17" t="inlineStr">
        <is>
          <t>Nem tartozik ide</t>
        </is>
      </c>
      <c r="F1395" s="17" t="inlineStr">
        <is>
          <t>az elmúlt 30 napban</t>
        </is>
      </c>
      <c r="G1395" s="17" t="inlineStr">
        <is>
          <t>Más főkategória terméke</t>
        </is>
      </c>
    </row>
    <row r="1396">
      <c r="A1396" s="17" t="inlineStr">
        <is>
          <t>GRO3815</t>
        </is>
      </c>
      <c r="B1396" s="17" t="inlineStr">
        <is>
          <t>Vents Boost ventilátor</t>
        </is>
      </c>
      <c r="C1396" s="17" t="inlineStr">
        <is>
          <t>–</t>
        </is>
      </c>
      <c r="D1396" s="17" t="inlineStr"/>
      <c r="E1396" s="17" t="inlineStr">
        <is>
          <t>Nem tartozik ide</t>
        </is>
      </c>
      <c r="F1396" s="17" t="inlineStr">
        <is>
          <t>az elmúlt 30 napban</t>
        </is>
      </c>
      <c r="G1396" s="17" t="inlineStr">
        <is>
          <t>Más főkategória terméke</t>
        </is>
      </c>
    </row>
    <row r="1397">
      <c r="A1397" s="17" t="inlineStr">
        <is>
          <t>GRO3816</t>
        </is>
      </c>
      <c r="B1397" s="17" t="inlineStr">
        <is>
          <t>SANlight H-distribution block</t>
        </is>
      </c>
      <c r="C1397" s="17" t="inlineStr">
        <is>
          <t>–</t>
        </is>
      </c>
      <c r="D1397" s="17" t="inlineStr"/>
      <c r="E1397" s="17" t="inlineStr">
        <is>
          <t>Nem tartozik ide</t>
        </is>
      </c>
      <c r="F1397" s="17" t="inlineStr">
        <is>
          <t>az elmúlt 30 napban</t>
        </is>
      </c>
      <c r="G1397" s="17" t="inlineStr">
        <is>
          <t>Más főkategória terméke</t>
        </is>
      </c>
    </row>
    <row r="1398">
      <c r="A1398" s="17" t="inlineStr">
        <is>
          <t>GRO3820</t>
        </is>
      </c>
      <c r="B1398" s="17" t="inlineStr">
        <is>
          <t>SANlight Flex II csatlakozó</t>
        </is>
      </c>
      <c r="C1398" s="17" t="inlineStr">
        <is>
          <t>–</t>
        </is>
      </c>
      <c r="D1398" s="17" t="inlineStr"/>
      <c r="E1398" s="17" t="inlineStr">
        <is>
          <t>Nem tartozik ide</t>
        </is>
      </c>
      <c r="F1398" s="17" t="inlineStr">
        <is>
          <t>az elmúlt 6 hónapban</t>
        </is>
      </c>
      <c r="G1398" s="17" t="inlineStr">
        <is>
          <t>Más főkategória terméke</t>
        </is>
      </c>
    </row>
    <row r="1399">
      <c r="A1399" s="17" t="inlineStr">
        <is>
          <t>GRO3821</t>
        </is>
      </c>
      <c r="B1399" s="17" t="inlineStr">
        <is>
          <t>SANlight Flex II elosztó</t>
        </is>
      </c>
      <c r="C1399" s="17" t="inlineStr">
        <is>
          <t>–</t>
        </is>
      </c>
      <c r="D1399" s="17" t="inlineStr"/>
      <c r="E1399" s="17" t="inlineStr">
        <is>
          <t>Nem tartozik ide</t>
        </is>
      </c>
      <c r="F1399" s="17" t="inlineStr">
        <is>
          <t>az elmúlt 6 hónapban</t>
        </is>
      </c>
      <c r="G1399" s="17" t="inlineStr">
        <is>
          <t>Más főkategória terméke</t>
        </is>
      </c>
    </row>
    <row r="1400">
      <c r="A1400" s="17" t="inlineStr">
        <is>
          <t>GRO3822</t>
        </is>
      </c>
      <c r="B1400" s="17" t="inlineStr">
        <is>
          <t>Plagron Power Buds 1 liter</t>
        </is>
      </c>
      <c r="C1400" s="17" t="inlineStr">
        <is>
          <t>–</t>
        </is>
      </c>
      <c r="D1400" s="17" t="inlineStr"/>
      <c r="E1400" s="17" t="inlineStr">
        <is>
          <t>Nem tartozik ide</t>
        </is>
      </c>
      <c r="F1400" s="17" t="inlineStr">
        <is>
          <t>az elmúlt 30 napban</t>
        </is>
      </c>
      <c r="G1400" s="17" t="inlineStr">
        <is>
          <t>Más főkategória terméke</t>
        </is>
      </c>
    </row>
    <row r="1401">
      <c r="A1401" s="17" t="inlineStr">
        <is>
          <t>GRO3823</t>
        </is>
      </c>
      <c r="B1401" s="17" t="inlineStr">
        <is>
          <t>Plagron Power Buds 5 liter</t>
        </is>
      </c>
      <c r="C1401" s="17" t="inlineStr">
        <is>
          <t>–</t>
        </is>
      </c>
      <c r="D1401" s="17" t="inlineStr"/>
      <c r="E1401" s="17" t="inlineStr">
        <is>
          <t>Nem tartozik ide</t>
        </is>
      </c>
      <c r="F1401" s="17" t="inlineStr">
        <is>
          <t>az elmúlt 30 napban</t>
        </is>
      </c>
      <c r="G1401" s="17" t="inlineStr">
        <is>
          <t>Más főkategória terméke</t>
        </is>
      </c>
    </row>
    <row r="1402">
      <c r="A1402" s="17" t="inlineStr">
        <is>
          <t>GRO3824</t>
        </is>
      </c>
      <c r="B1402" s="17" t="inlineStr">
        <is>
          <t>Plagron Power Buds 100 ml</t>
        </is>
      </c>
      <c r="C1402" s="17" t="inlineStr">
        <is>
          <t>–</t>
        </is>
      </c>
      <c r="D1402" s="17" t="inlineStr"/>
      <c r="E1402" s="17" t="inlineStr">
        <is>
          <t>Nem tartozik ide</t>
        </is>
      </c>
      <c r="F1402" s="17" t="inlineStr">
        <is>
          <t>az elmúlt 30 napban</t>
        </is>
      </c>
      <c r="G1402" s="17" t="inlineStr">
        <is>
          <t>Más főkategória terméke</t>
        </is>
      </c>
    </row>
    <row r="1403">
      <c r="A1403" s="17" t="inlineStr">
        <is>
          <t>GRO3825</t>
        </is>
      </c>
      <c r="B1403" s="17" t="inlineStr">
        <is>
          <t>Plagron Power Buds 250 ml</t>
        </is>
      </c>
      <c r="C1403" s="17" t="inlineStr">
        <is>
          <t>–</t>
        </is>
      </c>
      <c r="D1403" s="17" t="inlineStr"/>
      <c r="E1403" s="17" t="inlineStr">
        <is>
          <t>Nem tartozik ide</t>
        </is>
      </c>
      <c r="F1403" s="17" t="inlineStr">
        <is>
          <t>az elmúlt 30 napban</t>
        </is>
      </c>
      <c r="G1403" s="17" t="inlineStr">
        <is>
          <t>Más főkategória terméke</t>
        </is>
      </c>
    </row>
    <row r="1404">
      <c r="A1404" s="17" t="inlineStr">
        <is>
          <t>GRO3826</t>
        </is>
      </c>
      <c r="B1404" s="17" t="inlineStr">
        <is>
          <t>Bluelab pH mérő csere szonda 2 m</t>
        </is>
      </c>
      <c r="C1404" s="17" t="inlineStr">
        <is>
          <t>–</t>
        </is>
      </c>
      <c r="D1404" s="17" t="inlineStr"/>
      <c r="E1404" s="17" t="inlineStr">
        <is>
          <t>Nem tartozik ide</t>
        </is>
      </c>
      <c r="F1404" s="17" t="inlineStr">
        <is>
          <t>az elmúlt 30 napban</t>
        </is>
      </c>
      <c r="G1404" s="17" t="inlineStr">
        <is>
          <t>Más főkategória terméke</t>
        </is>
      </c>
    </row>
    <row r="1405">
      <c r="A1405" s="17" t="inlineStr">
        <is>
          <t>GRO3827</t>
        </is>
      </c>
      <c r="B1405" s="17" t="inlineStr">
        <is>
          <t>Trimmelő zsák</t>
        </is>
      </c>
      <c r="C1405" s="17" t="inlineStr">
        <is>
          <t>–</t>
        </is>
      </c>
      <c r="D1405" s="17" t="inlineStr"/>
      <c r="E1405" s="17" t="inlineStr">
        <is>
          <t>Nem tartozik ide</t>
        </is>
      </c>
      <c r="F1405" s="17" t="inlineStr">
        <is>
          <t>az elmúlt 30 napban</t>
        </is>
      </c>
      <c r="G1405" s="17" t="inlineStr">
        <is>
          <t>Más főkategória terméke</t>
        </is>
      </c>
    </row>
    <row r="1406">
      <c r="A1406" s="17" t="inlineStr">
        <is>
          <t>GRO3828</t>
        </is>
      </c>
      <c r="B1406" s="17" t="inlineStr">
        <is>
          <t>Agrolite Full Spectrum LED 120W</t>
        </is>
      </c>
      <c r="C1406" s="17" t="inlineStr">
        <is>
          <t>–</t>
        </is>
      </c>
      <c r="D1406" s="17" t="inlineStr"/>
      <c r="E1406" s="17" t="inlineStr">
        <is>
          <t>Nem tartozik ide</t>
        </is>
      </c>
      <c r="F1406" s="17" t="inlineStr">
        <is>
          <t>az elmúlt 30 napban</t>
        </is>
      </c>
      <c r="G1406" s="17" t="inlineStr">
        <is>
          <t>Más főkategória terméke</t>
        </is>
      </c>
    </row>
    <row r="1407">
      <c r="A1407" s="17" t="inlineStr">
        <is>
          <t>GRO3829</t>
        </is>
      </c>
      <c r="B1407" s="17" t="inlineStr">
        <is>
          <t>Owlsen Optipro grow szemüveg</t>
        </is>
      </c>
      <c r="C1407" s="17" t="inlineStr">
        <is>
          <t>–</t>
        </is>
      </c>
      <c r="D1407" s="17" t="inlineStr"/>
      <c r="E1407" s="17" t="inlineStr">
        <is>
          <t>Nem tartozik ide</t>
        </is>
      </c>
      <c r="F1407" s="17" t="inlineStr">
        <is>
          <t>az elmúlt 30 napban</t>
        </is>
      </c>
      <c r="G1407" s="17" t="inlineStr">
        <is>
          <t>Más főkategória terméke</t>
        </is>
      </c>
    </row>
    <row r="1408">
      <c r="A1408" s="17" t="inlineStr">
        <is>
          <t>GRO3840</t>
        </is>
      </c>
      <c r="B1408" s="17" t="inlineStr">
        <is>
          <t>Secret Jardin TNoled 2 x 20W Growing</t>
        </is>
      </c>
      <c r="C1408" s="17" t="inlineStr">
        <is>
          <t>–</t>
        </is>
      </c>
      <c r="D1408" s="17" t="inlineStr"/>
      <c r="E1408" s="17" t="inlineStr">
        <is>
          <t>Nem tartozik ide</t>
        </is>
      </c>
      <c r="F1408" s="17" t="inlineStr">
        <is>
          <t>az elmúlt 30 napban</t>
        </is>
      </c>
      <c r="G1408" s="17" t="inlineStr">
        <is>
          <t>Más főkategória terméke</t>
        </is>
      </c>
    </row>
    <row r="1409">
      <c r="A1409" s="17" t="inlineStr">
        <is>
          <t>GRO3841</t>
        </is>
      </c>
      <c r="B1409" s="17" t="inlineStr">
        <is>
          <t>Cornwall Electronics párásító</t>
        </is>
      </c>
      <c r="C1409" s="17" t="inlineStr">
        <is>
          <t>–</t>
        </is>
      </c>
      <c r="D1409" s="17" t="inlineStr"/>
      <c r="E1409" s="17" t="inlineStr">
        <is>
          <t>Nem tartozik ide</t>
        </is>
      </c>
      <c r="F1409" s="17" t="inlineStr">
        <is>
          <t>az elmúlt 30 napban</t>
        </is>
      </c>
      <c r="G1409" s="17" t="inlineStr">
        <is>
          <t>Más főkategória terméke</t>
        </is>
      </c>
    </row>
    <row r="1410">
      <c r="A1410" s="17" t="inlineStr">
        <is>
          <t>GRO3843</t>
        </is>
      </c>
      <c r="B1410" s="17" t="inlineStr">
        <is>
          <t>Easy Snips trimmelő olló ívelt</t>
        </is>
      </c>
      <c r="C1410" s="17" t="inlineStr">
        <is>
          <t>–</t>
        </is>
      </c>
      <c r="D1410" s="17" t="inlineStr"/>
      <c r="E1410" s="17" t="inlineStr">
        <is>
          <t>Nem tartozik ide</t>
        </is>
      </c>
      <c r="F1410" s="17" t="inlineStr">
        <is>
          <t>az elmúlt 30 napban</t>
        </is>
      </c>
      <c r="G1410" s="17" t="inlineStr">
        <is>
          <t>Más főkategória terméke</t>
        </is>
      </c>
    </row>
    <row r="1411">
      <c r="A1411" s="17" t="inlineStr">
        <is>
          <t>GRO3844</t>
        </is>
      </c>
      <c r="B1411" s="17" t="inlineStr">
        <is>
          <t>Easy Snips trimmelő olló egyenes</t>
        </is>
      </c>
      <c r="C1411" s="17" t="inlineStr">
        <is>
          <t>–</t>
        </is>
      </c>
      <c r="D1411" s="17" t="inlineStr"/>
      <c r="E1411" s="17" t="inlineStr">
        <is>
          <t>Nem tartozik ide</t>
        </is>
      </c>
      <c r="F1411" s="17" t="inlineStr">
        <is>
          <t>az elmúlt 30 napban</t>
        </is>
      </c>
      <c r="G1411" s="17" t="inlineStr">
        <is>
          <t>Más főkategória terméke</t>
        </is>
      </c>
    </row>
    <row r="1412">
      <c r="A1412" s="17" t="inlineStr">
        <is>
          <t>GRO3845</t>
        </is>
      </c>
      <c r="B1412" s="17" t="inlineStr">
        <is>
          <t>ONA Liquid Pro szagsemlegesítő folyadék</t>
        </is>
      </c>
      <c r="C1412" s="17" t="inlineStr">
        <is>
          <t>–</t>
        </is>
      </c>
      <c r="D1412" s="17" t="inlineStr"/>
      <c r="E1412" s="17" t="inlineStr">
        <is>
          <t>Nem tartozik ide</t>
        </is>
      </c>
      <c r="F1412" s="17" t="inlineStr">
        <is>
          <t>az elmúlt 30 napban</t>
        </is>
      </c>
      <c r="G1412" s="17" t="inlineStr">
        <is>
          <t>Más főkategória terméke</t>
        </is>
      </c>
    </row>
    <row r="1413">
      <c r="A1413" s="17" t="inlineStr">
        <is>
          <t>GRO3846</t>
        </is>
      </c>
      <c r="B1413" s="17" t="inlineStr">
        <is>
          <t>Spektra Master Full spectrum LED</t>
        </is>
      </c>
      <c r="C1413" s="17" t="inlineStr">
        <is>
          <t>–</t>
        </is>
      </c>
      <c r="D1413" s="17" t="inlineStr"/>
      <c r="E1413" s="17" t="inlineStr">
        <is>
          <t>Nem tartozik ide</t>
        </is>
      </c>
      <c r="F1413" s="17" t="inlineStr">
        <is>
          <t>az elmúlt 30 napban</t>
        </is>
      </c>
      <c r="G1413" s="17" t="inlineStr">
        <is>
          <t>Más főkategória terméke</t>
        </is>
      </c>
    </row>
    <row r="1414">
      <c r="A1414" s="17" t="inlineStr">
        <is>
          <t>GRO3847</t>
        </is>
      </c>
      <c r="B1414" s="17" t="inlineStr">
        <is>
          <t>Plagron Hydro Roots 1 liter</t>
        </is>
      </c>
      <c r="C1414" s="17" t="inlineStr">
        <is>
          <t>–</t>
        </is>
      </c>
      <c r="D1414" s="17" t="inlineStr"/>
      <c r="E1414" s="17" t="inlineStr">
        <is>
          <t>Nem tartozik ide</t>
        </is>
      </c>
      <c r="F1414" s="17" t="inlineStr">
        <is>
          <t>az elmúlt 30 napban</t>
        </is>
      </c>
      <c r="G1414" s="17" t="inlineStr">
        <is>
          <t>Más főkategória terméke</t>
        </is>
      </c>
    </row>
    <row r="1415">
      <c r="A1415" s="17" t="inlineStr">
        <is>
          <t>GRO3848</t>
        </is>
      </c>
      <c r="B1415" s="17" t="inlineStr">
        <is>
          <t>Plagron Hydro Roots 5 liter</t>
        </is>
      </c>
      <c r="C1415" s="17" t="inlineStr">
        <is>
          <t>–</t>
        </is>
      </c>
      <c r="D1415" s="17" t="inlineStr"/>
      <c r="E1415" s="17" t="inlineStr">
        <is>
          <t>Nem tartozik ide</t>
        </is>
      </c>
      <c r="F1415" s="17" t="inlineStr">
        <is>
          <t>az elmúlt 30 napban</t>
        </is>
      </c>
      <c r="G1415" s="17" t="inlineStr">
        <is>
          <t>Más főkategória terméke</t>
        </is>
      </c>
    </row>
    <row r="1416">
      <c r="A1416" s="17" t="inlineStr">
        <is>
          <t>GRO3849</t>
        </is>
      </c>
      <c r="B1416" s="17" t="inlineStr">
        <is>
          <t>SANlight EVO Led 1.5 EVO 3-60</t>
        </is>
      </c>
      <c r="C1416" s="17" t="inlineStr">
        <is>
          <t>–</t>
        </is>
      </c>
      <c r="D1416" s="17" t="inlineStr"/>
      <c r="E1416" s="17" t="inlineStr">
        <is>
          <t>Nem tartozik ide</t>
        </is>
      </c>
      <c r="F1416" s="17" t="inlineStr">
        <is>
          <t>az elmúlt 30 napban</t>
        </is>
      </c>
      <c r="G1416" s="17" t="inlineStr">
        <is>
          <t>Más főkategória terméke</t>
        </is>
      </c>
    </row>
    <row r="1417">
      <c r="A1417" s="17" t="inlineStr">
        <is>
          <t>GRO3850</t>
        </is>
      </c>
      <c r="B1417" s="17" t="inlineStr">
        <is>
          <t>SANlight EVO Led 1.5 EVO 3-80</t>
        </is>
      </c>
      <c r="C1417" s="17" t="inlineStr">
        <is>
          <t>–</t>
        </is>
      </c>
      <c r="D1417" s="17" t="inlineStr"/>
      <c r="E1417" s="17" t="inlineStr">
        <is>
          <t>Nem tartozik ide</t>
        </is>
      </c>
      <c r="F1417" s="17" t="inlineStr">
        <is>
          <t>az elmúlt 30 napban</t>
        </is>
      </c>
      <c r="G1417" s="17" t="inlineStr">
        <is>
          <t>Más főkategória terméke</t>
        </is>
      </c>
    </row>
    <row r="1418">
      <c r="A1418" s="17" t="inlineStr">
        <is>
          <t>GRO3851</t>
        </is>
      </c>
      <c r="B1418" s="17" t="inlineStr">
        <is>
          <t>SANlight EVO Led 1.5 EVO 3-100</t>
        </is>
      </c>
      <c r="C1418" s="17" t="inlineStr">
        <is>
          <t>–</t>
        </is>
      </c>
      <c r="D1418" s="17" t="inlineStr"/>
      <c r="E1418" s="17" t="inlineStr">
        <is>
          <t>Nem tartozik ide</t>
        </is>
      </c>
      <c r="F1418" s="17" t="inlineStr">
        <is>
          <t>az elmúlt 30 napban</t>
        </is>
      </c>
      <c r="G1418" s="17" t="inlineStr">
        <is>
          <t>Más főkategória terméke</t>
        </is>
      </c>
    </row>
    <row r="1419">
      <c r="A1419" s="17" t="inlineStr">
        <is>
          <t>GRO3852</t>
        </is>
      </c>
      <c r="B1419" s="17" t="inlineStr">
        <is>
          <t>SANlight EVO Led 1.5 EVO 4-80</t>
        </is>
      </c>
      <c r="C1419" s="17" t="inlineStr">
        <is>
          <t>–</t>
        </is>
      </c>
      <c r="D1419" s="17" t="inlineStr"/>
      <c r="E1419" s="17" t="inlineStr">
        <is>
          <t>Nem tartozik ide</t>
        </is>
      </c>
      <c r="F1419" s="17" t="inlineStr">
        <is>
          <t>az elmúlt 6 hónapban</t>
        </is>
      </c>
      <c r="G1419" s="17" t="inlineStr">
        <is>
          <t>Más főkategória terméke</t>
        </is>
      </c>
    </row>
    <row r="1420">
      <c r="A1420" s="17" t="inlineStr">
        <is>
          <t>GRO3853</t>
        </is>
      </c>
      <c r="B1420" s="17" t="inlineStr">
        <is>
          <t>SANlight EVO Led 1.5 EVO 4-100</t>
        </is>
      </c>
      <c r="C1420" s="17" t="inlineStr">
        <is>
          <t>–</t>
        </is>
      </c>
      <c r="D1420" s="17" t="inlineStr"/>
      <c r="E1420" s="17" t="inlineStr">
        <is>
          <t>Nem tartozik ide</t>
        </is>
      </c>
      <c r="F1420" s="17" t="inlineStr">
        <is>
          <t>az elmúlt 6 hónapban</t>
        </is>
      </c>
      <c r="G1420" s="17" t="inlineStr">
        <is>
          <t>Más főkategória terméke</t>
        </is>
      </c>
    </row>
    <row r="1421">
      <c r="A1421" s="17" t="inlineStr">
        <is>
          <t>GRO3854</t>
        </is>
      </c>
      <c r="B1421" s="17" t="inlineStr">
        <is>
          <t>SANlight EVO Led 1.5 EVO 4-120</t>
        </is>
      </c>
      <c r="C1421" s="17" t="inlineStr">
        <is>
          <t>–</t>
        </is>
      </c>
      <c r="D1421" s="17" t="inlineStr"/>
      <c r="E1421" s="17" t="inlineStr">
        <is>
          <t>Nem tartozik ide</t>
        </is>
      </c>
      <c r="F1421" s="17" t="inlineStr">
        <is>
          <t>az elmúlt 30 napban</t>
        </is>
      </c>
      <c r="G1421" s="17" t="inlineStr">
        <is>
          <t>Más főkategória terméke</t>
        </is>
      </c>
    </row>
    <row r="1422">
      <c r="A1422" s="17" t="inlineStr">
        <is>
          <t>GRO3855</t>
        </is>
      </c>
      <c r="B1422" s="17" t="inlineStr">
        <is>
          <t>SANlight EVO Led 1.5 EVO 5-100</t>
        </is>
      </c>
      <c r="C1422" s="17" t="inlineStr">
        <is>
          <t>–</t>
        </is>
      </c>
      <c r="D1422" s="17" t="inlineStr"/>
      <c r="E1422" s="17" t="inlineStr">
        <is>
          <t>Nem tartozik ide</t>
        </is>
      </c>
      <c r="F1422" s="17" t="inlineStr">
        <is>
          <t>az elmúlt 30 napban</t>
        </is>
      </c>
      <c r="G1422" s="17" t="inlineStr">
        <is>
          <t>Más főkategória terméke</t>
        </is>
      </c>
    </row>
    <row r="1423">
      <c r="A1423" s="17" t="inlineStr">
        <is>
          <t>GRO3856</t>
        </is>
      </c>
      <c r="B1423" s="17" t="inlineStr">
        <is>
          <t>SANlight EVO Led 1.5 EVO 5-120</t>
        </is>
      </c>
      <c r="C1423" s="17" t="inlineStr">
        <is>
          <t>–</t>
        </is>
      </c>
      <c r="D1423" s="17" t="inlineStr"/>
      <c r="E1423" s="17" t="inlineStr">
        <is>
          <t>Nem tartozik ide</t>
        </is>
      </c>
      <c r="F1423" s="17" t="inlineStr">
        <is>
          <t>az elmúlt 30 napban</t>
        </is>
      </c>
      <c r="G1423" s="17" t="inlineStr">
        <is>
          <t>Más főkategória terméke</t>
        </is>
      </c>
    </row>
    <row r="1424">
      <c r="A1424" s="17" t="inlineStr">
        <is>
          <t>GRO3857</t>
        </is>
      </c>
      <c r="B1424" s="17" t="inlineStr">
        <is>
          <t>SANlight EVO Led 1.5 EVO 5-150</t>
        </is>
      </c>
      <c r="C1424" s="17" t="inlineStr">
        <is>
          <t>–</t>
        </is>
      </c>
      <c r="D1424" s="17" t="inlineStr"/>
      <c r="E1424" s="17" t="inlineStr">
        <is>
          <t>Nem tartozik ide</t>
        </is>
      </c>
      <c r="F1424" s="17" t="inlineStr">
        <is>
          <t>az elmúlt 30 napban</t>
        </is>
      </c>
      <c r="G1424" s="17" t="inlineStr">
        <is>
          <t>Más főkategória terméke</t>
        </is>
      </c>
    </row>
    <row r="1425">
      <c r="A1425" s="17" t="inlineStr">
        <is>
          <t>GRO3858</t>
        </is>
      </c>
      <c r="B1425" s="17" t="inlineStr">
        <is>
          <t>SANlight EVO Led 1.5 EVO 6-120</t>
        </is>
      </c>
      <c r="C1425" s="17" t="inlineStr">
        <is>
          <t>–</t>
        </is>
      </c>
      <c r="D1425" s="17" t="inlineStr"/>
      <c r="E1425" s="17" t="inlineStr">
        <is>
          <t>Nem tartozik ide</t>
        </is>
      </c>
      <c r="F1425" s="17" t="inlineStr">
        <is>
          <t>az elmúlt 6 hónapban</t>
        </is>
      </c>
      <c r="G1425" s="17" t="inlineStr">
        <is>
          <t>Más főkategória terméke</t>
        </is>
      </c>
    </row>
    <row r="1426">
      <c r="A1426" s="17" t="inlineStr">
        <is>
          <t>GRO3859</t>
        </is>
      </c>
      <c r="B1426" s="17" t="inlineStr">
        <is>
          <t>SANlight EVO Led 1.5 EVO 6-150</t>
        </is>
      </c>
      <c r="C1426" s="17" t="inlineStr">
        <is>
          <t>–</t>
        </is>
      </c>
      <c r="D1426" s="17" t="inlineStr"/>
      <c r="E1426" s="17" t="inlineStr">
        <is>
          <t>Nem tartozik ide</t>
        </is>
      </c>
      <c r="F1426" s="17" t="inlineStr">
        <is>
          <t>az elmúlt 6 hónapban</t>
        </is>
      </c>
      <c r="G1426" s="17" t="inlineStr">
        <is>
          <t>Más főkategória terméke</t>
        </is>
      </c>
    </row>
    <row r="1427">
      <c r="A1427" s="17" t="inlineStr">
        <is>
          <t>GRO3860</t>
        </is>
      </c>
      <c r="B1427" s="17" t="inlineStr">
        <is>
          <t>SANlight EVO Set 1.5 60</t>
        </is>
      </c>
      <c r="C1427" s="17" t="inlineStr">
        <is>
          <t>–</t>
        </is>
      </c>
      <c r="D1427" s="17" t="inlineStr"/>
      <c r="E1427" s="17" t="inlineStr">
        <is>
          <t>Nem tartozik ide</t>
        </is>
      </c>
      <c r="F1427" s="17" t="inlineStr">
        <is>
          <t>az elmúlt 30 napban</t>
        </is>
      </c>
      <c r="G1427" s="17" t="inlineStr">
        <is>
          <t>Más főkategória terméke</t>
        </is>
      </c>
    </row>
    <row r="1428">
      <c r="A1428" s="17" t="inlineStr">
        <is>
          <t>GRO3861</t>
        </is>
      </c>
      <c r="B1428" s="17" t="inlineStr">
        <is>
          <t>SANlight EVO Set 1.5 80</t>
        </is>
      </c>
      <c r="C1428" s="17" t="inlineStr">
        <is>
          <t>–</t>
        </is>
      </c>
      <c r="D1428" s="17" t="inlineStr"/>
      <c r="E1428" s="17" t="inlineStr">
        <is>
          <t>Nem tartozik ide</t>
        </is>
      </c>
      <c r="F1428" s="17" t="inlineStr">
        <is>
          <t>az elmúlt 30 napban</t>
        </is>
      </c>
      <c r="G1428" s="17" t="inlineStr">
        <is>
          <t>Más főkategória terméke</t>
        </is>
      </c>
    </row>
    <row r="1429">
      <c r="A1429" s="17" t="inlineStr">
        <is>
          <t>GRO3862</t>
        </is>
      </c>
      <c r="B1429" s="17" t="inlineStr">
        <is>
          <t>SANlight EVO Set 1.5 100</t>
        </is>
      </c>
      <c r="C1429" s="17" t="inlineStr">
        <is>
          <t>–</t>
        </is>
      </c>
      <c r="D1429" s="17" t="inlineStr"/>
      <c r="E1429" s="17" t="inlineStr">
        <is>
          <t>Nem tartozik ide</t>
        </is>
      </c>
      <c r="F1429" s="17" t="inlineStr">
        <is>
          <t>az elmúlt 30 napban</t>
        </is>
      </c>
      <c r="G1429" s="17" t="inlineStr">
        <is>
          <t>Más főkategória terméke</t>
        </is>
      </c>
    </row>
    <row r="1430">
      <c r="A1430" s="17" t="inlineStr">
        <is>
          <t>GRO3863</t>
        </is>
      </c>
      <c r="B1430" s="17" t="inlineStr">
        <is>
          <t>SANlight EVO Set 1.5 120</t>
        </is>
      </c>
      <c r="C1430" s="17" t="inlineStr">
        <is>
          <t>–</t>
        </is>
      </c>
      <c r="D1430" s="17" t="inlineStr"/>
      <c r="E1430" s="17" t="inlineStr">
        <is>
          <t>Nem tartozik ide</t>
        </is>
      </c>
      <c r="F1430" s="17" t="inlineStr">
        <is>
          <t>az elmúlt 30 napban</t>
        </is>
      </c>
      <c r="G1430" s="17" t="inlineStr">
        <is>
          <t>Más főkategória terméke</t>
        </is>
      </c>
    </row>
    <row r="1431">
      <c r="A1431" s="17" t="inlineStr">
        <is>
          <t>GRO3864</t>
        </is>
      </c>
      <c r="B1431" s="17" t="inlineStr">
        <is>
          <t>SANlight EVO Set 1.5 150</t>
        </is>
      </c>
      <c r="C1431" s="17" t="inlineStr">
        <is>
          <t>–</t>
        </is>
      </c>
      <c r="D1431" s="17" t="inlineStr"/>
      <c r="E1431" s="17" t="inlineStr">
        <is>
          <t>Nem tartozik ide</t>
        </is>
      </c>
      <c r="F1431" s="17" t="inlineStr">
        <is>
          <t>az elmúlt 30 napban</t>
        </is>
      </c>
      <c r="G1431" s="17" t="inlineStr">
        <is>
          <t>Más főkategória terméke</t>
        </is>
      </c>
    </row>
    <row r="1432">
      <c r="A1432" s="17" t="inlineStr">
        <is>
          <t>GRO3865</t>
        </is>
      </c>
      <c r="B1432" s="17" t="inlineStr">
        <is>
          <t>Secret Jardin Monkey Fan ventilátor 1,5 W</t>
        </is>
      </c>
      <c r="C1432" s="17" t="inlineStr">
        <is>
          <t>–</t>
        </is>
      </c>
      <c r="D1432" s="17" t="inlineStr"/>
      <c r="E1432" s="17" t="inlineStr">
        <is>
          <t>Nem tartozik ide</t>
        </is>
      </c>
      <c r="F1432" s="17" t="inlineStr">
        <is>
          <t>az elmúlt 30 napban</t>
        </is>
      </c>
      <c r="G1432" s="17" t="inlineStr">
        <is>
          <t>Más főkategória terméke</t>
        </is>
      </c>
    </row>
    <row r="1433">
      <c r="A1433" s="17" t="inlineStr">
        <is>
          <t>GRO3866</t>
        </is>
      </c>
      <c r="B1433" s="17" t="inlineStr">
        <is>
          <t>Secret Jardin Monkey Fan ventilátor 2,85 W</t>
        </is>
      </c>
      <c r="C1433" s="17" t="inlineStr">
        <is>
          <t>–</t>
        </is>
      </c>
      <c r="D1433" s="17" t="inlineStr"/>
      <c r="E1433" s="17" t="inlineStr">
        <is>
          <t>Nem tartozik ide</t>
        </is>
      </c>
      <c r="F1433" s="17" t="inlineStr">
        <is>
          <t>az elmúlt 30 napban</t>
        </is>
      </c>
      <c r="G1433" s="17" t="inlineStr">
        <is>
          <t>Más főkategória terméke</t>
        </is>
      </c>
    </row>
    <row r="1434">
      <c r="A1434" s="17" t="inlineStr">
        <is>
          <t>GRO3873</t>
        </is>
      </c>
      <c r="B1434" s="17" t="inlineStr">
        <is>
          <t>SANlight Flex II kábel</t>
        </is>
      </c>
      <c r="C1434" s="17" t="inlineStr">
        <is>
          <t>–</t>
        </is>
      </c>
      <c r="D1434" s="17" t="inlineStr"/>
      <c r="E1434" s="17" t="inlineStr">
        <is>
          <t>Nem tartozik ide</t>
        </is>
      </c>
      <c r="F1434" s="17" t="inlineStr">
        <is>
          <t>az elmúlt 6 hónapban</t>
        </is>
      </c>
      <c r="G1434" s="17" t="inlineStr">
        <is>
          <t>Más főkategória terméke</t>
        </is>
      </c>
    </row>
    <row r="1435">
      <c r="A1435" s="17" t="inlineStr">
        <is>
          <t>GRO3874</t>
        </is>
      </c>
      <c r="B1435" s="17" t="inlineStr">
        <is>
          <t>Agrolite E27 foglalat</t>
        </is>
      </c>
      <c r="C1435" s="17" t="inlineStr">
        <is>
          <t>–</t>
        </is>
      </c>
      <c r="D1435" s="17" t="inlineStr"/>
      <c r="E1435" s="17" t="inlineStr">
        <is>
          <t>Nem tartozik ide</t>
        </is>
      </c>
      <c r="F1435" s="17" t="inlineStr">
        <is>
          <t>az elmúlt 30 napban</t>
        </is>
      </c>
      <c r="G1435" s="17" t="inlineStr">
        <is>
          <t>Más főkategória terméke</t>
        </is>
      </c>
    </row>
    <row r="1436">
      <c r="A1436" s="17" t="inlineStr">
        <is>
          <t>GRO3875</t>
        </is>
      </c>
      <c r="B1436" s="17" t="inlineStr">
        <is>
          <t>Lumatek kábel LED UV bar power</t>
        </is>
      </c>
      <c r="C1436" s="17" t="inlineStr">
        <is>
          <t>–</t>
        </is>
      </c>
      <c r="D1436" s="17" t="inlineStr"/>
      <c r="E1436" s="17" t="inlineStr">
        <is>
          <t>Nem tartozik ide</t>
        </is>
      </c>
      <c r="F1436" s="17" t="inlineStr">
        <is>
          <t>az elmúlt 6 hónapban</t>
        </is>
      </c>
      <c r="G1436" s="17" t="inlineStr">
        <is>
          <t>Más főkategória terméke</t>
        </is>
      </c>
    </row>
    <row r="1437">
      <c r="A1437" s="17" t="inlineStr">
        <is>
          <t>GRO3876</t>
        </is>
      </c>
      <c r="B1437" s="17" t="inlineStr">
        <is>
          <t>Lumatek daisy chain UV kábel</t>
        </is>
      </c>
      <c r="C1437" s="17" t="inlineStr">
        <is>
          <t>–</t>
        </is>
      </c>
      <c r="D1437" s="17" t="inlineStr"/>
      <c r="E1437" s="17" t="inlineStr">
        <is>
          <t>Nem tartozik ide</t>
        </is>
      </c>
      <c r="F1437" s="17" t="inlineStr">
        <is>
          <t>2025-10 – 2026-04</t>
        </is>
      </c>
      <c r="G1437" s="17" t="inlineStr">
        <is>
          <t>Más főkategória terméke</t>
        </is>
      </c>
    </row>
    <row r="1438">
      <c r="A1438" s="17" t="inlineStr">
        <is>
          <t>GRO3877</t>
        </is>
      </c>
      <c r="B1438" s="17" t="inlineStr">
        <is>
          <t>Lumatek kiegészítő LED UV 30 W</t>
        </is>
      </c>
      <c r="C1438" s="17" t="inlineStr">
        <is>
          <t>–</t>
        </is>
      </c>
      <c r="D1438" s="17" t="inlineStr"/>
      <c r="E1438" s="17" t="inlineStr">
        <is>
          <t>Nem tartozik ide</t>
        </is>
      </c>
      <c r="F1438" s="17" t="inlineStr">
        <is>
          <t>az elmúlt 6 hónapban</t>
        </is>
      </c>
      <c r="G1438" s="17" t="inlineStr">
        <is>
          <t>Más főkategória terméke</t>
        </is>
      </c>
    </row>
    <row r="1439">
      <c r="A1439" s="17" t="inlineStr">
        <is>
          <t>GRO3878</t>
        </is>
      </c>
      <c r="B1439" s="17" t="inlineStr">
        <is>
          <t>Secret Jardin space booster bővítő &amp; WEBIT háló S</t>
        </is>
      </c>
      <c r="C1439" s="17" t="inlineStr">
        <is>
          <t>–</t>
        </is>
      </c>
      <c r="D1439" s="17" t="inlineStr"/>
      <c r="E1439" s="17" t="inlineStr">
        <is>
          <t>Nem tartozik ide</t>
        </is>
      </c>
      <c r="F1439" s="17" t="inlineStr">
        <is>
          <t>az elmúlt 30 napban</t>
        </is>
      </c>
      <c r="G1439" s="17" t="inlineStr">
        <is>
          <t>Más főkategória terméke</t>
        </is>
      </c>
    </row>
    <row r="1440">
      <c r="A1440" s="17" t="inlineStr">
        <is>
          <t>GRO3879</t>
        </is>
      </c>
      <c r="B1440" s="17" t="inlineStr">
        <is>
          <t>Secret Jardin space booster bővítő &amp; WEBIT háló L</t>
        </is>
      </c>
      <c r="C1440" s="17" t="inlineStr">
        <is>
          <t>–</t>
        </is>
      </c>
      <c r="D1440" s="17" t="inlineStr"/>
      <c r="E1440" s="17" t="inlineStr">
        <is>
          <t>Nem tartozik ide</t>
        </is>
      </c>
      <c r="F1440" s="17" t="inlineStr">
        <is>
          <t>az elmúlt 30 napban</t>
        </is>
      </c>
      <c r="G1440" s="17" t="inlineStr">
        <is>
          <t>Más főkategória terméke</t>
        </is>
      </c>
    </row>
    <row r="1441">
      <c r="A1441" s="17" t="inlineStr">
        <is>
          <t>GRO3880</t>
        </is>
      </c>
      <c r="B1441" s="17" t="inlineStr">
        <is>
          <t>Secret Jardin space booster bővítő &amp; WEBIT háló W</t>
        </is>
      </c>
      <c r="C1441" s="17" t="inlineStr">
        <is>
          <t>–</t>
        </is>
      </c>
      <c r="D1441" s="17" t="inlineStr"/>
      <c r="E1441" s="17" t="inlineStr">
        <is>
          <t>Nem tartozik ide</t>
        </is>
      </c>
      <c r="F1441" s="17" t="inlineStr">
        <is>
          <t>az elmúlt 30 napban</t>
        </is>
      </c>
      <c r="G1441" s="17" t="inlineStr">
        <is>
          <t>Más főkategória terméke</t>
        </is>
      </c>
    </row>
    <row r="1442">
      <c r="A1442" s="17" t="inlineStr">
        <is>
          <t>GRO3881</t>
        </is>
      </c>
      <c r="B1442" s="17" t="inlineStr">
        <is>
          <t>Lumatek daisy chain UV kábel</t>
        </is>
      </c>
      <c r="C1442" s="17" t="inlineStr">
        <is>
          <t>–</t>
        </is>
      </c>
      <c r="D1442" s="17" t="inlineStr"/>
      <c r="E1442" s="17" t="inlineStr">
        <is>
          <t>Nem tartozik ide</t>
        </is>
      </c>
      <c r="F1442" s="17" t="inlineStr">
        <is>
          <t>az elmúlt 30 napban</t>
        </is>
      </c>
      <c r="G1442" s="17" t="inlineStr">
        <is>
          <t>Más főkategória terméke</t>
        </is>
      </c>
    </row>
    <row r="1443">
      <c r="A1443" s="17" t="inlineStr">
        <is>
          <t>GRO3882</t>
        </is>
      </c>
      <c r="B1443" s="17" t="inlineStr">
        <is>
          <t>Homebox Ambient Növény sátor R120S</t>
        </is>
      </c>
      <c r="C1443" s="17" t="inlineStr">
        <is>
          <t>–</t>
        </is>
      </c>
      <c r="D1443" s="17" t="inlineStr"/>
      <c r="E1443" s="17" t="inlineStr">
        <is>
          <t>Nem tartozik ide</t>
        </is>
      </c>
      <c r="F1443" s="17" t="inlineStr">
        <is>
          <t>az elmúlt 30 napban</t>
        </is>
      </c>
      <c r="G1443" s="17" t="inlineStr">
        <is>
          <t>Más főkategória terméke</t>
        </is>
      </c>
    </row>
    <row r="1444">
      <c r="A1444" s="17" t="inlineStr">
        <is>
          <t>GRO3883</t>
        </is>
      </c>
      <c r="B1444" s="17" t="inlineStr">
        <is>
          <t>Plagron Mega Worm talajjavító 1 liter</t>
        </is>
      </c>
      <c r="C1444" s="17" t="inlineStr">
        <is>
          <t>–</t>
        </is>
      </c>
      <c r="D1444" s="17" t="inlineStr"/>
      <c r="E1444" s="17" t="inlineStr">
        <is>
          <t>Nem tartozik ide</t>
        </is>
      </c>
      <c r="F1444" s="17" t="inlineStr">
        <is>
          <t>az elmúlt 6 hónapban</t>
        </is>
      </c>
      <c r="G1444" s="17" t="inlineStr">
        <is>
          <t>Más főkategória terméke</t>
        </is>
      </c>
    </row>
    <row r="1445">
      <c r="A1445" s="17" t="inlineStr">
        <is>
          <t>GRO3889</t>
        </is>
      </c>
      <c r="B1445" s="17" t="inlineStr">
        <is>
          <t>Propagátor nagy méretű 56x31x20 cm</t>
        </is>
      </c>
      <c r="C1445" s="17" t="inlineStr">
        <is>
          <t>–</t>
        </is>
      </c>
      <c r="D1445" s="17" t="inlineStr"/>
      <c r="E1445" s="17" t="inlineStr">
        <is>
          <t>Nem tartozik ide</t>
        </is>
      </c>
      <c r="F1445" s="17" t="inlineStr">
        <is>
          <t>az elmúlt 30 napban</t>
        </is>
      </c>
      <c r="G1445" s="17" t="inlineStr">
        <is>
          <t>Más főkategória terméke</t>
        </is>
      </c>
    </row>
    <row r="1446">
      <c r="A1446" s="17" t="inlineStr">
        <is>
          <t>GRO3890</t>
        </is>
      </c>
      <c r="B1446" s="17" t="inlineStr">
        <is>
          <t>Vermikulit 100 liter</t>
        </is>
      </c>
      <c r="C1446" s="17" t="inlineStr">
        <is>
          <t>–</t>
        </is>
      </c>
      <c r="D1446" s="17" t="inlineStr"/>
      <c r="E1446" s="17" t="inlineStr">
        <is>
          <t>Nem tartozik ide</t>
        </is>
      </c>
      <c r="F1446" s="17" t="inlineStr">
        <is>
          <t>az elmúlt 30 napban</t>
        </is>
      </c>
      <c r="G1446" s="17" t="inlineStr">
        <is>
          <t>Más főkategória terméke</t>
        </is>
      </c>
    </row>
    <row r="1447">
      <c r="A1447" s="17" t="inlineStr">
        <is>
          <t>GRO3891</t>
        </is>
      </c>
      <c r="B1447" s="17" t="inlineStr">
        <is>
          <t>Cornwall Electronics álló ventilátor</t>
        </is>
      </c>
      <c r="C1447" s="17" t="inlineStr">
        <is>
          <t>–</t>
        </is>
      </c>
      <c r="D1447" s="17" t="inlineStr"/>
      <c r="E1447" s="17" t="inlineStr">
        <is>
          <t>Nem tartozik ide</t>
        </is>
      </c>
      <c r="F1447" s="17" t="inlineStr">
        <is>
          <t>az elmúlt 30 napban</t>
        </is>
      </c>
      <c r="G1447" s="17" t="inlineStr">
        <is>
          <t>Más főkategória terméke</t>
        </is>
      </c>
    </row>
    <row r="1448">
      <c r="A1448" s="17" t="inlineStr">
        <is>
          <t>GRO3892</t>
        </is>
      </c>
      <c r="B1448" s="17" t="inlineStr">
        <is>
          <t>Cornwall Electronics fali ventilátor</t>
        </is>
      </c>
      <c r="C1448" s="17" t="inlineStr">
        <is>
          <t>–</t>
        </is>
      </c>
      <c r="D1448" s="17" t="inlineStr"/>
      <c r="E1448" s="17" t="inlineStr">
        <is>
          <t>Nem tartozik ide</t>
        </is>
      </c>
      <c r="F1448" s="17" t="inlineStr">
        <is>
          <t>az elmúlt 30 napban</t>
        </is>
      </c>
      <c r="G1448" s="17" t="inlineStr">
        <is>
          <t>Más főkategória terméke</t>
        </is>
      </c>
    </row>
    <row r="1449">
      <c r="A1449" s="17" t="inlineStr">
        <is>
          <t>GRO3893</t>
        </is>
      </c>
      <c r="B1449" s="17" t="inlineStr">
        <is>
          <t>Hortilight June AC LED Six Bar + trafó 720W</t>
        </is>
      </c>
      <c r="C1449" s="17" t="inlineStr">
        <is>
          <t>–</t>
        </is>
      </c>
      <c r="D1449" s="17" t="inlineStr"/>
      <c r="E1449" s="17" t="inlineStr">
        <is>
          <t>Nem tartozik ide</t>
        </is>
      </c>
      <c r="F1449" s="17" t="inlineStr">
        <is>
          <t>2025-10 – 2026-04</t>
        </is>
      </c>
      <c r="G1449" s="17" t="inlineStr">
        <is>
          <t>Más főkategória terméke</t>
        </is>
      </c>
    </row>
    <row r="1450">
      <c r="A1450" s="17" t="inlineStr">
        <is>
          <t>GRO3897</t>
        </is>
      </c>
      <c r="B1450" s="17" t="inlineStr">
        <is>
          <t>Plagron pH min 5 liter</t>
        </is>
      </c>
      <c r="C1450" s="17" t="inlineStr">
        <is>
          <t>–</t>
        </is>
      </c>
      <c r="D1450" s="17" t="inlineStr"/>
      <c r="E1450" s="17" t="inlineStr">
        <is>
          <t>Nem tartozik ide</t>
        </is>
      </c>
      <c r="F1450" s="17" t="inlineStr">
        <is>
          <t>az elmúlt 30 napban</t>
        </is>
      </c>
      <c r="G1450" s="17" t="inlineStr">
        <is>
          <t>Más főkategória terméke</t>
        </is>
      </c>
    </row>
    <row r="1451">
      <c r="A1451" s="17" t="inlineStr">
        <is>
          <t>GRO3898</t>
        </is>
      </c>
      <c r="B1451" s="17" t="inlineStr">
        <is>
          <t>Plagron pH min 10 liter</t>
        </is>
      </c>
      <c r="C1451" s="17" t="inlineStr">
        <is>
          <t>–</t>
        </is>
      </c>
      <c r="D1451" s="17" t="inlineStr"/>
      <c r="E1451" s="17" t="inlineStr">
        <is>
          <t>Nem tartozik ide</t>
        </is>
      </c>
      <c r="F1451" s="17" t="inlineStr">
        <is>
          <t>az elmúlt 30 napban</t>
        </is>
      </c>
      <c r="G1451" s="17" t="inlineStr">
        <is>
          <t>Más főkategória terméke</t>
        </is>
      </c>
    </row>
    <row r="1452">
      <c r="A1452" s="17" t="inlineStr">
        <is>
          <t>GRO3899</t>
        </is>
      </c>
      <c r="B1452" s="17" t="inlineStr">
        <is>
          <t>Plagron pH min 1 liter</t>
        </is>
      </c>
      <c r="C1452" s="17" t="inlineStr">
        <is>
          <t>–</t>
        </is>
      </c>
      <c r="D1452" s="17" t="inlineStr"/>
      <c r="E1452" s="17" t="inlineStr">
        <is>
          <t>Nem tartozik ide</t>
        </is>
      </c>
      <c r="F1452" s="17" t="inlineStr">
        <is>
          <t>az elmúlt 30 napban</t>
        </is>
      </c>
      <c r="G1452" s="17" t="inlineStr">
        <is>
          <t>Más főkategória terméke</t>
        </is>
      </c>
    </row>
    <row r="1453">
      <c r="A1453" s="17" t="inlineStr">
        <is>
          <t>GRO3900</t>
        </is>
      </c>
      <c r="B1453" s="17" t="inlineStr">
        <is>
          <t>Bluelab Guardian Monitor WIFI</t>
        </is>
      </c>
      <c r="C1453" s="17" t="inlineStr">
        <is>
          <t>–</t>
        </is>
      </c>
      <c r="D1453" s="17" t="inlineStr"/>
      <c r="E1453" s="17" t="inlineStr">
        <is>
          <t>Nem tartozik ide</t>
        </is>
      </c>
      <c r="F1453" s="17" t="inlineStr">
        <is>
          <t>az elmúlt 30 napban</t>
        </is>
      </c>
      <c r="G1453" s="17" t="inlineStr">
        <is>
          <t>Más főkategória terméke</t>
        </is>
      </c>
    </row>
    <row r="1454">
      <c r="A1454" s="17" t="inlineStr">
        <is>
          <t>GRO3902</t>
        </is>
      </c>
      <c r="B1454" s="17" t="inlineStr">
        <is>
          <t>Exhale CO2 zsák XL</t>
        </is>
      </c>
      <c r="C1454" s="17" t="inlineStr">
        <is>
          <t>–</t>
        </is>
      </c>
      <c r="D1454" s="17" t="inlineStr"/>
      <c r="E1454" s="17" t="inlineStr">
        <is>
          <t>Nem tartozik ide</t>
        </is>
      </c>
      <c r="F1454" s="17" t="inlineStr">
        <is>
          <t>az elmúlt 30 napban</t>
        </is>
      </c>
      <c r="G1454" s="17" t="inlineStr">
        <is>
          <t>Más főkategória terméke</t>
        </is>
      </c>
    </row>
    <row r="1455">
      <c r="A1455" s="17" t="inlineStr">
        <is>
          <t>GRO3903</t>
        </is>
      </c>
      <c r="B1455" s="17" t="inlineStr">
        <is>
          <t>CO2 termelő doboz</t>
        </is>
      </c>
      <c r="C1455" s="17" t="inlineStr">
        <is>
          <t>–</t>
        </is>
      </c>
      <c r="D1455" s="17" t="inlineStr"/>
      <c r="E1455" s="17" t="inlineStr">
        <is>
          <t>Nem tartozik ide</t>
        </is>
      </c>
      <c r="F1455" s="17" t="inlineStr">
        <is>
          <t>az elmúlt 30 napban</t>
        </is>
      </c>
      <c r="G1455" s="17" t="inlineStr">
        <is>
          <t>Más főkategória terméke</t>
        </is>
      </c>
    </row>
    <row r="1456">
      <c r="A1456" s="17" t="inlineStr">
        <is>
          <t>GRO3904</t>
        </is>
      </c>
      <c r="B1456" s="17" t="inlineStr">
        <is>
          <t>Cultibox Light Grow Box 60</t>
        </is>
      </c>
      <c r="C1456" s="17" t="inlineStr">
        <is>
          <t>–</t>
        </is>
      </c>
      <c r="D1456" s="17" t="inlineStr"/>
      <c r="E1456" s="17" t="inlineStr">
        <is>
          <t>Nem tartozik ide</t>
        </is>
      </c>
      <c r="F1456" s="17" t="inlineStr">
        <is>
          <t>az elmúlt 30 napban</t>
        </is>
      </c>
      <c r="G1456" s="17" t="inlineStr">
        <is>
          <t>Más főkategória terméke</t>
        </is>
      </c>
    </row>
    <row r="1457">
      <c r="A1457" s="17" t="inlineStr">
        <is>
          <t>GRO3905</t>
        </is>
      </c>
      <c r="B1457" s="17" t="inlineStr">
        <is>
          <t>Aquatek pH teszt 1-14 lakmuszpapír</t>
        </is>
      </c>
      <c r="C1457" s="17" t="inlineStr">
        <is>
          <t>–</t>
        </is>
      </c>
      <c r="D1457" s="17" t="inlineStr"/>
      <c r="E1457" s="17" t="inlineStr">
        <is>
          <t>Nem tartozik ide</t>
        </is>
      </c>
      <c r="F1457" s="17" t="inlineStr">
        <is>
          <t>az elmúlt 30 napban</t>
        </is>
      </c>
      <c r="G1457" s="17" t="inlineStr">
        <is>
          <t>Más főkategória terméke</t>
        </is>
      </c>
    </row>
    <row r="1458">
      <c r="A1458" s="17" t="inlineStr">
        <is>
          <t>GRO3906</t>
        </is>
      </c>
      <c r="B1458" s="17" t="inlineStr">
        <is>
          <t>Secret Jardin Original 60 Grow Box 60x40x116 cm</t>
        </is>
      </c>
      <c r="C1458" s="17" t="inlineStr">
        <is>
          <t>–</t>
        </is>
      </c>
      <c r="D1458" s="17" t="inlineStr"/>
      <c r="E1458" s="17" t="inlineStr">
        <is>
          <t>Nem tartozik ide</t>
        </is>
      </c>
      <c r="F1458" s="17" t="inlineStr">
        <is>
          <t>2025-10 – 2026-04</t>
        </is>
      </c>
      <c r="G1458" s="17" t="inlineStr">
        <is>
          <t>Más főkategória terméke</t>
        </is>
      </c>
    </row>
    <row r="1459">
      <c r="A1459" s="17" t="inlineStr">
        <is>
          <t>GRO3907</t>
        </is>
      </c>
      <c r="B1459" s="17" t="inlineStr">
        <is>
          <t>Secret Jardin For Twenty 100 Grow Box 60x40x116 cm</t>
        </is>
      </c>
      <c r="C1459" s="17" t="inlineStr">
        <is>
          <t>–</t>
        </is>
      </c>
      <c r="D1459" s="17" t="inlineStr"/>
      <c r="E1459" s="17" t="inlineStr">
        <is>
          <t>Nem tartozik ide</t>
        </is>
      </c>
      <c r="F1459" s="17" t="inlineStr">
        <is>
          <t>az elmúlt 30 napban</t>
        </is>
      </c>
      <c r="G1459" s="17" t="inlineStr">
        <is>
          <t>Más főkategória terméke</t>
        </is>
      </c>
    </row>
    <row r="1460">
      <c r="A1460" s="17" t="inlineStr">
        <is>
          <t>GRO3908</t>
        </is>
      </c>
      <c r="B1460" s="17" t="inlineStr">
        <is>
          <t>Lumatek ZEUS PRO LED 600W 3.1</t>
        </is>
      </c>
      <c r="C1460" s="17" t="inlineStr">
        <is>
          <t>–</t>
        </is>
      </c>
      <c r="D1460" s="17" t="inlineStr"/>
      <c r="E1460" s="17" t="inlineStr">
        <is>
          <t>Nem tartozik ide</t>
        </is>
      </c>
      <c r="F1460" s="17" t="inlineStr">
        <is>
          <t>az elmúlt 30 napban</t>
        </is>
      </c>
      <c r="G1460" s="17" t="inlineStr">
        <is>
          <t>Más főkategória terméke</t>
        </is>
      </c>
    </row>
    <row r="1461">
      <c r="A1461" s="17" t="inlineStr">
        <is>
          <t>GRO3909</t>
        </is>
      </c>
      <c r="B1461" s="17" t="inlineStr">
        <is>
          <t>Secret Jardin fűtőlap</t>
        </is>
      </c>
      <c r="C1461" s="17" t="inlineStr">
        <is>
          <t>–</t>
        </is>
      </c>
      <c r="D1461" s="17" t="inlineStr"/>
      <c r="E1461" s="17" t="inlineStr">
        <is>
          <t>Nem tartozik ide</t>
        </is>
      </c>
      <c r="F1461" s="17" t="inlineStr">
        <is>
          <t>az elmúlt 30 napban</t>
        </is>
      </c>
      <c r="G1461" s="17" t="inlineStr">
        <is>
          <t>Más főkategória terméke</t>
        </is>
      </c>
    </row>
    <row r="1462">
      <c r="A1462" s="17" t="inlineStr">
        <is>
          <t>GRO3910</t>
        </is>
      </c>
      <c r="B1462" s="17" t="inlineStr">
        <is>
          <t>Secret Jardin Cosmorrow LED Full Spectrum 20W 50cm</t>
        </is>
      </c>
      <c r="C1462" s="17" t="inlineStr">
        <is>
          <t>–</t>
        </is>
      </c>
      <c r="D1462" s="17" t="inlineStr"/>
      <c r="E1462" s="17" t="inlineStr">
        <is>
          <t>Nem tartozik ide</t>
        </is>
      </c>
      <c r="F1462" s="17" t="inlineStr">
        <is>
          <t>az elmúlt 30 napban</t>
        </is>
      </c>
      <c r="G1462" s="17" t="inlineStr">
        <is>
          <t>Más főkategória terméke</t>
        </is>
      </c>
    </row>
    <row r="1463">
      <c r="A1463" s="17" t="inlineStr">
        <is>
          <t>GRO3911</t>
        </is>
      </c>
      <c r="B1463" s="17" t="inlineStr">
        <is>
          <t>Secret Jardin Cosmorrow Power tápegység 3x20W</t>
        </is>
      </c>
      <c r="C1463" s="17" t="inlineStr">
        <is>
          <t>–</t>
        </is>
      </c>
      <c r="D1463" s="17" t="inlineStr"/>
      <c r="E1463" s="17" t="inlineStr">
        <is>
          <t>Nem tartozik ide</t>
        </is>
      </c>
      <c r="F1463" s="17" t="inlineStr">
        <is>
          <t>az elmúlt 30 napban</t>
        </is>
      </c>
      <c r="G1463" s="17" t="inlineStr">
        <is>
          <t>Más főkategória terméke</t>
        </is>
      </c>
    </row>
    <row r="1464">
      <c r="A1464" s="17" t="inlineStr">
        <is>
          <t>GRO3912</t>
        </is>
      </c>
      <c r="B1464" s="17" t="inlineStr">
        <is>
          <t>Plagron Hydro Roots 100 ml</t>
        </is>
      </c>
      <c r="C1464" s="17" t="inlineStr">
        <is>
          <t>–</t>
        </is>
      </c>
      <c r="D1464" s="17" t="inlineStr"/>
      <c r="E1464" s="17" t="inlineStr">
        <is>
          <t>Nem tartozik ide</t>
        </is>
      </c>
      <c r="F1464" s="17" t="inlineStr">
        <is>
          <t>az elmúlt 30 napban</t>
        </is>
      </c>
      <c r="G1464" s="17" t="inlineStr">
        <is>
          <t>Más főkategória terméke</t>
        </is>
      </c>
    </row>
    <row r="1465">
      <c r="A1465" s="17" t="inlineStr">
        <is>
          <t>GRO3913</t>
        </is>
      </c>
      <c r="B1465" s="17" t="inlineStr">
        <is>
          <t>Plagron Hydro Roots 250 ml</t>
        </is>
      </c>
      <c r="C1465" s="17" t="inlineStr">
        <is>
          <t>–</t>
        </is>
      </c>
      <c r="D1465" s="17" t="inlineStr"/>
      <c r="E1465" s="17" t="inlineStr">
        <is>
          <t>Nem tartozik ide</t>
        </is>
      </c>
      <c r="F1465" s="17" t="inlineStr">
        <is>
          <t>az elmúlt 30 napban</t>
        </is>
      </c>
      <c r="G1465" s="17" t="inlineStr">
        <is>
          <t>Más főkategória terméke</t>
        </is>
      </c>
    </row>
    <row r="1466">
      <c r="A1466" s="17" t="inlineStr">
        <is>
          <t>GRO3914</t>
        </is>
      </c>
      <c r="B1466" s="17" t="inlineStr">
        <is>
          <t>Plagron pH plus 500 ml</t>
        </is>
      </c>
      <c r="C1466" s="17" t="inlineStr">
        <is>
          <t>–</t>
        </is>
      </c>
      <c r="D1466" s="17" t="inlineStr"/>
      <c r="E1466" s="17" t="inlineStr">
        <is>
          <t>Nem tartozik ide</t>
        </is>
      </c>
      <c r="F1466" s="17" t="inlineStr">
        <is>
          <t>az elmúlt 30 napban</t>
        </is>
      </c>
      <c r="G1466" s="17" t="inlineStr">
        <is>
          <t>Más főkategória terméke</t>
        </is>
      </c>
    </row>
    <row r="1467">
      <c r="A1467" s="17" t="inlineStr">
        <is>
          <t>GRO3915</t>
        </is>
      </c>
      <c r="B1467" s="17" t="inlineStr">
        <is>
          <t>Plagron pH plus 1 liter</t>
        </is>
      </c>
      <c r="C1467" s="17" t="inlineStr">
        <is>
          <t>–</t>
        </is>
      </c>
      <c r="D1467" s="17" t="inlineStr"/>
      <c r="E1467" s="17" t="inlineStr">
        <is>
          <t>Nem tartozik ide</t>
        </is>
      </c>
      <c r="F1467" s="17" t="inlineStr">
        <is>
          <t>az elmúlt 30 napban</t>
        </is>
      </c>
      <c r="G1467" s="17" t="inlineStr">
        <is>
          <t>Más főkategória terméke</t>
        </is>
      </c>
    </row>
    <row r="1468">
      <c r="A1468" s="17" t="inlineStr">
        <is>
          <t>GRO3916</t>
        </is>
      </c>
      <c r="B1468" s="17" t="inlineStr">
        <is>
          <t>Plagron pH plus 5 liter</t>
        </is>
      </c>
      <c r="C1468" s="17" t="inlineStr">
        <is>
          <t>–</t>
        </is>
      </c>
      <c r="D1468" s="17" t="inlineStr"/>
      <c r="E1468" s="17" t="inlineStr">
        <is>
          <t>Nem tartozik ide</t>
        </is>
      </c>
      <c r="F1468" s="17" t="inlineStr">
        <is>
          <t>az elmúlt 30 napban</t>
        </is>
      </c>
      <c r="G1468" s="17" t="inlineStr">
        <is>
          <t>Más főkategória terméke</t>
        </is>
      </c>
    </row>
    <row r="1469">
      <c r="A1469" s="17" t="inlineStr">
        <is>
          <t>GRO3917</t>
        </is>
      </c>
      <c r="B1469" s="17" t="inlineStr">
        <is>
          <t>Plagron pH plus 10 liter</t>
        </is>
      </c>
      <c r="C1469" s="17" t="inlineStr">
        <is>
          <t>–</t>
        </is>
      </c>
      <c r="D1469" s="17" t="inlineStr"/>
      <c r="E1469" s="17" t="inlineStr">
        <is>
          <t>Nem tartozik ide</t>
        </is>
      </c>
      <c r="F1469" s="17" t="inlineStr">
        <is>
          <t>az elmúlt 30 napban</t>
        </is>
      </c>
      <c r="G1469" s="17" t="inlineStr">
        <is>
          <t>Más főkategória terméke</t>
        </is>
      </c>
    </row>
    <row r="1470">
      <c r="A1470" s="17" t="inlineStr">
        <is>
          <t>GRO3918</t>
        </is>
      </c>
      <c r="B1470" s="17" t="inlineStr">
        <is>
          <t>Plagron pH min 500 ml</t>
        </is>
      </c>
      <c r="C1470" s="17" t="inlineStr">
        <is>
          <t>–</t>
        </is>
      </c>
      <c r="D1470" s="17" t="inlineStr"/>
      <c r="E1470" s="17" t="inlineStr">
        <is>
          <t>Nem tartozik ide</t>
        </is>
      </c>
      <c r="F1470" s="17" t="inlineStr">
        <is>
          <t>az elmúlt 30 napban</t>
        </is>
      </c>
      <c r="G1470" s="17" t="inlineStr">
        <is>
          <t>Más főkategória terméke</t>
        </is>
      </c>
    </row>
    <row r="1471">
      <c r="A1471" s="17" t="inlineStr">
        <is>
          <t>GRO3919</t>
        </is>
      </c>
      <c r="B1471" s="17" t="inlineStr">
        <is>
          <t>E27 kerámia foglalat függővel</t>
        </is>
      </c>
      <c r="C1471" s="17" t="inlineStr">
        <is>
          <t>–</t>
        </is>
      </c>
      <c r="D1471" s="17" t="inlineStr"/>
      <c r="E1471" s="17" t="inlineStr">
        <is>
          <t>Nem tartozik ide</t>
        </is>
      </c>
      <c r="F1471" s="17" t="inlineStr">
        <is>
          <t>2025-10 – 2026-04</t>
        </is>
      </c>
      <c r="G1471" s="17" t="inlineStr">
        <is>
          <t>Más főkategória terméke</t>
        </is>
      </c>
    </row>
    <row r="1472">
      <c r="A1472" s="17" t="inlineStr">
        <is>
          <t>GRO3920</t>
        </is>
      </c>
      <c r="B1472" s="17" t="inlineStr">
        <is>
          <t>Cultibox Light Plus Grow Box 100</t>
        </is>
      </c>
      <c r="C1472" s="17" t="inlineStr">
        <is>
          <t>–</t>
        </is>
      </c>
      <c r="D1472" s="17" t="inlineStr"/>
      <c r="E1472" s="17" t="inlineStr">
        <is>
          <t>Nem tartozik ide</t>
        </is>
      </c>
      <c r="F1472" s="17" t="inlineStr">
        <is>
          <t>az elmúlt 30 napban</t>
        </is>
      </c>
      <c r="G1472" s="17" t="inlineStr">
        <is>
          <t>Más főkategória terméke</t>
        </is>
      </c>
    </row>
    <row r="1473">
      <c r="A1473" s="17" t="inlineStr">
        <is>
          <t>GRO3921</t>
        </is>
      </c>
      <c r="B1473" s="17" t="inlineStr">
        <is>
          <t>Cultibox Light Plus Grow Box 60</t>
        </is>
      </c>
      <c r="C1473" s="17" t="inlineStr">
        <is>
          <t>–</t>
        </is>
      </c>
      <c r="D1473" s="17" t="inlineStr"/>
      <c r="E1473" s="17" t="inlineStr">
        <is>
          <t>Nem tartozik ide</t>
        </is>
      </c>
      <c r="F1473" s="17" t="inlineStr">
        <is>
          <t>2024-10 – 2025-09 (lehet, hogy már nem aktív)</t>
        </is>
      </c>
      <c r="G1473" s="17" t="inlineStr">
        <is>
          <t>Más főkategória terméke</t>
        </is>
      </c>
    </row>
    <row r="1474">
      <c r="A1474" s="17" t="inlineStr">
        <is>
          <t>GRO3922</t>
        </is>
      </c>
      <c r="B1474" s="17" t="inlineStr">
        <is>
          <t>Cultibox Light Plus Grow Box 80</t>
        </is>
      </c>
      <c r="C1474" s="17" t="inlineStr">
        <is>
          <t>–</t>
        </is>
      </c>
      <c r="D1474" s="17" t="inlineStr"/>
      <c r="E1474" s="17" t="inlineStr">
        <is>
          <t>Nem tartozik ide</t>
        </is>
      </c>
      <c r="F1474" s="17" t="inlineStr">
        <is>
          <t>az elmúlt 30 napban</t>
        </is>
      </c>
      <c r="G1474" s="17" t="inlineStr">
        <is>
          <t>Más főkategória terméke</t>
        </is>
      </c>
    </row>
    <row r="1475">
      <c r="A1475" s="17" t="inlineStr">
        <is>
          <t>GRO3923</t>
        </is>
      </c>
      <c r="B1475" s="17" t="inlineStr">
        <is>
          <t>ADWA pH mérő szonda (ECO209 pH monitorhoz)</t>
        </is>
      </c>
      <c r="C1475" s="17" t="inlineStr">
        <is>
          <t>–</t>
        </is>
      </c>
      <c r="D1475" s="17" t="inlineStr"/>
      <c r="E1475" s="17" t="inlineStr">
        <is>
          <t>Nem tartozik ide</t>
        </is>
      </c>
      <c r="F1475" s="17" t="inlineStr">
        <is>
          <t>az elmúlt 30 napban</t>
        </is>
      </c>
      <c r="G1475" s="17" t="inlineStr">
        <is>
          <t>Más főkategória terméke</t>
        </is>
      </c>
    </row>
    <row r="1476">
      <c r="A1476" s="17" t="inlineStr">
        <is>
          <t>GRO3926</t>
        </is>
      </c>
      <c r="B1476" s="17" t="inlineStr">
        <is>
          <t>Nutriculture X-Stream propagátor (fűtés nélkül) S</t>
        </is>
      </c>
      <c r="C1476" s="17" t="inlineStr">
        <is>
          <t>–</t>
        </is>
      </c>
      <c r="D1476" s="17" t="inlineStr"/>
      <c r="E1476" s="17" t="inlineStr">
        <is>
          <t>Nem tartozik ide</t>
        </is>
      </c>
      <c r="F1476" s="17" t="inlineStr">
        <is>
          <t>2024-10 – 2025-09 (lehet, hogy már nem aktív)</t>
        </is>
      </c>
      <c r="G1476" s="17" t="inlineStr">
        <is>
          <t>Más főkategória terméke</t>
        </is>
      </c>
    </row>
    <row r="1477">
      <c r="A1477" s="17" t="inlineStr">
        <is>
          <t>GRO3927</t>
        </is>
      </c>
      <c r="B1477" s="17" t="inlineStr">
        <is>
          <t>Nutriculture X-Stream propagátor (fűtés nélkül) L</t>
        </is>
      </c>
      <c r="C1477" s="17" t="inlineStr">
        <is>
          <t>–</t>
        </is>
      </c>
      <c r="D1477" s="17" t="inlineStr"/>
      <c r="E1477" s="17" t="inlineStr">
        <is>
          <t>Nem tartozik ide</t>
        </is>
      </c>
      <c r="F1477" s="17" t="inlineStr">
        <is>
          <t>az elmúlt 30 napban</t>
        </is>
      </c>
      <c r="G1477" s="17" t="inlineStr">
        <is>
          <t>Más főkategória terméke</t>
        </is>
      </c>
    </row>
    <row r="1478">
      <c r="A1478" s="17" t="inlineStr">
        <is>
          <t>GRO3929</t>
        </is>
      </c>
      <c r="B1478" s="17" t="inlineStr">
        <is>
          <t>Peladora Rapax secret smoke Trimmelőgép</t>
        </is>
      </c>
      <c r="C1478" s="17" t="inlineStr">
        <is>
          <t>–</t>
        </is>
      </c>
      <c r="D1478" s="17" t="inlineStr"/>
      <c r="E1478" s="17" t="inlineStr">
        <is>
          <t>Nem tartozik ide</t>
        </is>
      </c>
      <c r="F1478" s="17" t="inlineStr">
        <is>
          <t>az elmúlt 30 napban</t>
        </is>
      </c>
      <c r="G1478" s="17" t="inlineStr">
        <is>
          <t>Más főkategória terméke</t>
        </is>
      </c>
    </row>
    <row r="1479">
      <c r="A1479" s="17" t="inlineStr">
        <is>
          <t>GRO3930</t>
        </is>
      </c>
      <c r="B1479" s="17" t="inlineStr">
        <is>
          <t>Agrolite LED QB 750 W</t>
        </is>
      </c>
      <c r="C1479" s="17" t="inlineStr">
        <is>
          <t>–</t>
        </is>
      </c>
      <c r="D1479" s="17" t="inlineStr"/>
      <c r="E1479" s="17" t="inlineStr">
        <is>
          <t>Nem tartozik ide</t>
        </is>
      </c>
      <c r="F1479" s="17" t="inlineStr">
        <is>
          <t>2024-10 – 2025-09 (lehet, hogy már nem aktív)</t>
        </is>
      </c>
      <c r="G1479" s="17" t="inlineStr">
        <is>
          <t>Más főkategória terméke</t>
        </is>
      </c>
    </row>
    <row r="1480">
      <c r="A1480" s="17" t="inlineStr">
        <is>
          <t>GRO3931</t>
        </is>
      </c>
      <c r="B1480" s="17" t="inlineStr">
        <is>
          <t>HortiONE Growing LED hortiONE420</t>
        </is>
      </c>
      <c r="C1480" s="17" t="inlineStr">
        <is>
          <t>–</t>
        </is>
      </c>
      <c r="D1480" s="17" t="inlineStr"/>
      <c r="E1480" s="17" t="inlineStr">
        <is>
          <t>Nem tartozik ide</t>
        </is>
      </c>
      <c r="F1480" s="17" t="inlineStr">
        <is>
          <t>az elmúlt 30 napban</t>
        </is>
      </c>
      <c r="G1480" s="17" t="inlineStr">
        <is>
          <t>Más főkategória terméke</t>
        </is>
      </c>
    </row>
    <row r="1481">
      <c r="A1481" s="17" t="inlineStr">
        <is>
          <t>GRO3932</t>
        </is>
      </c>
      <c r="B1481" s="17" t="inlineStr">
        <is>
          <t>HortiONE Growing LED hortiONE600</t>
        </is>
      </c>
      <c r="C1481" s="17" t="inlineStr">
        <is>
          <t>–</t>
        </is>
      </c>
      <c r="D1481" s="17" t="inlineStr"/>
      <c r="E1481" s="17" t="inlineStr">
        <is>
          <t>Nem tartozik ide</t>
        </is>
      </c>
      <c r="F1481" s="17" t="inlineStr">
        <is>
          <t>az elmúlt 30 napban</t>
        </is>
      </c>
      <c r="G1481" s="17" t="inlineStr">
        <is>
          <t>Más főkategória terméke</t>
        </is>
      </c>
    </row>
    <row r="1482">
      <c r="A1482" s="17" t="inlineStr">
        <is>
          <t>GRO3933</t>
        </is>
      </c>
      <c r="B1482" s="17" t="inlineStr">
        <is>
          <t>Growth Technology pH kalibráló folyadék 4.01 1 liter</t>
        </is>
      </c>
      <c r="C1482" s="17" t="inlineStr">
        <is>
          <t>–</t>
        </is>
      </c>
      <c r="D1482" s="17" t="inlineStr"/>
      <c r="E1482" s="17" t="inlineStr">
        <is>
          <t>Nem tartozik ide</t>
        </is>
      </c>
      <c r="F1482" s="17" t="inlineStr">
        <is>
          <t>az elmúlt 30 napban</t>
        </is>
      </c>
      <c r="G1482" s="17" t="inlineStr">
        <is>
          <t>Más főkategória terméke</t>
        </is>
      </c>
    </row>
    <row r="1483">
      <c r="A1483" s="17" t="inlineStr">
        <is>
          <t>GRO3934</t>
        </is>
      </c>
      <c r="B1483" s="17" t="inlineStr">
        <is>
          <t>Growth Technology pH kalibráló folyadék 4.01 300 ml</t>
        </is>
      </c>
      <c r="C1483" s="17" t="inlineStr">
        <is>
          <t>–</t>
        </is>
      </c>
      <c r="D1483" s="17" t="inlineStr"/>
      <c r="E1483" s="17" t="inlineStr">
        <is>
          <t>Nem tartozik ide</t>
        </is>
      </c>
      <c r="F1483" s="17" t="inlineStr">
        <is>
          <t>2025-10 – 2026-04</t>
        </is>
      </c>
      <c r="G1483" s="17" t="inlineStr">
        <is>
          <t>Más főkategória terméke</t>
        </is>
      </c>
    </row>
    <row r="1484">
      <c r="A1484" s="17" t="inlineStr">
        <is>
          <t>GRO3935</t>
        </is>
      </c>
      <c r="B1484" s="17" t="inlineStr">
        <is>
          <t>Growth Technology pH kalibráló folyadék 7.01</t>
        </is>
      </c>
      <c r="C1484" s="17" t="inlineStr">
        <is>
          <t>–</t>
        </is>
      </c>
      <c r="D1484" s="17" t="inlineStr"/>
      <c r="E1484" s="17" t="inlineStr">
        <is>
          <t>Nem tartozik ide</t>
        </is>
      </c>
      <c r="F1484" s="17" t="inlineStr">
        <is>
          <t>2025-10 – 2026-04</t>
        </is>
      </c>
      <c r="G1484" s="17" t="inlineStr">
        <is>
          <t>Más főkategória terméke</t>
        </is>
      </c>
    </row>
    <row r="1485">
      <c r="A1485" s="17" t="inlineStr">
        <is>
          <t>GRO3936</t>
        </is>
      </c>
      <c r="B1485" s="17" t="inlineStr">
        <is>
          <t>ONA Block szagsemlegesítő tömb Lemongrass</t>
        </is>
      </c>
      <c r="C1485" s="17" t="inlineStr">
        <is>
          <t>–</t>
        </is>
      </c>
      <c r="D1485" s="17" t="inlineStr"/>
      <c r="E1485" s="17" t="inlineStr">
        <is>
          <t>Nem tartozik ide</t>
        </is>
      </c>
      <c r="F1485" s="17" t="inlineStr">
        <is>
          <t>az elmúlt 6 hónapban</t>
        </is>
      </c>
      <c r="G1485" s="17" t="inlineStr">
        <is>
          <t>Más főkategória terméke</t>
        </is>
      </c>
    </row>
    <row r="1486">
      <c r="A1486" s="17" t="inlineStr">
        <is>
          <t>GRO3937</t>
        </is>
      </c>
      <c r="B1486" s="17" t="inlineStr">
        <is>
          <t>ONA Gel szagsemlegesítő zselé (Lemongrass) 4 liter</t>
        </is>
      </c>
      <c r="C1486" s="17" t="inlineStr">
        <is>
          <t>–</t>
        </is>
      </c>
      <c r="D1486" s="17" t="inlineStr"/>
      <c r="E1486" s="17" t="inlineStr">
        <is>
          <t>Nem tartozik ide</t>
        </is>
      </c>
      <c r="F1486" s="17" t="inlineStr">
        <is>
          <t>az elmúlt 30 napban</t>
        </is>
      </c>
      <c r="G1486" s="17" t="inlineStr">
        <is>
          <t>Más főkategória terméke</t>
        </is>
      </c>
    </row>
    <row r="1487">
      <c r="A1487" s="17" t="inlineStr">
        <is>
          <t>GRO3938</t>
        </is>
      </c>
      <c r="B1487" s="17" t="inlineStr">
        <is>
          <t>ONA Gel szagsemlegesítő zselé (Lemongrass) 500 ml</t>
        </is>
      </c>
      <c r="C1487" s="17" t="inlineStr">
        <is>
          <t>–</t>
        </is>
      </c>
      <c r="D1487" s="17" t="inlineStr"/>
      <c r="E1487" s="17" t="inlineStr">
        <is>
          <t>Nem tartozik ide</t>
        </is>
      </c>
      <c r="F1487" s="17" t="inlineStr">
        <is>
          <t>az elmúlt 30 napban</t>
        </is>
      </c>
      <c r="G1487" s="17" t="inlineStr">
        <is>
          <t>Más főkategória terméke</t>
        </is>
      </c>
    </row>
    <row r="1488">
      <c r="A1488" s="17" t="inlineStr">
        <is>
          <t>GRO3939</t>
        </is>
      </c>
      <c r="B1488" s="17" t="inlineStr">
        <is>
          <t>ONA Gel szagsemlegesítő zselé (Lemongrass) 1 liter</t>
        </is>
      </c>
      <c r="C1488" s="17" t="inlineStr">
        <is>
          <t>–</t>
        </is>
      </c>
      <c r="D1488" s="17" t="inlineStr"/>
      <c r="E1488" s="17" t="inlineStr">
        <is>
          <t>Nem tartozik ide</t>
        </is>
      </c>
      <c r="F1488" s="17" t="inlineStr">
        <is>
          <t>az elmúlt 30 napban</t>
        </is>
      </c>
      <c r="G1488" s="17" t="inlineStr">
        <is>
          <t>Más főkategória terméke</t>
        </is>
      </c>
    </row>
    <row r="1489">
      <c r="A1489" s="17" t="inlineStr">
        <is>
          <t>GRO3940</t>
        </is>
      </c>
      <c r="B1489" s="17" t="inlineStr">
        <is>
          <t>Lumatek ZEUS PRO EVO LED 1000W 3.1</t>
        </is>
      </c>
      <c r="C1489" s="17" t="inlineStr">
        <is>
          <t>–</t>
        </is>
      </c>
      <c r="D1489" s="17" t="inlineStr"/>
      <c r="E1489" s="17" t="inlineStr">
        <is>
          <t>Nem tartozik ide</t>
        </is>
      </c>
      <c r="F1489" s="17" t="inlineStr">
        <is>
          <t>2025-10 – 2026-04</t>
        </is>
      </c>
      <c r="G1489" s="17" t="inlineStr">
        <is>
          <t>Más főkategória terméke</t>
        </is>
      </c>
    </row>
    <row r="1490">
      <c r="A1490" s="17" t="inlineStr">
        <is>
          <t>GRO3946</t>
        </is>
      </c>
      <c r="B1490" s="17" t="inlineStr">
        <is>
          <t>Prima Klima Industry Line K1600 280 m3/h Pre Filter</t>
        </is>
      </c>
      <c r="C1490" s="17" t="inlineStr">
        <is>
          <t>–</t>
        </is>
      </c>
      <c r="D1490" s="17" t="inlineStr"/>
      <c r="E1490" s="17" t="inlineStr">
        <is>
          <t>Nem tartozik ide</t>
        </is>
      </c>
      <c r="F1490" s="17" t="inlineStr">
        <is>
          <t>az elmúlt 30 napban</t>
        </is>
      </c>
      <c r="G1490" s="17" t="inlineStr">
        <is>
          <t>Más főkategória terméke</t>
        </is>
      </c>
    </row>
    <row r="1491">
      <c r="A1491" s="17" t="inlineStr">
        <is>
          <t>GRO3948</t>
        </is>
      </c>
      <c r="B1491" s="17" t="inlineStr">
        <is>
          <t>Prima Klima Industry Line K1603 460 m3/h Pre Filter</t>
        </is>
      </c>
      <c r="C1491" s="17" t="inlineStr">
        <is>
          <t>–</t>
        </is>
      </c>
      <c r="D1491" s="17" t="inlineStr"/>
      <c r="E1491" s="17" t="inlineStr">
        <is>
          <t>Nem tartozik ide</t>
        </is>
      </c>
      <c r="F1491" s="17" t="inlineStr">
        <is>
          <t>az elmúlt 30 napban</t>
        </is>
      </c>
      <c r="G1491" s="17" t="inlineStr">
        <is>
          <t>Más főkategória terméke</t>
        </is>
      </c>
    </row>
    <row r="1492">
      <c r="A1492" s="17" t="inlineStr">
        <is>
          <t>GRO3949</t>
        </is>
      </c>
      <c r="B1492" s="17" t="inlineStr">
        <is>
          <t>Prima Klima Industry Line K1604 700 m3/h Pre Filter</t>
        </is>
      </c>
      <c r="C1492" s="17" t="inlineStr">
        <is>
          <t>–</t>
        </is>
      </c>
      <c r="D1492" s="17" t="inlineStr"/>
      <c r="E1492" s="17" t="inlineStr">
        <is>
          <t>Nem tartozik ide</t>
        </is>
      </c>
      <c r="F1492" s="17" t="inlineStr">
        <is>
          <t>az elmúlt 30 napban</t>
        </is>
      </c>
      <c r="G1492" s="17" t="inlineStr">
        <is>
          <t>Más főkategória terméke</t>
        </is>
      </c>
    </row>
    <row r="1493">
      <c r="A1493" s="17" t="inlineStr">
        <is>
          <t>GRO3950</t>
        </is>
      </c>
      <c r="B1493" s="17" t="inlineStr">
        <is>
          <t>Prima Klima Industry Line K1607 720 m3/h Pre Filter</t>
        </is>
      </c>
      <c r="C1493" s="17" t="inlineStr">
        <is>
          <t>–</t>
        </is>
      </c>
      <c r="D1493" s="17" t="inlineStr"/>
      <c r="E1493" s="17" t="inlineStr">
        <is>
          <t>Nem tartozik ide</t>
        </is>
      </c>
      <c r="F1493" s="17" t="inlineStr">
        <is>
          <t>az elmúlt 6 hónapban</t>
        </is>
      </c>
      <c r="G1493" s="17" t="inlineStr">
        <is>
          <t>Más főkategória terméke</t>
        </is>
      </c>
    </row>
    <row r="1494">
      <c r="A1494" s="17" t="inlineStr">
        <is>
          <t>GRO3951</t>
        </is>
      </c>
      <c r="B1494" s="17" t="inlineStr">
        <is>
          <t>Prima Klima Industry Line előszűrő (K1608 szénszűrőhöz)</t>
        </is>
      </c>
      <c r="C1494" s="17" t="inlineStr">
        <is>
          <t>–</t>
        </is>
      </c>
      <c r="D1494" s="17" t="inlineStr"/>
      <c r="E1494" s="17" t="inlineStr">
        <is>
          <t>Nem tartozik ide</t>
        </is>
      </c>
      <c r="F1494" s="17" t="inlineStr">
        <is>
          <t>2025-10 – 2026-04</t>
        </is>
      </c>
      <c r="G1494" s="17" t="inlineStr">
        <is>
          <t>Más főkategória terméke</t>
        </is>
      </c>
    </row>
    <row r="1495">
      <c r="A1495" s="17" t="inlineStr">
        <is>
          <t>GRO3953</t>
        </is>
      </c>
      <c r="B1495" s="17" t="inlineStr">
        <is>
          <t>Prima Klima Industry Line K1610 1650 m3/h Pre Filter</t>
        </is>
      </c>
      <c r="C1495" s="17" t="inlineStr">
        <is>
          <t>–</t>
        </is>
      </c>
      <c r="D1495" s="17" t="inlineStr"/>
      <c r="E1495" s="17" t="inlineStr">
        <is>
          <t>Nem tartozik ide</t>
        </is>
      </c>
      <c r="F1495" s="17" t="inlineStr">
        <is>
          <t>az elmúlt 30 napban</t>
        </is>
      </c>
      <c r="G1495" s="17" t="inlineStr">
        <is>
          <t>Más főkategória terméke</t>
        </is>
      </c>
    </row>
    <row r="1496">
      <c r="A1496" s="17" t="inlineStr">
        <is>
          <t>GRO3954</t>
        </is>
      </c>
      <c r="B1496" s="17" t="inlineStr">
        <is>
          <t>Aqua Master P50 Pro pH mérő</t>
        </is>
      </c>
      <c r="C1496" s="17" t="inlineStr">
        <is>
          <t>–</t>
        </is>
      </c>
      <c r="D1496" s="17" t="inlineStr"/>
      <c r="E1496" s="17" t="inlineStr">
        <is>
          <t>Nem tartozik ide</t>
        </is>
      </c>
      <c r="F1496" s="17" t="inlineStr">
        <is>
          <t>2025-10 – 2026-04</t>
        </is>
      </c>
      <c r="G1496" s="17" t="inlineStr">
        <is>
          <t>Más főkategória terméke</t>
        </is>
      </c>
    </row>
    <row r="1497">
      <c r="A1497" s="17" t="inlineStr">
        <is>
          <t>GRO3955</t>
        </is>
      </c>
      <c r="B1497" s="17" t="inlineStr">
        <is>
          <t>Aqua Master E50 Pro EC mérő</t>
        </is>
      </c>
      <c r="C1497" s="17" t="inlineStr">
        <is>
          <t>–</t>
        </is>
      </c>
      <c r="D1497" s="17" t="inlineStr"/>
      <c r="E1497" s="17" t="inlineStr">
        <is>
          <t>Nem tartozik ide</t>
        </is>
      </c>
      <c r="F1497" s="17" t="inlineStr">
        <is>
          <t>2024-10 – 2025-09 (lehet, hogy már nem aktív)</t>
        </is>
      </c>
      <c r="G1497" s="17" t="inlineStr">
        <is>
          <t>Más főkategória terméke</t>
        </is>
      </c>
    </row>
    <row r="1498">
      <c r="A1498" s="17" t="inlineStr">
        <is>
          <t>GRO3956</t>
        </is>
      </c>
      <c r="B1498" s="17" t="inlineStr">
        <is>
          <t>Aqua Master P110 Pro kombinált pH és EC mérő</t>
        </is>
      </c>
      <c r="C1498" s="17" t="inlineStr">
        <is>
          <t>–</t>
        </is>
      </c>
      <c r="D1498" s="17" t="inlineStr"/>
      <c r="E1498" s="17" t="inlineStr">
        <is>
          <t>Nem tartozik ide</t>
        </is>
      </c>
      <c r="F1498" s="17" t="inlineStr">
        <is>
          <t>2024-10 – 2025-09 (lehet, hogy már nem aktív)</t>
        </is>
      </c>
      <c r="G1498" s="17" t="inlineStr">
        <is>
          <t>Más főkategória terméke</t>
        </is>
      </c>
    </row>
    <row r="1499">
      <c r="A1499" s="17" t="inlineStr">
        <is>
          <t>GRO3957</t>
        </is>
      </c>
      <c r="B1499" s="17" t="inlineStr">
        <is>
          <t>Aqua Master S300 Pro2 talaj pH mérő</t>
        </is>
      </c>
      <c r="C1499" s="17" t="inlineStr">
        <is>
          <t>–</t>
        </is>
      </c>
      <c r="D1499" s="17" t="inlineStr"/>
      <c r="E1499" s="17" t="inlineStr">
        <is>
          <t>Nem tartozik ide</t>
        </is>
      </c>
      <c r="F1499" s="17" t="inlineStr">
        <is>
          <t>az elmúlt 6 hónapban</t>
        </is>
      </c>
      <c r="G1499" s="17" t="inlineStr">
        <is>
          <t>Más főkategória terméke</t>
        </is>
      </c>
    </row>
    <row r="1500">
      <c r="A1500" s="17" t="inlineStr">
        <is>
          <t>GRO3958</t>
        </is>
      </c>
      <c r="B1500" s="17" t="inlineStr">
        <is>
          <t>Aqua Master E300 Pro talaj EC mérő</t>
        </is>
      </c>
      <c r="C1500" s="17" t="inlineStr">
        <is>
          <t>–</t>
        </is>
      </c>
      <c r="D1500" s="17" t="inlineStr"/>
      <c r="E1500" s="17" t="inlineStr">
        <is>
          <t>Nem tartozik ide</t>
        </is>
      </c>
      <c r="F1500" s="17" t="inlineStr">
        <is>
          <t>az elmúlt 30 napban</t>
        </is>
      </c>
      <c r="G1500" s="17" t="inlineStr">
        <is>
          <t>Más főkategória terméke</t>
        </is>
      </c>
    </row>
    <row r="1501">
      <c r="A1501" s="17" t="inlineStr">
        <is>
          <t>GRO3959</t>
        </is>
      </c>
      <c r="B1501" s="17" t="inlineStr">
        <is>
          <t>Aqua Master H600 Pro folyadék pH, EC, PPM, TDS mérő (tokkal)</t>
        </is>
      </c>
      <c r="C1501" s="17" t="inlineStr">
        <is>
          <t>–</t>
        </is>
      </c>
      <c r="D1501" s="17" t="inlineStr"/>
      <c r="E1501" s="17" t="inlineStr">
        <is>
          <t>Nem tartozik ide</t>
        </is>
      </c>
      <c r="F1501" s="17" t="inlineStr">
        <is>
          <t>az elmúlt 30 napban</t>
        </is>
      </c>
      <c r="G1501" s="17" t="inlineStr">
        <is>
          <t>Más főkategória terméke</t>
        </is>
      </c>
    </row>
    <row r="1502">
      <c r="A1502" s="17" t="inlineStr">
        <is>
          <t>GRO3960</t>
        </is>
      </c>
      <c r="B1502" s="17" t="inlineStr">
        <is>
          <t>Aqua Master H600 Pro talaj pH, EC, PPM, TDS mérő (tokkal)</t>
        </is>
      </c>
      <c r="C1502" s="17" t="inlineStr">
        <is>
          <t>–</t>
        </is>
      </c>
      <c r="D1502" s="17" t="inlineStr"/>
      <c r="E1502" s="17" t="inlineStr">
        <is>
          <t>Nem tartozik ide</t>
        </is>
      </c>
      <c r="F1502" s="17" t="inlineStr">
        <is>
          <t>az elmúlt 30 napban</t>
        </is>
      </c>
      <c r="G1502" s="17" t="inlineStr">
        <is>
          <t>Más főkategória terméke</t>
        </is>
      </c>
    </row>
    <row r="1503">
      <c r="A1503" s="17" t="inlineStr">
        <is>
          <t>GRO3961</t>
        </is>
      </c>
      <c r="B1503" s="17" t="inlineStr">
        <is>
          <t>Aqua Master P700 Pro2 Combo mérő</t>
        </is>
      </c>
      <c r="C1503" s="17" t="inlineStr">
        <is>
          <t>–</t>
        </is>
      </c>
      <c r="D1503" s="17" t="inlineStr"/>
      <c r="E1503" s="17" t="inlineStr">
        <is>
          <t>Nem tartozik ide</t>
        </is>
      </c>
      <c r="F1503" s="17" t="inlineStr">
        <is>
          <t>az elmúlt 30 napban</t>
        </is>
      </c>
      <c r="G1503" s="17" t="inlineStr">
        <is>
          <t>Más főkategória terméke</t>
        </is>
      </c>
    </row>
    <row r="1504">
      <c r="A1504" s="17" t="inlineStr">
        <is>
          <t>GRO3962</t>
        </is>
      </c>
      <c r="B1504" s="17" t="inlineStr">
        <is>
          <t>Aqua Master pH szonda P50 Pro mérőhöz</t>
        </is>
      </c>
      <c r="C1504" s="17" t="inlineStr">
        <is>
          <t>–</t>
        </is>
      </c>
      <c r="D1504" s="17" t="inlineStr"/>
      <c r="E1504" s="17" t="inlineStr">
        <is>
          <t>Nem tartozik ide</t>
        </is>
      </c>
      <c r="F1504" s="17" t="inlineStr">
        <is>
          <t>az elmúlt 30 napban</t>
        </is>
      </c>
      <c r="G1504" s="17" t="inlineStr">
        <is>
          <t>Más főkategória terméke</t>
        </is>
      </c>
    </row>
    <row r="1505">
      <c r="A1505" s="17" t="inlineStr">
        <is>
          <t>GRO3963</t>
        </is>
      </c>
      <c r="B1505" s="17" t="inlineStr">
        <is>
          <t>Aqua Master pH szonda P110 Pro mérőhöz</t>
        </is>
      </c>
      <c r="C1505" s="17" t="inlineStr">
        <is>
          <t>–</t>
        </is>
      </c>
      <c r="D1505" s="17" t="inlineStr"/>
      <c r="E1505" s="17" t="inlineStr">
        <is>
          <t>Nem tartozik ide</t>
        </is>
      </c>
      <c r="F1505" s="17" t="inlineStr">
        <is>
          <t>az elmúlt 30 napban</t>
        </is>
      </c>
      <c r="G1505" s="17" t="inlineStr">
        <is>
          <t>Más főkategória terméke</t>
        </is>
      </c>
    </row>
    <row r="1506">
      <c r="A1506" s="17" t="inlineStr">
        <is>
          <t>GRO3964</t>
        </is>
      </c>
      <c r="B1506" s="17" t="inlineStr">
        <is>
          <t>Aqua Master EC kalibráló folyadék 12,88</t>
        </is>
      </c>
      <c r="C1506" s="17" t="inlineStr">
        <is>
          <t>–</t>
        </is>
      </c>
      <c r="D1506" s="17" t="inlineStr"/>
      <c r="E1506" s="17" t="inlineStr">
        <is>
          <t>Nem tartozik ide</t>
        </is>
      </c>
      <c r="F1506" s="17" t="inlineStr">
        <is>
          <t>az elmúlt 30 napban</t>
        </is>
      </c>
      <c r="G1506" s="17" t="inlineStr">
        <is>
          <t>Más főkategória terméke</t>
        </is>
      </c>
    </row>
    <row r="1507">
      <c r="A1507" s="17" t="inlineStr">
        <is>
          <t>GRO3965</t>
        </is>
      </c>
      <c r="B1507" s="17" t="inlineStr">
        <is>
          <t>Aqua Master EC kalibráló folyadék 1413</t>
        </is>
      </c>
      <c r="C1507" s="17" t="inlineStr">
        <is>
          <t>–</t>
        </is>
      </c>
      <c r="D1507" s="17" t="inlineStr"/>
      <c r="E1507" s="17" t="inlineStr">
        <is>
          <t>Nem tartozik ide</t>
        </is>
      </c>
      <c r="F1507" s="17" t="inlineStr">
        <is>
          <t>az elmúlt 30 napban</t>
        </is>
      </c>
      <c r="G1507" s="17" t="inlineStr">
        <is>
          <t>Más főkategória terméke</t>
        </is>
      </c>
    </row>
    <row r="1508">
      <c r="A1508" s="17" t="inlineStr">
        <is>
          <t>GRO3966</t>
        </is>
      </c>
      <c r="B1508" s="17" t="inlineStr">
        <is>
          <t>Aqua Master pH kalibráló folyadék 7.00</t>
        </is>
      </c>
      <c r="C1508" s="17" t="inlineStr">
        <is>
          <t>–</t>
        </is>
      </c>
      <c r="D1508" s="17" t="inlineStr"/>
      <c r="E1508" s="17" t="inlineStr">
        <is>
          <t>Nem tartozik ide</t>
        </is>
      </c>
      <c r="F1508" s="17" t="inlineStr">
        <is>
          <t>az elmúlt 30 napban</t>
        </is>
      </c>
      <c r="G1508" s="17" t="inlineStr">
        <is>
          <t>Más főkategória terméke</t>
        </is>
      </c>
    </row>
    <row r="1509">
      <c r="A1509" s="17" t="inlineStr">
        <is>
          <t>GRO3967</t>
        </is>
      </c>
      <c r="B1509" s="17" t="inlineStr">
        <is>
          <t>Aqua Master pH kalibráló folyadék 4,01</t>
        </is>
      </c>
      <c r="C1509" s="17" t="inlineStr">
        <is>
          <t>–</t>
        </is>
      </c>
      <c r="D1509" s="17" t="inlineStr"/>
      <c r="E1509" s="17" t="inlineStr">
        <is>
          <t>Nem tartozik ide</t>
        </is>
      </c>
      <c r="F1509" s="17" t="inlineStr">
        <is>
          <t>az elmúlt 30 napban</t>
        </is>
      </c>
      <c r="G1509" s="17" t="inlineStr">
        <is>
          <t>Más főkategória terméke</t>
        </is>
      </c>
    </row>
    <row r="1510">
      <c r="A1510" s="17" t="inlineStr">
        <is>
          <t>GRO3968</t>
        </is>
      </c>
      <c r="B1510" s="17" t="inlineStr">
        <is>
          <t>Aqua Master KCI tároló folyadék</t>
        </is>
      </c>
      <c r="C1510" s="17" t="inlineStr">
        <is>
          <t>–</t>
        </is>
      </c>
      <c r="D1510" s="17" t="inlineStr"/>
      <c r="E1510" s="17" t="inlineStr">
        <is>
          <t>Nem tartozik ide</t>
        </is>
      </c>
      <c r="F1510" s="17" t="inlineStr">
        <is>
          <t>az elmúlt 30 napban</t>
        </is>
      </c>
      <c r="G1510" s="17" t="inlineStr">
        <is>
          <t>Más főkategória terméke</t>
        </is>
      </c>
    </row>
    <row r="1511">
      <c r="A1511" s="17" t="inlineStr">
        <is>
          <t>GRO3969</t>
        </is>
      </c>
      <c r="B1511" s="17" t="inlineStr">
        <is>
          <t>Aqua Master EC kalibráló folyadék 3.0</t>
        </is>
      </c>
      <c r="C1511" s="17" t="inlineStr">
        <is>
          <t>–</t>
        </is>
      </c>
      <c r="D1511" s="17" t="inlineStr"/>
      <c r="E1511" s="17" t="inlineStr">
        <is>
          <t>Nem tartozik ide</t>
        </is>
      </c>
      <c r="F1511" s="17" t="inlineStr">
        <is>
          <t>az elmúlt 30 napban</t>
        </is>
      </c>
      <c r="G1511" s="17" t="inlineStr">
        <is>
          <t>Más főkategória terméke</t>
        </is>
      </c>
    </row>
    <row r="1512">
      <c r="A1512" s="17" t="inlineStr">
        <is>
          <t>GRO3970</t>
        </is>
      </c>
      <c r="B1512" s="17" t="inlineStr">
        <is>
          <t>Prima klima PK125WHSP-EC29 Ventilátor 125 mm 450 m3/h</t>
        </is>
      </c>
      <c r="C1512" s="17" t="inlineStr">
        <is>
          <t>–</t>
        </is>
      </c>
      <c r="D1512" s="17" t="inlineStr"/>
      <c r="E1512" s="17" t="inlineStr">
        <is>
          <t>Nem tartozik ide</t>
        </is>
      </c>
      <c r="F1512" s="17" t="inlineStr">
        <is>
          <t>az elmúlt 6 hónapban</t>
        </is>
      </c>
      <c r="G1512" s="17" t="inlineStr">
        <is>
          <t>Más főkategória terméke</t>
        </is>
      </c>
    </row>
    <row r="1513">
      <c r="A1513" s="17" t="inlineStr">
        <is>
          <t>GRO3971</t>
        </is>
      </c>
      <c r="B1513" s="17" t="inlineStr">
        <is>
          <t>HortiLight Grow LED 150W</t>
        </is>
      </c>
      <c r="C1513" s="17" t="inlineStr">
        <is>
          <t>–</t>
        </is>
      </c>
      <c r="D1513" s="17" t="inlineStr"/>
      <c r="E1513" s="17" t="inlineStr">
        <is>
          <t>Nem tartozik ide</t>
        </is>
      </c>
      <c r="F1513" s="17" t="inlineStr">
        <is>
          <t>az elmúlt 30 napban</t>
        </is>
      </c>
      <c r="G1513" s="17" t="inlineStr">
        <is>
          <t>Más főkategória terméke</t>
        </is>
      </c>
    </row>
    <row r="1514">
      <c r="A1514" s="17" t="inlineStr">
        <is>
          <t>GRO4002</t>
        </is>
      </c>
      <c r="B1514" s="17" t="inlineStr">
        <is>
          <t>Prima klima K1604-WHSPEC Industry line szénszűrő</t>
        </is>
      </c>
      <c r="C1514" s="17" t="inlineStr">
        <is>
          <t>–</t>
        </is>
      </c>
      <c r="D1514" s="17" t="inlineStr"/>
      <c r="E1514" s="17" t="inlineStr">
        <is>
          <t>Nem tartozik ide</t>
        </is>
      </c>
      <c r="F1514" s="17" t="inlineStr">
        <is>
          <t>az elmúlt 30 napban</t>
        </is>
      </c>
      <c r="G1514" s="17" t="inlineStr">
        <is>
          <t>Más főkategória terméke</t>
        </is>
      </c>
    </row>
    <row r="1515">
      <c r="A1515" s="17" t="inlineStr">
        <is>
          <t>GRO4003</t>
        </is>
      </c>
      <c r="B1515" s="17" t="inlineStr">
        <is>
          <t>Fortis BYD Full Spectrum LED 720 W</t>
        </is>
      </c>
      <c r="C1515" s="17" t="inlineStr">
        <is>
          <t>–</t>
        </is>
      </c>
      <c r="D1515" s="17" t="inlineStr"/>
      <c r="E1515" s="17" t="inlineStr">
        <is>
          <t>Nem tartozik ide</t>
        </is>
      </c>
      <c r="F1515" s="17" t="inlineStr">
        <is>
          <t>az elmúlt 30 napban</t>
        </is>
      </c>
      <c r="G1515" s="17" t="inlineStr">
        <is>
          <t>Más főkategória terméke</t>
        </is>
      </c>
    </row>
    <row r="1516">
      <c r="A1516" s="17" t="inlineStr">
        <is>
          <t>GRO4004</t>
        </is>
      </c>
      <c r="B1516" s="17" t="inlineStr">
        <is>
          <t>Fortis Master digitális trafó</t>
        </is>
      </c>
      <c r="C1516" s="17" t="inlineStr">
        <is>
          <t>–</t>
        </is>
      </c>
      <c r="D1516" s="17" t="inlineStr"/>
      <c r="E1516" s="17" t="inlineStr">
        <is>
          <t>Nem tartozik ide</t>
        </is>
      </c>
      <c r="F1516" s="17" t="inlineStr">
        <is>
          <t>az elmúlt 30 napban</t>
        </is>
      </c>
      <c r="G1516" s="17" t="inlineStr">
        <is>
          <t>Más főkategória terméke</t>
        </is>
      </c>
    </row>
    <row r="1517">
      <c r="A1517" s="17" t="inlineStr">
        <is>
          <t>GRO4005</t>
        </is>
      </c>
      <c r="B1517" s="17" t="inlineStr">
        <is>
          <t>Bluelab pH és EC starter pack</t>
        </is>
      </c>
      <c r="C1517" s="17" t="inlineStr">
        <is>
          <t>–</t>
        </is>
      </c>
      <c r="D1517" s="17" t="inlineStr"/>
      <c r="E1517" s="17" t="inlineStr">
        <is>
          <t>Nem tartozik ide</t>
        </is>
      </c>
      <c r="F1517" s="17" t="inlineStr">
        <is>
          <t>az elmúlt 30 napban</t>
        </is>
      </c>
      <c r="G1517" s="17" t="inlineStr">
        <is>
          <t>Más főkategória terméke</t>
        </is>
      </c>
    </row>
    <row r="1518">
      <c r="A1518" s="17" t="inlineStr">
        <is>
          <t>GRO4006</t>
        </is>
      </c>
      <c r="B1518" s="17" t="inlineStr">
        <is>
          <t>Bluelab OnePen (pH, EC)</t>
        </is>
      </c>
      <c r="C1518" s="17" t="inlineStr">
        <is>
          <t>–</t>
        </is>
      </c>
      <c r="D1518" s="17" t="inlineStr"/>
      <c r="E1518" s="17" t="inlineStr">
        <is>
          <t>Nem tartozik ide</t>
        </is>
      </c>
      <c r="F1518" s="17" t="inlineStr">
        <is>
          <t>az elmúlt 30 napban</t>
        </is>
      </c>
      <c r="G1518" s="17" t="inlineStr">
        <is>
          <t>Más főkategória terméke</t>
        </is>
      </c>
    </row>
    <row r="1519">
      <c r="A1519" s="17" t="inlineStr">
        <is>
          <t>GRO4007</t>
        </is>
      </c>
      <c r="B1519" s="17" t="inlineStr">
        <is>
          <t>Bluelab pH szabályozó Wi-Fi</t>
        </is>
      </c>
      <c r="C1519" s="17" t="inlineStr">
        <is>
          <t>–</t>
        </is>
      </c>
      <c r="D1519" s="17" t="inlineStr"/>
      <c r="E1519" s="17" t="inlineStr">
        <is>
          <t>Nem tartozik ide</t>
        </is>
      </c>
      <c r="F1519" s="17" t="inlineStr">
        <is>
          <t>az elmúlt 30 napban</t>
        </is>
      </c>
      <c r="G1519" s="17" t="inlineStr">
        <is>
          <t>Más főkategória terméke</t>
        </is>
      </c>
    </row>
    <row r="1520">
      <c r="A1520" s="17" t="inlineStr">
        <is>
          <t>GRO4008</t>
        </is>
      </c>
      <c r="B1520" s="17" t="inlineStr">
        <is>
          <t>Bluelab Pro szabályozó Wi-Fi</t>
        </is>
      </c>
      <c r="C1520" s="17" t="inlineStr">
        <is>
          <t>–</t>
        </is>
      </c>
      <c r="D1520" s="17" t="inlineStr"/>
      <c r="E1520" s="17" t="inlineStr">
        <is>
          <t>Nem tartozik ide</t>
        </is>
      </c>
      <c r="F1520" s="17" t="inlineStr">
        <is>
          <t>az elmúlt 30 napban</t>
        </is>
      </c>
      <c r="G1520" s="17" t="inlineStr">
        <is>
          <t>Más főkategória terméke</t>
        </is>
      </c>
    </row>
    <row r="1521">
      <c r="A1521" s="17" t="inlineStr">
        <is>
          <t>GRO4009</t>
        </is>
      </c>
      <c r="B1521" s="17" t="inlineStr">
        <is>
          <t>Bluelab PeriPod M3</t>
        </is>
      </c>
      <c r="C1521" s="17" t="inlineStr">
        <is>
          <t>–</t>
        </is>
      </c>
      <c r="D1521" s="17" t="inlineStr"/>
      <c r="E1521" s="17" t="inlineStr">
        <is>
          <t>Nem tartozik ide</t>
        </is>
      </c>
      <c r="F1521" s="17" t="inlineStr">
        <is>
          <t>az elmúlt 30 napban</t>
        </is>
      </c>
      <c r="G1521" s="17" t="inlineStr">
        <is>
          <t>Más főkategória terméke</t>
        </is>
      </c>
    </row>
    <row r="1522">
      <c r="A1522" s="17" t="inlineStr">
        <is>
          <t>GRO4013</t>
        </is>
      </c>
      <c r="B1522" s="17" t="inlineStr">
        <is>
          <t>TBOX4 smart mechanikus időkapcsoló</t>
        </is>
      </c>
      <c r="C1522" s="17" t="inlineStr">
        <is>
          <t>–</t>
        </is>
      </c>
      <c r="D1522" s="17" t="inlineStr"/>
      <c r="E1522" s="17" t="inlineStr">
        <is>
          <t>Nem tartozik ide</t>
        </is>
      </c>
      <c r="F1522" s="17" t="inlineStr">
        <is>
          <t>az elmúlt 30 napban</t>
        </is>
      </c>
      <c r="G1522" s="17" t="inlineStr">
        <is>
          <t>Más főkategória terméke</t>
        </is>
      </c>
    </row>
    <row r="1523">
      <c r="A1523" s="17" t="inlineStr">
        <is>
          <t>GRO4014</t>
        </is>
      </c>
      <c r="B1523" s="17" t="inlineStr">
        <is>
          <t>TBOX6 mechanikus időkapcsoló</t>
        </is>
      </c>
      <c r="C1523" s="17" t="inlineStr">
        <is>
          <t>–</t>
        </is>
      </c>
      <c r="D1523" s="17" t="inlineStr"/>
      <c r="E1523" s="17" t="inlineStr">
        <is>
          <t>Nem tartozik ide</t>
        </is>
      </c>
      <c r="F1523" s="17" t="inlineStr">
        <is>
          <t>az elmúlt 30 napban</t>
        </is>
      </c>
      <c r="G1523" s="17" t="inlineStr">
        <is>
          <t>Más főkategória terméke</t>
        </is>
      </c>
    </row>
    <row r="1524">
      <c r="A1524" s="17" t="inlineStr">
        <is>
          <t>GRO4015</t>
        </is>
      </c>
      <c r="B1524" s="17" t="inlineStr">
        <is>
          <t>TBOX8 mechanikus időkapcsoló</t>
        </is>
      </c>
      <c r="C1524" s="17" t="inlineStr">
        <is>
          <t>–</t>
        </is>
      </c>
      <c r="D1524" s="17" t="inlineStr"/>
      <c r="E1524" s="17" t="inlineStr">
        <is>
          <t>Nem tartozik ide</t>
        </is>
      </c>
      <c r="F1524" s="17" t="inlineStr">
        <is>
          <t>az elmúlt 6 hónapban</t>
        </is>
      </c>
      <c r="G1524" s="17" t="inlineStr">
        <is>
          <t>Más főkategória terméke</t>
        </is>
      </c>
    </row>
    <row r="1525">
      <c r="A1525" s="17" t="inlineStr">
        <is>
          <t>GRO4016</t>
        </is>
      </c>
      <c r="B1525" s="17" t="inlineStr">
        <is>
          <t>TBOX12 mechanikus időkapcsoló</t>
        </is>
      </c>
      <c r="C1525" s="17" t="inlineStr">
        <is>
          <t>–</t>
        </is>
      </c>
      <c r="D1525" s="17" t="inlineStr"/>
      <c r="E1525" s="17" t="inlineStr">
        <is>
          <t>Nem tartozik ide</t>
        </is>
      </c>
      <c r="F1525" s="17" t="inlineStr">
        <is>
          <t>az elmúlt 30 napban</t>
        </is>
      </c>
      <c r="G1525" s="17" t="inlineStr">
        <is>
          <t>Más főkategória terméke</t>
        </is>
      </c>
    </row>
    <row r="1526">
      <c r="A1526" s="17" t="inlineStr">
        <is>
          <t>GRO4030</t>
        </is>
      </c>
      <c r="B1526" s="17" t="inlineStr">
        <is>
          <t>Terra Aquatica (GHE) Tripart Flora Micro Hard Water 1 liter</t>
        </is>
      </c>
      <c r="C1526" s="17" t="inlineStr">
        <is>
          <t>–</t>
        </is>
      </c>
      <c r="D1526" s="17" t="inlineStr"/>
      <c r="E1526" s="17" t="inlineStr">
        <is>
          <t>Nem tartozik ide</t>
        </is>
      </c>
      <c r="F1526" s="17" t="inlineStr">
        <is>
          <t>az elmúlt 30 napban</t>
        </is>
      </c>
      <c r="G1526" s="17" t="inlineStr">
        <is>
          <t>Más főkategória terméke</t>
        </is>
      </c>
    </row>
    <row r="1527">
      <c r="A1527" s="17" t="inlineStr">
        <is>
          <t>GRO4031</t>
        </is>
      </c>
      <c r="B1527" s="17" t="inlineStr">
        <is>
          <t>Terra Aquatica (GHE) Tripart Flora Micro Hard Water 5 liter</t>
        </is>
      </c>
      <c r="C1527" s="17" t="inlineStr">
        <is>
          <t>–</t>
        </is>
      </c>
      <c r="D1527" s="17" t="inlineStr"/>
      <c r="E1527" s="17" t="inlineStr">
        <is>
          <t>Nem tartozik ide</t>
        </is>
      </c>
      <c r="F1527" s="17" t="inlineStr">
        <is>
          <t>az elmúlt 30 napban</t>
        </is>
      </c>
      <c r="G1527" s="17" t="inlineStr">
        <is>
          <t>Más főkategória terméke</t>
        </is>
      </c>
    </row>
    <row r="1528">
      <c r="A1528" s="17" t="inlineStr">
        <is>
          <t>GRO4032</t>
        </is>
      </c>
      <c r="B1528" s="17" t="inlineStr">
        <is>
          <t>Terra Aquatica (GHE) Kalcium-Magnézium kiegészítő 1 liter</t>
        </is>
      </c>
      <c r="C1528" s="17" t="inlineStr">
        <is>
          <t>–</t>
        </is>
      </c>
      <c r="D1528" s="17" t="inlineStr"/>
      <c r="E1528" s="17" t="inlineStr">
        <is>
          <t>Nem tartozik ide</t>
        </is>
      </c>
      <c r="F1528" s="17" t="inlineStr">
        <is>
          <t>az elmúlt 30 napban</t>
        </is>
      </c>
      <c r="G1528" s="17" t="inlineStr">
        <is>
          <t>Más főkategória terméke</t>
        </is>
      </c>
    </row>
    <row r="1529">
      <c r="A1529" s="17" t="inlineStr">
        <is>
          <t>GRO4033</t>
        </is>
      </c>
      <c r="B1529" s="17" t="inlineStr">
        <is>
          <t>Terra Aquatica Silicate 1 liter</t>
        </is>
      </c>
      <c r="C1529" s="17" t="inlineStr">
        <is>
          <t>–</t>
        </is>
      </c>
      <c r="D1529" s="17" t="inlineStr"/>
      <c r="E1529" s="17" t="inlineStr">
        <is>
          <t>Nem tartozik ide</t>
        </is>
      </c>
      <c r="F1529" s="17" t="inlineStr">
        <is>
          <t>az elmúlt 30 napban</t>
        </is>
      </c>
      <c r="G1529" s="17" t="inlineStr">
        <is>
          <t>Más főkategória terméke</t>
        </is>
      </c>
    </row>
    <row r="1530">
      <c r="A1530" s="17" t="inlineStr">
        <is>
          <t>GRO4034</t>
        </is>
      </c>
      <c r="B1530" s="17" t="inlineStr">
        <is>
          <t>Terra Aquatica DryPart Grow 1 kg</t>
        </is>
      </c>
      <c r="C1530" s="17" t="inlineStr">
        <is>
          <t>–</t>
        </is>
      </c>
      <c r="D1530" s="17" t="inlineStr"/>
      <c r="E1530" s="17" t="inlineStr">
        <is>
          <t>Nem tartozik ide</t>
        </is>
      </c>
      <c r="F1530" s="17" t="inlineStr">
        <is>
          <t>az elmúlt 30 napban</t>
        </is>
      </c>
      <c r="G1530" s="17" t="inlineStr">
        <is>
          <t>Más főkategória terméke</t>
        </is>
      </c>
    </row>
    <row r="1531">
      <c r="A1531" s="17" t="inlineStr">
        <is>
          <t>GRO4035</t>
        </is>
      </c>
      <c r="B1531" s="17" t="inlineStr">
        <is>
          <t>Terra Aquatica DryPart Bloom 1 kg</t>
        </is>
      </c>
      <c r="C1531" s="17" t="inlineStr">
        <is>
          <t>–</t>
        </is>
      </c>
      <c r="D1531" s="17" t="inlineStr"/>
      <c r="E1531" s="17" t="inlineStr">
        <is>
          <t>Nem tartozik ide</t>
        </is>
      </c>
      <c r="F1531" s="17" t="inlineStr">
        <is>
          <t>az elmúlt 30 napban</t>
        </is>
      </c>
      <c r="G1531" s="17" t="inlineStr">
        <is>
          <t>Más főkategória terméke</t>
        </is>
      </c>
    </row>
    <row r="1532">
      <c r="A1532" s="17" t="inlineStr">
        <is>
          <t>GRO4037</t>
        </is>
      </c>
      <c r="B1532" s="17" t="inlineStr">
        <is>
          <t>Can Filter Can Lite Szénszűrő (acél) 2500 m3/h szűrővég: 200 mm</t>
        </is>
      </c>
      <c r="C1532" s="17" t="inlineStr">
        <is>
          <t>–</t>
        </is>
      </c>
      <c r="D1532" s="17" t="inlineStr"/>
      <c r="E1532" s="17" t="inlineStr">
        <is>
          <t>Nem tartozik ide</t>
        </is>
      </c>
      <c r="F1532" s="17" t="inlineStr">
        <is>
          <t>az elmúlt 30 napban</t>
        </is>
      </c>
      <c r="G1532" s="17" t="inlineStr">
        <is>
          <t>Más főkategória terméke</t>
        </is>
      </c>
    </row>
    <row r="1533">
      <c r="A1533" s="17" t="inlineStr">
        <is>
          <t>GRO4039</t>
        </is>
      </c>
      <c r="B1533" s="17" t="inlineStr">
        <is>
          <t>Sanlight Stixx 50 LED 54W 3.0</t>
        </is>
      </c>
      <c r="C1533" s="17" t="inlineStr">
        <is>
          <t>–</t>
        </is>
      </c>
      <c r="D1533" s="17" t="inlineStr"/>
      <c r="E1533" s="17" t="inlineStr">
        <is>
          <t>Nem tartozik ide</t>
        </is>
      </c>
      <c r="F1533" s="17" t="inlineStr">
        <is>
          <t>az elmúlt 30 napban</t>
        </is>
      </c>
      <c r="G1533" s="17" t="inlineStr">
        <is>
          <t>Más főkategória terméke</t>
        </is>
      </c>
    </row>
    <row r="1534">
      <c r="A1534" s="17" t="inlineStr">
        <is>
          <t>GRO4048</t>
        </is>
      </c>
      <c r="B1534" s="17" t="inlineStr">
        <is>
          <t>Agrolite LED QB BID 730W 2.9</t>
        </is>
      </c>
      <c r="C1534" s="17" t="inlineStr">
        <is>
          <t>–</t>
        </is>
      </c>
      <c r="D1534" s="17" t="inlineStr"/>
      <c r="E1534" s="17" t="inlineStr">
        <is>
          <t>Nem tartozik ide</t>
        </is>
      </c>
      <c r="F1534" s="17" t="inlineStr">
        <is>
          <t>az elmúlt 30 napban</t>
        </is>
      </c>
      <c r="G1534" s="17" t="inlineStr">
        <is>
          <t>Más főkategória terméke</t>
        </is>
      </c>
    </row>
    <row r="1535">
      <c r="A1535" s="17" t="inlineStr">
        <is>
          <t>GRO4080</t>
        </is>
      </c>
      <c r="B1535" s="17" t="inlineStr">
        <is>
          <t>Prima klima 125WHSP ventilátor (hőmérsékletszabályzós)</t>
        </is>
      </c>
      <c r="C1535" s="17" t="inlineStr">
        <is>
          <t>–</t>
        </is>
      </c>
      <c r="D1535" s="17" t="inlineStr"/>
      <c r="E1535" s="17" t="inlineStr">
        <is>
          <t>Nem tartozik ide</t>
        </is>
      </c>
      <c r="F1535" s="17" t="inlineStr">
        <is>
          <t>az elmúlt 30 napban</t>
        </is>
      </c>
      <c r="G1535" s="17" t="inlineStr">
        <is>
          <t>Más főkategória terméke</t>
        </is>
      </c>
    </row>
    <row r="1536">
      <c r="A1536" s="17" t="inlineStr">
        <is>
          <t>GRO4081</t>
        </is>
      </c>
      <c r="B1536" s="17" t="inlineStr">
        <is>
          <t>Prima klima 160WHSP ventilátor (hőmérsékletszabályzós)</t>
        </is>
      </c>
      <c r="C1536" s="17" t="inlineStr">
        <is>
          <t>–</t>
        </is>
      </c>
      <c r="D1536" s="17" t="inlineStr"/>
      <c r="E1536" s="17" t="inlineStr">
        <is>
          <t>Nem tartozik ide</t>
        </is>
      </c>
      <c r="F1536" s="17" t="inlineStr">
        <is>
          <t>az elmúlt 30 napban</t>
        </is>
      </c>
      <c r="G1536" s="17" t="inlineStr">
        <is>
          <t>Más főkategória terméke</t>
        </is>
      </c>
    </row>
    <row r="1537">
      <c r="A1537" s="17" t="inlineStr">
        <is>
          <t>GRO4082</t>
        </is>
      </c>
      <c r="B1537" s="17" t="inlineStr">
        <is>
          <t>Prima klima PK200EC-TC ventilátor (hőmérsékletszabályzós)</t>
        </is>
      </c>
      <c r="C1537" s="17" t="inlineStr">
        <is>
          <t>–</t>
        </is>
      </c>
      <c r="D1537" s="17" t="inlineStr"/>
      <c r="E1537" s="17" t="inlineStr">
        <is>
          <t>Nem tartozik ide</t>
        </is>
      </c>
      <c r="F1537" s="17" t="inlineStr">
        <is>
          <t>az elmúlt 30 napban</t>
        </is>
      </c>
      <c r="G1537" s="17" t="inlineStr">
        <is>
          <t>Más főkategória terméke</t>
        </is>
      </c>
    </row>
    <row r="1538">
      <c r="A1538" s="17" t="inlineStr">
        <is>
          <t>GRO4085</t>
        </is>
      </c>
      <c r="B1538" s="17" t="inlineStr">
        <is>
          <t>Terra Aquatica (GHE) TrikoLogic 10 g</t>
        </is>
      </c>
      <c r="C1538" s="17" t="inlineStr">
        <is>
          <t>–</t>
        </is>
      </c>
      <c r="D1538" s="17" t="inlineStr"/>
      <c r="E1538" s="17" t="inlineStr">
        <is>
          <t>Nem tartozik ide</t>
        </is>
      </c>
      <c r="F1538" s="17" t="inlineStr">
        <is>
          <t>az elmúlt 30 napban</t>
        </is>
      </c>
      <c r="G1538" s="17" t="inlineStr">
        <is>
          <t>Más főkategória terméke</t>
        </is>
      </c>
    </row>
    <row r="1539">
      <c r="A1539" s="17" t="inlineStr">
        <is>
          <t>GRO4086</t>
        </is>
      </c>
      <c r="B1539" s="17" t="inlineStr">
        <is>
          <t>Terra Aquatica (GHE) TrikoLogic 25 g</t>
        </is>
      </c>
      <c r="C1539" s="17" t="inlineStr">
        <is>
          <t>–</t>
        </is>
      </c>
      <c r="D1539" s="17" t="inlineStr"/>
      <c r="E1539" s="17" t="inlineStr">
        <is>
          <t>Nem tartozik ide</t>
        </is>
      </c>
      <c r="F1539" s="17" t="inlineStr">
        <is>
          <t>az elmúlt 30 napban</t>
        </is>
      </c>
      <c r="G1539" s="17" t="inlineStr">
        <is>
          <t>Más főkategória terméke</t>
        </is>
      </c>
    </row>
    <row r="1540">
      <c r="A1540" s="17" t="inlineStr">
        <is>
          <t>GRO4087</t>
        </is>
      </c>
      <c r="B1540" s="17" t="inlineStr">
        <is>
          <t>Terra Aquatica (GHE) TrikoLogic 50 g</t>
        </is>
      </c>
      <c r="C1540" s="17" t="inlineStr">
        <is>
          <t>–</t>
        </is>
      </c>
      <c r="D1540" s="17" t="inlineStr"/>
      <c r="E1540" s="17" t="inlineStr">
        <is>
          <t>Nem tartozik ide</t>
        </is>
      </c>
      <c r="F1540" s="17" t="inlineStr">
        <is>
          <t>az elmúlt 30 napban</t>
        </is>
      </c>
      <c r="G1540" s="17" t="inlineStr">
        <is>
          <t>Más főkategória terméke</t>
        </is>
      </c>
    </row>
    <row r="1541">
      <c r="A1541" s="17" t="inlineStr">
        <is>
          <t>GRO4088</t>
        </is>
      </c>
      <c r="B1541" s="17" t="inlineStr">
        <is>
          <t>Terra Aquatica (GHE) PermaBloom 1 liter</t>
        </is>
      </c>
      <c r="C1541" s="17" t="inlineStr">
        <is>
          <t>–</t>
        </is>
      </c>
      <c r="D1541" s="17" t="inlineStr"/>
      <c r="E1541" s="17" t="inlineStr">
        <is>
          <t>Nem tartozik ide</t>
        </is>
      </c>
      <c r="F1541" s="17" t="inlineStr">
        <is>
          <t>az elmúlt 30 napban</t>
        </is>
      </c>
      <c r="G1541" s="17" t="inlineStr">
        <is>
          <t>Más főkategória terméke</t>
        </is>
      </c>
    </row>
    <row r="1542">
      <c r="A1542" s="17" t="inlineStr">
        <is>
          <t>GRO4089</t>
        </is>
      </c>
      <c r="B1542" s="17" t="inlineStr">
        <is>
          <t>Terra Aquatica (GHE) Kalcium-Magnézium kiegészítő 500 ml</t>
        </is>
      </c>
      <c r="C1542" s="17" t="inlineStr">
        <is>
          <t>–</t>
        </is>
      </c>
      <c r="D1542" s="17" t="inlineStr"/>
      <c r="E1542" s="17" t="inlineStr">
        <is>
          <t>Nem tartozik ide</t>
        </is>
      </c>
      <c r="F1542" s="17" t="inlineStr">
        <is>
          <t>az elmúlt 30 napban</t>
        </is>
      </c>
      <c r="G1542" s="17" t="inlineStr">
        <is>
          <t>Más főkategória terméke</t>
        </is>
      </c>
    </row>
    <row r="1543">
      <c r="A1543" s="17" t="inlineStr">
        <is>
          <t>GRO4090</t>
        </is>
      </c>
      <c r="B1543" s="17" t="inlineStr">
        <is>
          <t>Terra Aquatica (GHE) Kalcium-Magnézium kiegészítő 5 liter</t>
        </is>
      </c>
      <c r="C1543" s="17" t="inlineStr">
        <is>
          <t>–</t>
        </is>
      </c>
      <c r="D1543" s="17" t="inlineStr"/>
      <c r="E1543" s="17" t="inlineStr">
        <is>
          <t>Nem tartozik ide</t>
        </is>
      </c>
      <c r="F1543" s="17" t="inlineStr">
        <is>
          <t>az elmúlt 30 napban</t>
        </is>
      </c>
      <c r="G1543" s="17" t="inlineStr">
        <is>
          <t>Más főkategória terméke</t>
        </is>
      </c>
    </row>
    <row r="1544">
      <c r="A1544" s="17" t="inlineStr">
        <is>
          <t>GRO4091</t>
        </is>
      </c>
      <c r="B1544" s="17" t="inlineStr">
        <is>
          <t>Terra Aquatica (GHE) Pro Organic Grow 500 ml</t>
        </is>
      </c>
      <c r="C1544" s="17" t="inlineStr">
        <is>
          <t>–</t>
        </is>
      </c>
      <c r="D1544" s="17" t="inlineStr"/>
      <c r="E1544" s="17" t="inlineStr">
        <is>
          <t>Nem tartozik ide</t>
        </is>
      </c>
      <c r="F1544" s="17" t="inlineStr">
        <is>
          <t>az elmúlt 30 napban</t>
        </is>
      </c>
      <c r="G1544" s="17" t="inlineStr">
        <is>
          <t>Más főkategória terméke</t>
        </is>
      </c>
    </row>
    <row r="1545">
      <c r="A1545" s="17" t="inlineStr">
        <is>
          <t>GRO4092</t>
        </is>
      </c>
      <c r="B1545" s="17" t="inlineStr">
        <is>
          <t>Terra Aquatica (GHE) Pro Organic Grow 1 liter</t>
        </is>
      </c>
      <c r="C1545" s="17" t="inlineStr">
        <is>
          <t>–</t>
        </is>
      </c>
      <c r="D1545" s="17" t="inlineStr"/>
      <c r="E1545" s="17" t="inlineStr">
        <is>
          <t>Nem tartozik ide</t>
        </is>
      </c>
      <c r="F1545" s="17" t="inlineStr">
        <is>
          <t>az elmúlt 30 napban</t>
        </is>
      </c>
      <c r="G1545" s="17" t="inlineStr">
        <is>
          <t>Más főkategória terméke</t>
        </is>
      </c>
    </row>
    <row r="1546">
      <c r="A1546" s="17" t="inlineStr">
        <is>
          <t>GRO4093</t>
        </is>
      </c>
      <c r="B1546" s="17" t="inlineStr">
        <is>
          <t>Terra Aquatica (GHE) Pro Organic Bloom 500 ml</t>
        </is>
      </c>
      <c r="C1546" s="17" t="inlineStr">
        <is>
          <t>–</t>
        </is>
      </c>
      <c r="D1546" s="17" t="inlineStr"/>
      <c r="E1546" s="17" t="inlineStr">
        <is>
          <t>Nem tartozik ide</t>
        </is>
      </c>
      <c r="F1546" s="17" t="inlineStr">
        <is>
          <t>az elmúlt 30 napban</t>
        </is>
      </c>
      <c r="G1546" s="17" t="inlineStr">
        <is>
          <t>Más főkategória terméke</t>
        </is>
      </c>
    </row>
    <row r="1547">
      <c r="A1547" s="17" t="inlineStr">
        <is>
          <t>GRO4094</t>
        </is>
      </c>
      <c r="B1547" s="17" t="inlineStr">
        <is>
          <t>Terra Aquatica (GHE) Pro Organic Bloom 1 liter</t>
        </is>
      </c>
      <c r="C1547" s="17" t="inlineStr">
        <is>
          <t>–</t>
        </is>
      </c>
      <c r="D1547" s="17" t="inlineStr"/>
      <c r="E1547" s="17" t="inlineStr">
        <is>
          <t>Nem tartozik ide</t>
        </is>
      </c>
      <c r="F1547" s="17" t="inlineStr">
        <is>
          <t>az elmúlt 30 napban</t>
        </is>
      </c>
      <c r="G1547" s="17" t="inlineStr">
        <is>
          <t>Más főkategória terméke</t>
        </is>
      </c>
    </row>
    <row r="1548">
      <c r="A1548" s="17" t="inlineStr">
        <is>
          <t>GRO4095</t>
        </is>
      </c>
      <c r="B1548" s="17" t="inlineStr">
        <is>
          <t>CO2 tabletta</t>
        </is>
      </c>
      <c r="C1548" s="17" t="inlineStr">
        <is>
          <t>–</t>
        </is>
      </c>
      <c r="D1548" s="17" t="inlineStr"/>
      <c r="E1548" s="17" t="inlineStr">
        <is>
          <t>Nem tartozik ide</t>
        </is>
      </c>
      <c r="F1548" s="17" t="inlineStr">
        <is>
          <t>az elmúlt 30 napban</t>
        </is>
      </c>
      <c r="G1548" s="17" t="inlineStr">
        <is>
          <t>Más főkategória terméke</t>
        </is>
      </c>
    </row>
    <row r="1549">
      <c r="A1549" s="17" t="inlineStr">
        <is>
          <t>GRO4096</t>
        </is>
      </c>
      <c r="B1549" s="17" t="inlineStr">
        <is>
          <t>CO2 tabletta</t>
        </is>
      </c>
      <c r="C1549" s="17" t="inlineStr">
        <is>
          <t>–</t>
        </is>
      </c>
      <c r="D1549" s="17" t="inlineStr"/>
      <c r="E1549" s="17" t="inlineStr">
        <is>
          <t>Nem tartozik ide</t>
        </is>
      </c>
      <c r="F1549" s="17" t="inlineStr">
        <is>
          <t>az elmúlt 30 napban</t>
        </is>
      </c>
      <c r="G1549" s="17" t="inlineStr">
        <is>
          <t>Más főkategória terméke</t>
        </is>
      </c>
    </row>
    <row r="1550">
      <c r="A1550" s="17" t="inlineStr">
        <is>
          <t>GRO4097</t>
        </is>
      </c>
      <c r="B1550" s="17" t="inlineStr">
        <is>
          <t>Urban Garden Clone600 Growing LED 30W</t>
        </is>
      </c>
      <c r="C1550" s="17" t="inlineStr">
        <is>
          <t>–</t>
        </is>
      </c>
      <c r="D1550" s="17" t="inlineStr"/>
      <c r="E1550" s="17" t="inlineStr">
        <is>
          <t>Nem tartozik ide</t>
        </is>
      </c>
      <c r="F1550" s="17" t="inlineStr">
        <is>
          <t>az elmúlt 30 napban</t>
        </is>
      </c>
      <c r="G1550" s="17" t="inlineStr">
        <is>
          <t>Más főkategória terméke</t>
        </is>
      </c>
    </row>
    <row r="1551">
      <c r="A1551" s="17" t="inlineStr">
        <is>
          <t>GRO4098</t>
        </is>
      </c>
      <c r="B1551" s="17" t="inlineStr">
        <is>
          <t>Urban Garden Clone900 Growing LED 45W</t>
        </is>
      </c>
      <c r="C1551" s="17" t="inlineStr">
        <is>
          <t>–</t>
        </is>
      </c>
      <c r="D1551" s="17" t="inlineStr"/>
      <c r="E1551" s="17" t="inlineStr">
        <is>
          <t>Nem tartozik ide</t>
        </is>
      </c>
      <c r="F1551" s="17" t="inlineStr">
        <is>
          <t>az elmúlt 30 napban</t>
        </is>
      </c>
      <c r="G1551" s="17" t="inlineStr">
        <is>
          <t>Más főkategória terméke</t>
        </is>
      </c>
    </row>
    <row r="1552">
      <c r="A1552" s="17" t="inlineStr">
        <is>
          <t>GRO4099</t>
        </is>
      </c>
      <c r="B1552" s="17" t="inlineStr">
        <is>
          <t>Urban Garden Clone1200 Growing LED 60W</t>
        </is>
      </c>
      <c r="C1552" s="17" t="inlineStr">
        <is>
          <t>–</t>
        </is>
      </c>
      <c r="D1552" s="17" t="inlineStr"/>
      <c r="E1552" s="17" t="inlineStr">
        <is>
          <t>Nem tartozik ide</t>
        </is>
      </c>
      <c r="F1552" s="17" t="inlineStr">
        <is>
          <t>az elmúlt 30 napban</t>
        </is>
      </c>
      <c r="G1552" s="17" t="inlineStr">
        <is>
          <t>Más főkategória terméke</t>
        </is>
      </c>
    </row>
    <row r="1553">
      <c r="A1553" s="17" t="inlineStr">
        <is>
          <t>GRO4100</t>
        </is>
      </c>
      <c r="B1553" s="17" t="inlineStr">
        <is>
          <t>Urban Garden Q100 Full Spectrum LED 100W</t>
        </is>
      </c>
      <c r="C1553" s="17" t="inlineStr">
        <is>
          <t>–</t>
        </is>
      </c>
      <c r="D1553" s="17" t="inlineStr"/>
      <c r="E1553" s="17" t="inlineStr">
        <is>
          <t>Nem tartozik ide</t>
        </is>
      </c>
      <c r="F1553" s="17" t="inlineStr">
        <is>
          <t>az elmúlt 6 hónapban</t>
        </is>
      </c>
      <c r="G1553" s="17" t="inlineStr">
        <is>
          <t>Más főkategória terméke</t>
        </is>
      </c>
    </row>
    <row r="1554">
      <c r="A1554" s="17" t="inlineStr">
        <is>
          <t>GRO4101</t>
        </is>
      </c>
      <c r="B1554" s="17" t="inlineStr">
        <is>
          <t>Urban Garden Q200 Full Spectrum LED 200W</t>
        </is>
      </c>
      <c r="C1554" s="17" t="inlineStr">
        <is>
          <t>–</t>
        </is>
      </c>
      <c r="D1554" s="17" t="inlineStr"/>
      <c r="E1554" s="17" t="inlineStr">
        <is>
          <t>Nem tartozik ide</t>
        </is>
      </c>
      <c r="F1554" s="17" t="inlineStr">
        <is>
          <t>az elmúlt 30 napban</t>
        </is>
      </c>
      <c r="G1554" s="17" t="inlineStr">
        <is>
          <t>Más főkategória terméke</t>
        </is>
      </c>
    </row>
    <row r="1555">
      <c r="A1555" s="17" t="inlineStr">
        <is>
          <t>GRO4102</t>
        </is>
      </c>
      <c r="B1555" s="17" t="inlineStr">
        <is>
          <t>Urban Garden Q320 Full Spectrum LED 320W</t>
        </is>
      </c>
      <c r="C1555" s="17" t="inlineStr">
        <is>
          <t>–</t>
        </is>
      </c>
      <c r="D1555" s="17" t="inlineStr"/>
      <c r="E1555" s="17" t="inlineStr">
        <is>
          <t>Nem tartozik ide</t>
        </is>
      </c>
      <c r="F1555" s="17" t="inlineStr">
        <is>
          <t>az elmúlt 30 napban</t>
        </is>
      </c>
      <c r="G1555" s="17" t="inlineStr">
        <is>
          <t>Más főkategória terméke</t>
        </is>
      </c>
    </row>
    <row r="1556">
      <c r="A1556" s="17" t="inlineStr">
        <is>
          <t>GRO4103</t>
        </is>
      </c>
      <c r="B1556" s="17" t="inlineStr">
        <is>
          <t>SANlight FLEX II LED 25</t>
        </is>
      </c>
      <c r="C1556" s="17" t="inlineStr">
        <is>
          <t>–</t>
        </is>
      </c>
      <c r="D1556" s="17" t="inlineStr"/>
      <c r="E1556" s="17" t="inlineStr">
        <is>
          <t>Nem tartozik ide</t>
        </is>
      </c>
      <c r="F1556" s="17" t="inlineStr">
        <is>
          <t>az elmúlt 30 napban</t>
        </is>
      </c>
      <c r="G1556" s="17" t="inlineStr">
        <is>
          <t>Más főkategória terméke</t>
        </is>
      </c>
    </row>
    <row r="1557">
      <c r="A1557" s="17" t="inlineStr">
        <is>
          <t>GRO4104</t>
        </is>
      </c>
      <c r="B1557" s="17" t="inlineStr">
        <is>
          <t>Terra Aquatica (GHE) TrikoLogic 5 kg</t>
        </is>
      </c>
      <c r="C1557" s="17" t="inlineStr">
        <is>
          <t>–</t>
        </is>
      </c>
      <c r="D1557" s="17" t="inlineStr"/>
      <c r="E1557" s="17" t="inlineStr">
        <is>
          <t>Nem tartozik ide</t>
        </is>
      </c>
      <c r="F1557" s="17" t="inlineStr">
        <is>
          <t>az elmúlt 6 hónapban</t>
        </is>
      </c>
      <c r="G1557" s="17" t="inlineStr">
        <is>
          <t>Más főkategória terméke</t>
        </is>
      </c>
    </row>
    <row r="1558">
      <c r="A1558" s="17" t="inlineStr">
        <is>
          <t>GRO4105</t>
        </is>
      </c>
      <c r="B1558" s="17" t="inlineStr">
        <is>
          <t>Terra Aquatica Silicate 5 liter</t>
        </is>
      </c>
      <c r="C1558" s="17" t="inlineStr">
        <is>
          <t>–</t>
        </is>
      </c>
      <c r="D1558" s="17" t="inlineStr"/>
      <c r="E1558" s="17" t="inlineStr">
        <is>
          <t>Nem tartozik ide</t>
        </is>
      </c>
      <c r="F1558" s="17" t="inlineStr">
        <is>
          <t>az elmúlt 30 napban</t>
        </is>
      </c>
      <c r="G1558" s="17" t="inlineStr">
        <is>
          <t>Más főkategória terméke</t>
        </is>
      </c>
    </row>
    <row r="1559">
      <c r="A1559" s="17" t="inlineStr">
        <is>
          <t>GRO4106</t>
        </is>
      </c>
      <c r="B1559" s="17" t="inlineStr">
        <is>
          <t>AC Infinity Advance sátor szett WIFI 60x60x180 cm</t>
        </is>
      </c>
      <c r="C1559" s="17" t="inlineStr">
        <is>
          <t>–</t>
        </is>
      </c>
      <c r="D1559" s="17" t="inlineStr"/>
      <c r="E1559" s="17" t="inlineStr">
        <is>
          <t>Nem tartozik ide</t>
        </is>
      </c>
      <c r="F1559" s="17" t="inlineStr">
        <is>
          <t>az elmúlt 30 napban</t>
        </is>
      </c>
      <c r="G1559" s="17" t="inlineStr">
        <is>
          <t>Más főkategória terméke</t>
        </is>
      </c>
    </row>
    <row r="1560">
      <c r="A1560" s="17" t="inlineStr">
        <is>
          <t>GRO4107</t>
        </is>
      </c>
      <c r="B1560" s="17" t="inlineStr">
        <is>
          <t>AC Infinity Cloudline Pro S4 ventilátor</t>
        </is>
      </c>
      <c r="C1560" s="17" t="inlineStr">
        <is>
          <t>–</t>
        </is>
      </c>
      <c r="D1560" s="17" t="inlineStr"/>
      <c r="E1560" s="17" t="inlineStr">
        <is>
          <t>Nem tartozik ide</t>
        </is>
      </c>
      <c r="F1560" s="17" t="inlineStr">
        <is>
          <t>az elmúlt 30 napban</t>
        </is>
      </c>
      <c r="G1560" s="17" t="inlineStr">
        <is>
          <t>Más főkategória terméke</t>
        </is>
      </c>
    </row>
    <row r="1561">
      <c r="A1561" s="17" t="inlineStr">
        <is>
          <t>GRO4108</t>
        </is>
      </c>
      <c r="B1561" s="17" t="inlineStr">
        <is>
          <t>AC Infinity Cloudline Pro T4 ventilátor</t>
        </is>
      </c>
      <c r="C1561" s="17" t="inlineStr">
        <is>
          <t>–</t>
        </is>
      </c>
      <c r="D1561" s="17" t="inlineStr"/>
      <c r="E1561" s="17" t="inlineStr">
        <is>
          <t>Nem tartozik ide</t>
        </is>
      </c>
      <c r="F1561" s="17" t="inlineStr">
        <is>
          <t>az elmúlt 30 napban</t>
        </is>
      </c>
      <c r="G1561" s="17" t="inlineStr">
        <is>
          <t>Más főkategória terméke</t>
        </is>
      </c>
    </row>
    <row r="1562">
      <c r="A1562" s="17" t="inlineStr">
        <is>
          <t>GRO4109</t>
        </is>
      </c>
      <c r="B1562" s="17" t="inlineStr">
        <is>
          <t>Secret Jardin Power Pack Full Spectrum LED 125W</t>
        </is>
      </c>
      <c r="C1562" s="17" t="inlineStr">
        <is>
          <t>–</t>
        </is>
      </c>
      <c r="D1562" s="17" t="inlineStr"/>
      <c r="E1562" s="17" t="inlineStr">
        <is>
          <t>Nem tartozik ide</t>
        </is>
      </c>
      <c r="F1562" s="17" t="inlineStr">
        <is>
          <t>az elmúlt 6 hónapban</t>
        </is>
      </c>
      <c r="G1562" s="17" t="inlineStr">
        <is>
          <t>Más főkategória terméke</t>
        </is>
      </c>
    </row>
    <row r="1563">
      <c r="A1563" s="17" t="inlineStr">
        <is>
          <t>GRO4111</t>
        </is>
      </c>
      <c r="B1563" s="17" t="inlineStr">
        <is>
          <t>Prima Klima Industry Line for K1605 680 m3/h Pre Filter</t>
        </is>
      </c>
      <c r="C1563" s="17" t="inlineStr">
        <is>
          <t>–</t>
        </is>
      </c>
      <c r="D1563" s="17" t="inlineStr"/>
      <c r="E1563" s="17" t="inlineStr">
        <is>
          <t>Nem tartozik ide</t>
        </is>
      </c>
      <c r="F1563" s="17" t="inlineStr">
        <is>
          <t>az elmúlt 30 napban</t>
        </is>
      </c>
      <c r="G1563" s="17" t="inlineStr">
        <is>
          <t>Más főkategória terméke</t>
        </is>
      </c>
    </row>
    <row r="1564">
      <c r="A1564" s="17" t="inlineStr">
        <is>
          <t>GRO4112</t>
        </is>
      </c>
      <c r="B1564" s="17" t="inlineStr">
        <is>
          <t>Prima Klima Industry Line for K1606 1080 m3/h Pre Filter</t>
        </is>
      </c>
      <c r="C1564" s="17" t="inlineStr">
        <is>
          <t>–</t>
        </is>
      </c>
      <c r="D1564" s="17" t="inlineStr"/>
      <c r="E1564" s="17" t="inlineStr">
        <is>
          <t>Nem tartozik ide</t>
        </is>
      </c>
      <c r="F1564" s="17" t="inlineStr">
        <is>
          <t>az elmúlt 30 napban</t>
        </is>
      </c>
      <c r="G1564" s="17" t="inlineStr">
        <is>
          <t>Más főkategória terméke</t>
        </is>
      </c>
    </row>
    <row r="1565">
      <c r="A1565" s="17" t="inlineStr">
        <is>
          <t>GRO4113</t>
        </is>
      </c>
      <c r="B1565" s="17" t="inlineStr">
        <is>
          <t>Kókusztégla mosott 550 g</t>
        </is>
      </c>
      <c r="C1565" s="17" t="inlineStr">
        <is>
          <t>–</t>
        </is>
      </c>
      <c r="D1565" s="17" t="inlineStr"/>
      <c r="E1565" s="17" t="inlineStr">
        <is>
          <t>Nem tartozik ide</t>
        </is>
      </c>
      <c r="F1565" s="17" t="inlineStr">
        <is>
          <t>2024-10 – 2025-09 (lehet, hogy már nem aktív)</t>
        </is>
      </c>
      <c r="G1565" s="17" t="inlineStr">
        <is>
          <t>Más főkategória terméke</t>
        </is>
      </c>
    </row>
    <row r="1566">
      <c r="A1566" s="17" t="inlineStr">
        <is>
          <t>GRO4114</t>
        </is>
      </c>
      <c r="B1566" s="17" t="inlineStr">
        <is>
          <t>Kókusztégla mosott pufferelt 4,5 kg</t>
        </is>
      </c>
      <c r="C1566" s="17" t="inlineStr">
        <is>
          <t>–</t>
        </is>
      </c>
      <c r="D1566" s="17" t="inlineStr"/>
      <c r="E1566" s="17" t="inlineStr">
        <is>
          <t>Nem tartozik ide</t>
        </is>
      </c>
      <c r="F1566" s="17" t="inlineStr">
        <is>
          <t>2024-10 – 2025-09 (lehet, hogy már nem aktív)</t>
        </is>
      </c>
      <c r="G1566" s="17" t="inlineStr">
        <is>
          <t>Más főkategória terméke</t>
        </is>
      </c>
    </row>
    <row r="1567">
      <c r="A1567" s="17" t="inlineStr">
        <is>
          <t>GRO4115</t>
        </is>
      </c>
      <c r="B1567" s="17" t="inlineStr">
        <is>
          <t>Garden Highpro mechanikus időzítő</t>
        </is>
      </c>
      <c r="C1567" s="17" t="inlineStr">
        <is>
          <t>–</t>
        </is>
      </c>
      <c r="D1567" s="17" t="inlineStr"/>
      <c r="E1567" s="17" t="inlineStr">
        <is>
          <t>Nem tartozik ide</t>
        </is>
      </c>
      <c r="F1567" s="17" t="inlineStr">
        <is>
          <t>2025-10 – 2026-04</t>
        </is>
      </c>
      <c r="G1567" s="17" t="inlineStr">
        <is>
          <t>Más főkategória terméke</t>
        </is>
      </c>
    </row>
    <row r="1568">
      <c r="A1568" s="17" t="inlineStr">
        <is>
          <t>GRO4116</t>
        </is>
      </c>
      <c r="B1568" s="17" t="inlineStr">
        <is>
          <t>Garden Highpro Inline ventilátor (100 mm)</t>
        </is>
      </c>
      <c r="C1568" s="17" t="inlineStr">
        <is>
          <t>–</t>
        </is>
      </c>
      <c r="D1568" s="17" t="inlineStr"/>
      <c r="E1568" s="17" t="inlineStr">
        <is>
          <t>Nem tartozik ide</t>
        </is>
      </c>
      <c r="F1568" s="17" t="inlineStr">
        <is>
          <t>az elmúlt 6 hónapban</t>
        </is>
      </c>
      <c r="G1568" s="17" t="inlineStr">
        <is>
          <t>Más főkategória terméke</t>
        </is>
      </c>
    </row>
    <row r="1569">
      <c r="A1569" s="17" t="inlineStr">
        <is>
          <t>GRO4117</t>
        </is>
      </c>
      <c r="B1569" s="17" t="inlineStr">
        <is>
          <t>Garden Highpro Inline ventilátor (125 mm)</t>
        </is>
      </c>
      <c r="C1569" s="17" t="inlineStr">
        <is>
          <t>–</t>
        </is>
      </c>
      <c r="D1569" s="17" t="inlineStr"/>
      <c r="E1569" s="17" t="inlineStr">
        <is>
          <t>Nem tartozik ide</t>
        </is>
      </c>
      <c r="F1569" s="17" t="inlineStr">
        <is>
          <t>az elmúlt 6 hónapban</t>
        </is>
      </c>
      <c r="G1569" s="17" t="inlineStr">
        <is>
          <t>Más főkategória terméke</t>
        </is>
      </c>
    </row>
    <row r="1570">
      <c r="A1570" s="17" t="inlineStr">
        <is>
          <t>GRO4118</t>
        </is>
      </c>
      <c r="B1570" s="17" t="inlineStr">
        <is>
          <t>Garden Highpro Inline ventilátor (150 mm)</t>
        </is>
      </c>
      <c r="C1570" s="17" t="inlineStr">
        <is>
          <t>–</t>
        </is>
      </c>
      <c r="D1570" s="17" t="inlineStr"/>
      <c r="E1570" s="17" t="inlineStr">
        <is>
          <t>Nem tartozik ide</t>
        </is>
      </c>
      <c r="F1570" s="17" t="inlineStr">
        <is>
          <t>az elmúlt 30 napban</t>
        </is>
      </c>
      <c r="G1570" s="17" t="inlineStr">
        <is>
          <t>Más főkategória terméke</t>
        </is>
      </c>
    </row>
    <row r="1571">
      <c r="A1571" s="17" t="inlineStr">
        <is>
          <t>GRO4119</t>
        </is>
      </c>
      <c r="B1571" s="17" t="inlineStr">
        <is>
          <t>Garden Highpro 2 sebességes ventilátor (100 mm)</t>
        </is>
      </c>
      <c r="C1571" s="17" t="inlineStr">
        <is>
          <t>–</t>
        </is>
      </c>
      <c r="D1571" s="17" t="inlineStr"/>
      <c r="E1571" s="17" t="inlineStr">
        <is>
          <t>Nem tartozik ide</t>
        </is>
      </c>
      <c r="F1571" s="17" t="inlineStr">
        <is>
          <t>2024-10 – 2025-09 (lehet, hogy már nem aktív)</t>
        </is>
      </c>
      <c r="G1571" s="17" t="inlineStr">
        <is>
          <t>Más főkategória terméke</t>
        </is>
      </c>
    </row>
    <row r="1572">
      <c r="A1572" s="17" t="inlineStr">
        <is>
          <t>GRO4120</t>
        </is>
      </c>
      <c r="B1572" s="17" t="inlineStr">
        <is>
          <t>Garden Highpro 2 sebességes ventilátor (125 mm)</t>
        </is>
      </c>
      <c r="C1572" s="17" t="inlineStr">
        <is>
          <t>–</t>
        </is>
      </c>
      <c r="D1572" s="17" t="inlineStr"/>
      <c r="E1572" s="17" t="inlineStr">
        <is>
          <t>Nem tartozik ide</t>
        </is>
      </c>
      <c r="F1572" s="17" t="inlineStr">
        <is>
          <t>2024-10 – 2025-09 (lehet, hogy már nem aktív)</t>
        </is>
      </c>
      <c r="G1572" s="17" t="inlineStr">
        <is>
          <t>Más főkategória terméke</t>
        </is>
      </c>
    </row>
    <row r="1573">
      <c r="A1573" s="17" t="inlineStr">
        <is>
          <t>GRO4121</t>
        </is>
      </c>
      <c r="B1573" s="17" t="inlineStr">
        <is>
          <t>Garden Highpro 2 sebességes ventilátor (150 mm)</t>
        </is>
      </c>
      <c r="C1573" s="17" t="inlineStr">
        <is>
          <t>–</t>
        </is>
      </c>
      <c r="D1573" s="17" t="inlineStr"/>
      <c r="E1573" s="17" t="inlineStr">
        <is>
          <t>Nem tartozik ide</t>
        </is>
      </c>
      <c r="F1573" s="17" t="inlineStr">
        <is>
          <t>az elmúlt 30 napban</t>
        </is>
      </c>
      <c r="G1573" s="17" t="inlineStr">
        <is>
          <t>Más főkategória terméke</t>
        </is>
      </c>
    </row>
    <row r="1574">
      <c r="A1574" s="17" t="inlineStr">
        <is>
          <t>GRO4122</t>
        </is>
      </c>
      <c r="B1574" s="17" t="inlineStr">
        <is>
          <t>Garden Highpro lámpa függesztő készlet</t>
        </is>
      </c>
      <c r="C1574" s="17" t="inlineStr">
        <is>
          <t>–</t>
        </is>
      </c>
      <c r="D1574" s="17" t="inlineStr"/>
      <c r="E1574" s="17" t="inlineStr">
        <is>
          <t>Nem tartozik ide</t>
        </is>
      </c>
      <c r="F1574" s="17" t="inlineStr">
        <is>
          <t>az elmúlt 6 hónapban</t>
        </is>
      </c>
      <c r="G1574" s="17" t="inlineStr">
        <is>
          <t>Más főkategória terméke</t>
        </is>
      </c>
    </row>
    <row r="1575">
      <c r="A1575" s="17" t="inlineStr">
        <is>
          <t>GRO4123</t>
        </is>
      </c>
      <c r="B1575" s="17" t="inlineStr">
        <is>
          <t>Garden Highpro ProHanger akasztókészlet</t>
        </is>
      </c>
      <c r="C1575" s="17" t="inlineStr">
        <is>
          <t>–</t>
        </is>
      </c>
      <c r="D1575" s="17" t="inlineStr"/>
      <c r="E1575" s="17" t="inlineStr">
        <is>
          <t>Nem tartozik ide</t>
        </is>
      </c>
      <c r="F1575" s="17" t="inlineStr">
        <is>
          <t>2024-10 – 2025-09 (lehet, hogy már nem aktív)</t>
        </is>
      </c>
      <c r="G1575" s="17" t="inlineStr">
        <is>
          <t>Más főkategória terméke</t>
        </is>
      </c>
    </row>
    <row r="1576">
      <c r="A1576" s="17" t="inlineStr">
        <is>
          <t>GRO4124</t>
        </is>
      </c>
      <c r="B1576" s="17" t="inlineStr">
        <is>
          <t>Garden Highpro ProHanger XL akasztókészlet</t>
        </is>
      </c>
      <c r="C1576" s="17" t="inlineStr">
        <is>
          <t>–</t>
        </is>
      </c>
      <c r="D1576" s="17" t="inlineStr"/>
      <c r="E1576" s="17" t="inlineStr">
        <is>
          <t>Nem tartozik ide</t>
        </is>
      </c>
      <c r="F1576" s="17" t="inlineStr">
        <is>
          <t>2024-10 – 2025-09 (lehet, hogy már nem aktív)</t>
        </is>
      </c>
      <c r="G1576" s="17" t="inlineStr">
        <is>
          <t>Más főkategória terméke</t>
        </is>
      </c>
    </row>
    <row r="1577">
      <c r="A1577" s="17" t="inlineStr">
        <is>
          <t>GRO4125</t>
        </is>
      </c>
      <c r="B1577" s="17" t="inlineStr">
        <is>
          <t>Garden Highpro thermo-higrometer digital basic páratartalom-mérő</t>
        </is>
      </c>
      <c r="C1577" s="17" t="inlineStr">
        <is>
          <t>–</t>
        </is>
      </c>
      <c r="D1577" s="17" t="inlineStr"/>
      <c r="E1577" s="17" t="inlineStr">
        <is>
          <t>Nem tartozik ide</t>
        </is>
      </c>
      <c r="F1577" s="17" t="inlineStr">
        <is>
          <t>2025-10 – 2026-04</t>
        </is>
      </c>
      <c r="G1577" s="17" t="inlineStr">
        <is>
          <t>Más főkategória terméke</t>
        </is>
      </c>
    </row>
    <row r="1578">
      <c r="A1578" s="17" t="inlineStr">
        <is>
          <t>GRO4126</t>
        </is>
      </c>
      <c r="B1578" s="17" t="inlineStr">
        <is>
          <t>Garden Highpro thermo-higrometer digital medium páratartalom-mérő</t>
        </is>
      </c>
      <c r="C1578" s="17" t="inlineStr">
        <is>
          <t>–</t>
        </is>
      </c>
      <c r="D1578" s="17" t="inlineStr"/>
      <c r="E1578" s="17" t="inlineStr">
        <is>
          <t>Nem tartozik ide</t>
        </is>
      </c>
      <c r="F1578" s="17" t="inlineStr">
        <is>
          <t>2025-10 – 2026-04</t>
        </is>
      </c>
      <c r="G1578" s="17" t="inlineStr">
        <is>
          <t>Más főkategória terméke</t>
        </is>
      </c>
    </row>
    <row r="1579">
      <c r="A1579" s="17" t="inlineStr">
        <is>
          <t>GRO4127</t>
        </is>
      </c>
      <c r="B1579" s="17" t="inlineStr">
        <is>
          <t>Garden Highpro thermo-higrometer digital pro páratartalom-mérő</t>
        </is>
      </c>
      <c r="C1579" s="17" t="inlineStr">
        <is>
          <t>–</t>
        </is>
      </c>
      <c r="D1579" s="17" t="inlineStr"/>
      <c r="E1579" s="17" t="inlineStr">
        <is>
          <t>Nem tartozik ide</t>
        </is>
      </c>
      <c r="F1579" s="17" t="inlineStr">
        <is>
          <t>2025-10 – 2026-04</t>
        </is>
      </c>
      <c r="G1579" s="17" t="inlineStr">
        <is>
          <t>Más főkategória terméke</t>
        </is>
      </c>
    </row>
    <row r="1580">
      <c r="A1580" s="17" t="inlineStr">
        <is>
          <t>GRO4128</t>
        </is>
      </c>
      <c r="B1580" s="17" t="inlineStr">
        <is>
          <t>Garden Highpro pumpás permetező flakon</t>
        </is>
      </c>
      <c r="C1580" s="17" t="inlineStr">
        <is>
          <t>–</t>
        </is>
      </c>
      <c r="D1580" s="17" t="inlineStr"/>
      <c r="E1580" s="17" t="inlineStr">
        <is>
          <t>Nem tartozik ide</t>
        </is>
      </c>
      <c r="F1580" s="17" t="inlineStr">
        <is>
          <t>az elmúlt 6 hónapban</t>
        </is>
      </c>
      <c r="G1580" s="17" t="inlineStr">
        <is>
          <t>Más főkategória terméke</t>
        </is>
      </c>
    </row>
    <row r="1581">
      <c r="A1581" s="17" t="inlineStr">
        <is>
          <t>GRO4129</t>
        </is>
      </c>
      <c r="B1581" s="17" t="inlineStr">
        <is>
          <t>Garden Highpro szárítóháló (8 szintes)</t>
        </is>
      </c>
      <c r="C1581" s="17" t="inlineStr">
        <is>
          <t>–</t>
        </is>
      </c>
      <c r="D1581" s="17" t="inlineStr"/>
      <c r="E1581" s="17" t="inlineStr">
        <is>
          <t>Nem tartozik ide</t>
        </is>
      </c>
      <c r="F1581" s="17" t="inlineStr">
        <is>
          <t>2025-10 – 2026-04</t>
        </is>
      </c>
      <c r="G1581" s="17" t="inlineStr">
        <is>
          <t>Más főkategória terméke</t>
        </is>
      </c>
    </row>
    <row r="1582">
      <c r="A1582" s="17" t="inlineStr">
        <is>
          <t>GRO4130</t>
        </is>
      </c>
      <c r="B1582" s="17" t="inlineStr">
        <is>
          <t>Garden Highpro szárítóháló (6 szintes)</t>
        </is>
      </c>
      <c r="C1582" s="17" t="inlineStr">
        <is>
          <t>–</t>
        </is>
      </c>
      <c r="D1582" s="17" t="inlineStr"/>
      <c r="E1582" s="17" t="inlineStr">
        <is>
          <t>Nem tartozik ide</t>
        </is>
      </c>
      <c r="F1582" s="17" t="inlineStr">
        <is>
          <t>2024-10 – 2025-09 (lehet, hogy már nem aktív)</t>
        </is>
      </c>
      <c r="G1582" s="17" t="inlineStr">
        <is>
          <t>Más főkategória terméke</t>
        </is>
      </c>
    </row>
    <row r="1583">
      <c r="A1583" s="17" t="inlineStr">
        <is>
          <t>GRO4134</t>
        </is>
      </c>
      <c r="B1583" s="17" t="inlineStr">
        <is>
          <t>Garden Highpro Propagator Box M</t>
        </is>
      </c>
      <c r="C1583" s="17" t="inlineStr">
        <is>
          <t>–</t>
        </is>
      </c>
      <c r="D1583" s="17" t="inlineStr"/>
      <c r="E1583" s="17" t="inlineStr">
        <is>
          <t>Nem tartozik ide</t>
        </is>
      </c>
      <c r="F1583" s="17" t="inlineStr">
        <is>
          <t>az elmúlt 30 napban</t>
        </is>
      </c>
      <c r="G1583" s="17" t="inlineStr">
        <is>
          <t>Más főkategória terméke</t>
        </is>
      </c>
    </row>
    <row r="1584">
      <c r="A1584" s="17" t="inlineStr">
        <is>
          <t>GRO4135</t>
        </is>
      </c>
      <c r="B1584" s="17" t="inlineStr">
        <is>
          <t>Garden Highpro Propagator Grow Box L</t>
        </is>
      </c>
      <c r="C1584" s="17" t="inlineStr">
        <is>
          <t>–</t>
        </is>
      </c>
      <c r="D1584" s="17" t="inlineStr"/>
      <c r="E1584" s="17" t="inlineStr">
        <is>
          <t>Nem tartozik ide</t>
        </is>
      </c>
      <c r="F1584" s="17" t="inlineStr">
        <is>
          <t>az elmúlt 30 napban</t>
        </is>
      </c>
      <c r="G1584" s="17" t="inlineStr">
        <is>
          <t>Más főkategória terméke</t>
        </is>
      </c>
    </row>
    <row r="1585">
      <c r="A1585" s="17" t="inlineStr">
        <is>
          <t>GRO4136</t>
        </is>
      </c>
      <c r="B1585" s="17" t="inlineStr">
        <is>
          <t>Garden Highpro Propagator Grow Box XL</t>
        </is>
      </c>
      <c r="C1585" s="17" t="inlineStr">
        <is>
          <t>–</t>
        </is>
      </c>
      <c r="D1585" s="17" t="inlineStr"/>
      <c r="E1585" s="17" t="inlineStr">
        <is>
          <t>Nem tartozik ide</t>
        </is>
      </c>
      <c r="F1585" s="17" t="inlineStr">
        <is>
          <t>az elmúlt 30 napban</t>
        </is>
      </c>
      <c r="G1585" s="17" t="inlineStr">
        <is>
          <t>Más főkategória terméke</t>
        </is>
      </c>
    </row>
    <row r="1586">
      <c r="A1586" s="17" t="inlineStr">
        <is>
          <t>GRO4137</t>
        </is>
      </c>
      <c r="B1586" s="17" t="inlineStr">
        <is>
          <t>Garden Highpro Probox Grow Box 60</t>
        </is>
      </c>
      <c r="C1586" s="17" t="inlineStr">
        <is>
          <t>–</t>
        </is>
      </c>
      <c r="D1586" s="17" t="inlineStr"/>
      <c r="E1586" s="17" t="inlineStr">
        <is>
          <t>Nem tartozik ide</t>
        </is>
      </c>
      <c r="F1586" s="17" t="inlineStr">
        <is>
          <t>2025-10 – 2026-04</t>
        </is>
      </c>
      <c r="G1586" s="17" t="inlineStr">
        <is>
          <t>Más főkategória terméke</t>
        </is>
      </c>
    </row>
    <row r="1587">
      <c r="A1587" s="17" t="inlineStr">
        <is>
          <t>GRO4138</t>
        </is>
      </c>
      <c r="B1587" s="17" t="inlineStr">
        <is>
          <t>Garden Highpro Probox Grow Box 80H</t>
        </is>
      </c>
      <c r="C1587" s="17" t="inlineStr">
        <is>
          <t>–</t>
        </is>
      </c>
      <c r="D1587" s="17" t="inlineStr"/>
      <c r="E1587" s="17" t="inlineStr">
        <is>
          <t>Nem tartozik ide</t>
        </is>
      </c>
      <c r="F1587" s="17" t="inlineStr">
        <is>
          <t>2025-10 – 2026-04</t>
        </is>
      </c>
      <c r="G1587" s="17" t="inlineStr">
        <is>
          <t>Más főkategória terméke</t>
        </is>
      </c>
    </row>
    <row r="1588">
      <c r="A1588" s="17" t="inlineStr">
        <is>
          <t>GRO4139</t>
        </is>
      </c>
      <c r="B1588" s="17" t="inlineStr">
        <is>
          <t>Garden Highpro LEDMAXECO Full Spectrum LED 60W</t>
        </is>
      </c>
      <c r="C1588" s="17" t="inlineStr">
        <is>
          <t>–</t>
        </is>
      </c>
      <c r="D1588" s="17" t="inlineStr"/>
      <c r="E1588" s="17" t="inlineStr">
        <is>
          <t>Nem tartozik ide</t>
        </is>
      </c>
      <c r="F1588" s="17" t="inlineStr">
        <is>
          <t>2024-10 – 2025-09 (lehet, hogy már nem aktív)</t>
        </is>
      </c>
      <c r="G1588" s="17" t="inlineStr">
        <is>
          <t>Más főkategória terméke</t>
        </is>
      </c>
    </row>
    <row r="1589">
      <c r="A1589" s="17" t="inlineStr">
        <is>
          <t>GRO4140</t>
        </is>
      </c>
      <c r="B1589" s="17" t="inlineStr">
        <is>
          <t>Garden Highpro LEDMAXECO Full Spectrum LED 150W</t>
        </is>
      </c>
      <c r="C1589" s="17" t="inlineStr">
        <is>
          <t>–</t>
        </is>
      </c>
      <c r="D1589" s="17" t="inlineStr"/>
      <c r="E1589" s="17" t="inlineStr">
        <is>
          <t>Nem tartozik ide</t>
        </is>
      </c>
      <c r="F1589" s="17" t="inlineStr">
        <is>
          <t>2024-10 – 2025-09 (lehet, hogy már nem aktív)</t>
        </is>
      </c>
      <c r="G1589" s="17" t="inlineStr">
        <is>
          <t>Más főkategória terméke</t>
        </is>
      </c>
    </row>
    <row r="1590">
      <c r="A1590" s="17" t="inlineStr">
        <is>
          <t>GRO4141</t>
        </is>
      </c>
      <c r="B1590" s="17" t="inlineStr">
        <is>
          <t>Garden Highpro LEDMAXECO Full Spectrum LED 300W</t>
        </is>
      </c>
      <c r="C1590" s="17" t="inlineStr">
        <is>
          <t>–</t>
        </is>
      </c>
      <c r="D1590" s="17" t="inlineStr"/>
      <c r="E1590" s="17" t="inlineStr">
        <is>
          <t>Nem tartozik ide</t>
        </is>
      </c>
      <c r="F1590" s="17" t="inlineStr">
        <is>
          <t>az elmúlt 30 napban</t>
        </is>
      </c>
      <c r="G1590" s="17" t="inlineStr">
        <is>
          <t>Más főkategória terméke</t>
        </is>
      </c>
    </row>
    <row r="1591">
      <c r="A1591" s="17" t="inlineStr">
        <is>
          <t>GRO4142</t>
        </is>
      </c>
      <c r="B1591" s="17" t="inlineStr">
        <is>
          <t>Garden Highpro Grow Box szett 60W / 60x60x160 cm</t>
        </is>
      </c>
      <c r="C1591" s="17" t="inlineStr">
        <is>
          <t>–</t>
        </is>
      </c>
      <c r="D1591" s="17" t="inlineStr"/>
      <c r="E1591" s="17" t="inlineStr">
        <is>
          <t>Nem tartozik ide</t>
        </is>
      </c>
      <c r="F1591" s="17" t="inlineStr">
        <is>
          <t>2025-10 – 2026-04</t>
        </is>
      </c>
      <c r="G1591" s="17" t="inlineStr">
        <is>
          <t>Más főkategória terméke</t>
        </is>
      </c>
    </row>
    <row r="1592">
      <c r="A1592" s="17" t="inlineStr">
        <is>
          <t>GRO4143</t>
        </is>
      </c>
      <c r="B1592" s="17" t="inlineStr">
        <is>
          <t>Garden Highpro Grow Box szett 150W / 80x80x180 cm</t>
        </is>
      </c>
      <c r="C1592" s="17" t="inlineStr">
        <is>
          <t>–</t>
        </is>
      </c>
      <c r="D1592" s="17" t="inlineStr"/>
      <c r="E1592" s="17" t="inlineStr">
        <is>
          <t>Nem tartozik ide</t>
        </is>
      </c>
      <c r="F1592" s="17" t="inlineStr">
        <is>
          <t>az elmúlt 30 napban</t>
        </is>
      </c>
      <c r="G1592" s="17" t="inlineStr">
        <is>
          <t>Más főkategória terméke</t>
        </is>
      </c>
    </row>
    <row r="1593">
      <c r="A1593" s="17" t="inlineStr">
        <is>
          <t>GRO4144</t>
        </is>
      </c>
      <c r="B1593" s="17" t="inlineStr">
        <is>
          <t>Garden Highpro Grow Box szett 300W / 120x60x180 cm</t>
        </is>
      </c>
      <c r="C1593" s="17" t="inlineStr">
        <is>
          <t>–</t>
        </is>
      </c>
      <c r="D1593" s="17" t="inlineStr"/>
      <c r="E1593" s="17" t="inlineStr">
        <is>
          <t>Nem tartozik ide</t>
        </is>
      </c>
      <c r="F1593" s="17" t="inlineStr">
        <is>
          <t>az elmúlt 30 napban</t>
        </is>
      </c>
      <c r="G1593" s="17" t="inlineStr">
        <is>
          <t>Más főkategória terméke</t>
        </is>
      </c>
    </row>
    <row r="1594">
      <c r="A1594" s="17" t="inlineStr">
        <is>
          <t>GRO4145</t>
        </is>
      </c>
      <c r="B1594" s="17" t="inlineStr">
        <is>
          <t>Garden Highpro Proactiv szénszűrő</t>
        </is>
      </c>
      <c r="C1594" s="17" t="inlineStr">
        <is>
          <t>–</t>
        </is>
      </c>
      <c r="D1594" s="17" t="inlineStr"/>
      <c r="E1594" s="17" t="inlineStr">
        <is>
          <t>Nem tartozik ide</t>
        </is>
      </c>
      <c r="F1594" s="17" t="inlineStr">
        <is>
          <t>2024-10 – 2025-09 (lehet, hogy már nem aktív)</t>
        </is>
      </c>
      <c r="G1594" s="17" t="inlineStr">
        <is>
          <t>Más főkategória terméke</t>
        </is>
      </c>
    </row>
    <row r="1595">
      <c r="A1595" s="17" t="inlineStr">
        <is>
          <t>GRO4146</t>
        </is>
      </c>
      <c r="B1595" s="17" t="inlineStr">
        <is>
          <t>Garden Highpro trimmelő olló</t>
        </is>
      </c>
      <c r="C1595" s="17" t="inlineStr">
        <is>
          <t>–</t>
        </is>
      </c>
      <c r="D1595" s="17" t="inlineStr"/>
      <c r="E1595" s="17" t="inlineStr">
        <is>
          <t>Nem tartozik ide</t>
        </is>
      </c>
      <c r="F1595" s="17" t="inlineStr">
        <is>
          <t>2024-10 – 2025-09 (lehet, hogy már nem aktív)</t>
        </is>
      </c>
      <c r="G1595" s="17" t="inlineStr">
        <is>
          <t>Más főkategória terméke</t>
        </is>
      </c>
    </row>
    <row r="1596">
      <c r="A1596" s="17" t="inlineStr">
        <is>
          <t>GRO4147</t>
        </is>
      </c>
      <c r="B1596" s="17" t="inlineStr">
        <is>
          <t>Neptune Hydroponics kompakt PAR mérő</t>
        </is>
      </c>
      <c r="C1596" s="17" t="inlineStr">
        <is>
          <t>–</t>
        </is>
      </c>
      <c r="D1596" s="17" t="inlineStr"/>
      <c r="E1596" s="17" t="inlineStr">
        <is>
          <t>Nem tartozik ide</t>
        </is>
      </c>
      <c r="F1596" s="17" t="inlineStr">
        <is>
          <t>az elmúlt 6 hónapban</t>
        </is>
      </c>
      <c r="G1596" s="17" t="inlineStr">
        <is>
          <t>Más főkategória terméke</t>
        </is>
      </c>
    </row>
    <row r="1597">
      <c r="A1597" s="17" t="inlineStr">
        <is>
          <t>GRO4148</t>
        </is>
      </c>
      <c r="B1597" s="17" t="inlineStr">
        <is>
          <t>Photobio Advanced Quantum PAR mérő</t>
        </is>
      </c>
      <c r="C1597" s="17" t="inlineStr">
        <is>
          <t>–</t>
        </is>
      </c>
      <c r="D1597" s="17" t="inlineStr"/>
      <c r="E1597" s="17" t="inlineStr">
        <is>
          <t>Nem tartozik ide</t>
        </is>
      </c>
      <c r="F1597" s="17" t="inlineStr">
        <is>
          <t>az elmúlt 30 napban</t>
        </is>
      </c>
      <c r="G1597" s="17" t="inlineStr">
        <is>
          <t>Más főkategória terméke</t>
        </is>
      </c>
    </row>
    <row r="1598">
      <c r="A1598" s="17" t="inlineStr">
        <is>
          <t>GRO4160</t>
        </is>
      </c>
      <c r="B1598" s="17" t="inlineStr">
        <is>
          <t>GrowBro CO2 palack</t>
        </is>
      </c>
      <c r="C1598" s="17" t="inlineStr">
        <is>
          <t>–</t>
        </is>
      </c>
      <c r="D1598" s="17" t="inlineStr"/>
      <c r="E1598" s="17" t="inlineStr">
        <is>
          <t>Nem tartozik ide</t>
        </is>
      </c>
      <c r="F1598" s="17" t="inlineStr">
        <is>
          <t>az elmúlt 30 napban</t>
        </is>
      </c>
      <c r="G1598" s="17" t="inlineStr">
        <is>
          <t>Más főkategória terméke</t>
        </is>
      </c>
    </row>
    <row r="1599">
      <c r="A1599" s="17" t="inlineStr">
        <is>
          <t>GRO4161</t>
        </is>
      </c>
      <c r="B1599" s="17" t="inlineStr">
        <is>
          <t>GrowBro regulátor</t>
        </is>
      </c>
      <c r="C1599" s="17" t="inlineStr">
        <is>
          <t>–</t>
        </is>
      </c>
      <c r="D1599" s="17" t="inlineStr"/>
      <c r="E1599" s="17" t="inlineStr">
        <is>
          <t>Nem tartozik ide</t>
        </is>
      </c>
      <c r="F1599" s="17" t="inlineStr">
        <is>
          <t>az elmúlt 6 hónapban</t>
        </is>
      </c>
      <c r="G1599" s="17" t="inlineStr">
        <is>
          <t>Más főkategória terméke</t>
        </is>
      </c>
    </row>
    <row r="1600">
      <c r="A1600" s="17" t="inlineStr">
        <is>
          <t>GRO4162</t>
        </is>
      </c>
      <c r="B1600" s="17" t="inlineStr">
        <is>
          <t>Autopilot Co2 generátor propán gázzal 4KW</t>
        </is>
      </c>
      <c r="C1600" s="17" t="inlineStr">
        <is>
          <t>–</t>
        </is>
      </c>
      <c r="D1600" s="17" t="inlineStr"/>
      <c r="E1600" s="17" t="inlineStr">
        <is>
          <t>Nem tartozik ide</t>
        </is>
      </c>
      <c r="F1600" s="17" t="inlineStr">
        <is>
          <t>az elmúlt 30 napban</t>
        </is>
      </c>
      <c r="G1600" s="17" t="inlineStr">
        <is>
          <t>Más főkategória terméke</t>
        </is>
      </c>
    </row>
    <row r="1601">
      <c r="A1601" s="17" t="inlineStr">
        <is>
          <t>GRO4163</t>
        </is>
      </c>
      <c r="B1601" s="17" t="inlineStr">
        <is>
          <t>Autopilot Co2 generátor propán gázzal 8KW</t>
        </is>
      </c>
      <c r="C1601" s="17" t="inlineStr">
        <is>
          <t>–</t>
        </is>
      </c>
      <c r="D1601" s="17" t="inlineStr"/>
      <c r="E1601" s="17" t="inlineStr">
        <is>
          <t>Nem tartozik ide</t>
        </is>
      </c>
      <c r="F1601" s="17" t="inlineStr">
        <is>
          <t>az elmúlt 30 napban</t>
        </is>
      </c>
      <c r="G1601" s="17" t="inlineStr">
        <is>
          <t>Más főkategória terméke</t>
        </is>
      </c>
    </row>
    <row r="1602">
      <c r="A1602" s="17" t="inlineStr">
        <is>
          <t>GRO4164</t>
        </is>
      </c>
      <c r="B1602" s="17" t="inlineStr">
        <is>
          <t>Dimlux Xtreme Series MKII LED 550W 3.4</t>
        </is>
      </c>
      <c r="C1602" s="17" t="inlineStr">
        <is>
          <t>–</t>
        </is>
      </c>
      <c r="D1602" s="17" t="inlineStr"/>
      <c r="E1602" s="17" t="inlineStr">
        <is>
          <t>Nem tartozik ide</t>
        </is>
      </c>
      <c r="F1602" s="17" t="inlineStr">
        <is>
          <t>az elmúlt 30 napban</t>
        </is>
      </c>
      <c r="G1602" s="17" t="inlineStr">
        <is>
          <t>Más főkategória terméke</t>
        </is>
      </c>
    </row>
    <row r="1603">
      <c r="A1603" s="17" t="inlineStr">
        <is>
          <t>GRO4165</t>
        </is>
      </c>
      <c r="B1603" s="17" t="inlineStr">
        <is>
          <t>Dimlux Xtreme Series MKII LED 800W 3.45</t>
        </is>
      </c>
      <c r="C1603" s="17" t="inlineStr">
        <is>
          <t>–</t>
        </is>
      </c>
      <c r="D1603" s="17" t="inlineStr"/>
      <c r="E1603" s="17" t="inlineStr">
        <is>
          <t>Nem tartozik ide</t>
        </is>
      </c>
      <c r="F1603" s="17" t="inlineStr">
        <is>
          <t>az elmúlt 30 napban</t>
        </is>
      </c>
      <c r="G1603" s="17" t="inlineStr">
        <is>
          <t>Más főkategória terméke</t>
        </is>
      </c>
    </row>
    <row r="1604">
      <c r="A1604" s="17" t="inlineStr">
        <is>
          <t>GRO4166</t>
        </is>
      </c>
      <c r="B1604" s="17" t="inlineStr">
        <is>
          <t>Dimlux Xtreme Series MKII LED 1050W 3.55</t>
        </is>
      </c>
      <c r="C1604" s="17" t="inlineStr">
        <is>
          <t>–</t>
        </is>
      </c>
      <c r="D1604" s="17" t="inlineStr"/>
      <c r="E1604" s="17" t="inlineStr">
        <is>
          <t>Nem tartozik ide</t>
        </is>
      </c>
      <c r="F1604" s="17" t="inlineStr">
        <is>
          <t>az elmúlt 30 napban</t>
        </is>
      </c>
      <c r="G1604" s="17" t="inlineStr">
        <is>
          <t>Más főkategória terméke</t>
        </is>
      </c>
    </row>
    <row r="1605">
      <c r="A1605" s="17" t="inlineStr">
        <is>
          <t>GRO4167</t>
        </is>
      </c>
      <c r="B1605" s="17" t="inlineStr">
        <is>
          <t>Dimlux Xtreme NIR+UV-A ADD-ON LED 70W</t>
        </is>
      </c>
      <c r="C1605" s="17" t="inlineStr">
        <is>
          <t>–</t>
        </is>
      </c>
      <c r="D1605" s="17" t="inlineStr"/>
      <c r="E1605" s="17" t="inlineStr">
        <is>
          <t>Nem tartozik ide</t>
        </is>
      </c>
      <c r="F1605" s="17" t="inlineStr">
        <is>
          <t>az elmúlt 30 napban</t>
        </is>
      </c>
      <c r="G1605" s="17" t="inlineStr">
        <is>
          <t>Más főkategória terméke</t>
        </is>
      </c>
    </row>
    <row r="1606">
      <c r="A1606" s="17" t="inlineStr">
        <is>
          <t>GRO4168</t>
        </is>
      </c>
      <c r="B1606" s="17" t="inlineStr">
        <is>
          <t>Dimlux Xtreme NIR+UV-A ADD-ON LED 140W</t>
        </is>
      </c>
      <c r="C1606" s="17" t="inlineStr">
        <is>
          <t>–</t>
        </is>
      </c>
      <c r="D1606" s="17" t="inlineStr"/>
      <c r="E1606" s="17" t="inlineStr">
        <is>
          <t>Nem tartozik ide</t>
        </is>
      </c>
      <c r="F1606" s="17" t="inlineStr">
        <is>
          <t>az elmúlt 30 napban</t>
        </is>
      </c>
      <c r="G1606" s="17" t="inlineStr">
        <is>
          <t>Más főkategória terméke</t>
        </is>
      </c>
    </row>
    <row r="1607">
      <c r="A1607" s="17" t="inlineStr">
        <is>
          <t>GRO4169</t>
        </is>
      </c>
      <c r="B1607" s="17" t="inlineStr">
        <is>
          <t>Dimlux Xtreme Series UV-B Booster Add-On T5 fénycső 22W</t>
        </is>
      </c>
      <c r="C1607" s="17" t="inlineStr">
        <is>
          <t>–</t>
        </is>
      </c>
      <c r="D1607" s="17" t="inlineStr"/>
      <c r="E1607" s="17" t="inlineStr">
        <is>
          <t>Nem tartozik ide</t>
        </is>
      </c>
      <c r="F1607" s="17" t="inlineStr">
        <is>
          <t>az elmúlt 30 napban</t>
        </is>
      </c>
      <c r="G1607" s="17" t="inlineStr">
        <is>
          <t>Más főkategória terméke</t>
        </is>
      </c>
    </row>
    <row r="1608">
      <c r="A1608" s="17" t="inlineStr">
        <is>
          <t>GRO4170</t>
        </is>
      </c>
      <c r="B1608" s="17" t="inlineStr">
        <is>
          <t>Dimlux Xtreme Series UV-B Booster Add-On T5 fénycső 33W</t>
        </is>
      </c>
      <c r="C1608" s="17" t="inlineStr">
        <is>
          <t>–</t>
        </is>
      </c>
      <c r="D1608" s="17" t="inlineStr"/>
      <c r="E1608" s="17" t="inlineStr">
        <is>
          <t>Nem tartozik ide</t>
        </is>
      </c>
      <c r="F1608" s="17" t="inlineStr">
        <is>
          <t>az elmúlt 30 napban</t>
        </is>
      </c>
      <c r="G1608" s="17" t="inlineStr">
        <is>
          <t>Más főkategória terméke</t>
        </is>
      </c>
    </row>
    <row r="1609">
      <c r="A1609" s="17" t="inlineStr">
        <is>
          <t>GRO4171</t>
        </is>
      </c>
      <c r="B1609" s="17" t="inlineStr">
        <is>
          <t>Dimlux Xplore series 9X LED 730W 2.7</t>
        </is>
      </c>
      <c r="C1609" s="17" t="inlineStr">
        <is>
          <t>–</t>
        </is>
      </c>
      <c r="D1609" s="17" t="inlineStr"/>
      <c r="E1609" s="17" t="inlineStr">
        <is>
          <t>Nem tartozik ide</t>
        </is>
      </c>
      <c r="F1609" s="17" t="inlineStr">
        <is>
          <t>az elmúlt 30 napban</t>
        </is>
      </c>
      <c r="G1609" s="17" t="inlineStr">
        <is>
          <t>Más főkategória terméke</t>
        </is>
      </c>
    </row>
    <row r="1610">
      <c r="A1610" s="17" t="inlineStr">
        <is>
          <t>GRO4172</t>
        </is>
      </c>
      <c r="B1610" s="17" t="inlineStr">
        <is>
          <t>Dimlux Xplore series 9X LED 730W 3.0</t>
        </is>
      </c>
      <c r="C1610" s="17" t="inlineStr">
        <is>
          <t>–</t>
        </is>
      </c>
      <c r="D1610" s="17" t="inlineStr"/>
      <c r="E1610" s="17" t="inlineStr">
        <is>
          <t>Nem tartozik ide</t>
        </is>
      </c>
      <c r="F1610" s="17" t="inlineStr">
        <is>
          <t>az elmúlt 30 napban</t>
        </is>
      </c>
      <c r="G1610" s="17" t="inlineStr">
        <is>
          <t>Más főkategória terméke</t>
        </is>
      </c>
    </row>
    <row r="1611">
      <c r="A1611" s="17" t="inlineStr">
        <is>
          <t>GRO4173</t>
        </is>
      </c>
      <c r="B1611" s="17" t="inlineStr">
        <is>
          <t>Dimlux Xplore Series UV ADD-ON LED 2x25W</t>
        </is>
      </c>
      <c r="C1611" s="17" t="inlineStr">
        <is>
          <t>–</t>
        </is>
      </c>
      <c r="D1611" s="17" t="inlineStr"/>
      <c r="E1611" s="17" t="inlineStr">
        <is>
          <t>Nem tartozik ide</t>
        </is>
      </c>
      <c r="F1611" s="17" t="inlineStr">
        <is>
          <t>az elmúlt 30 napban</t>
        </is>
      </c>
      <c r="G1611" s="17" t="inlineStr">
        <is>
          <t>Más főkategória terméke</t>
        </is>
      </c>
    </row>
    <row r="1612">
      <c r="A1612" s="17" t="inlineStr">
        <is>
          <t>GRO4174</t>
        </is>
      </c>
      <c r="B1612" s="17" t="inlineStr">
        <is>
          <t>Dimlux Xplore Series NIR ADD-ON LED 2x25W</t>
        </is>
      </c>
      <c r="C1612" s="17" t="inlineStr">
        <is>
          <t>–</t>
        </is>
      </c>
      <c r="D1612" s="17" t="inlineStr"/>
      <c r="E1612" s="17" t="inlineStr">
        <is>
          <t>Nem tartozik ide</t>
        </is>
      </c>
      <c r="F1612" s="17" t="inlineStr">
        <is>
          <t>az elmúlt 30 napban</t>
        </is>
      </c>
      <c r="G1612" s="17" t="inlineStr">
        <is>
          <t>Más főkategória terméke</t>
        </is>
      </c>
    </row>
    <row r="1613">
      <c r="A1613" s="17" t="inlineStr">
        <is>
          <t>GRO4175</t>
        </is>
      </c>
      <c r="B1613" s="17" t="inlineStr">
        <is>
          <t>Dimlux Xplore Series NIR+UV ADD-ON 2x25W</t>
        </is>
      </c>
      <c r="C1613" s="17" t="inlineStr">
        <is>
          <t>–</t>
        </is>
      </c>
      <c r="D1613" s="17" t="inlineStr"/>
      <c r="E1613" s="17" t="inlineStr">
        <is>
          <t>Nem tartozik ide</t>
        </is>
      </c>
      <c r="F1613" s="17" t="inlineStr">
        <is>
          <t>az elmúlt 30 napban</t>
        </is>
      </c>
      <c r="G1613" s="17" t="inlineStr">
        <is>
          <t>Más főkategória terméke</t>
        </is>
      </c>
    </row>
    <row r="1614">
      <c r="A1614" s="17" t="inlineStr">
        <is>
          <t>GRO4188</t>
        </is>
      </c>
      <c r="B1614" s="17" t="inlineStr">
        <is>
          <t>AC Infinity Advanced sátor szett WIFI 2 növényes 60x120x180 cm</t>
        </is>
      </c>
      <c r="C1614" s="17" t="inlineStr">
        <is>
          <t>–</t>
        </is>
      </c>
      <c r="D1614" s="17" t="inlineStr"/>
      <c r="E1614" s="17" t="inlineStr">
        <is>
          <t>Nem tartozik ide</t>
        </is>
      </c>
      <c r="F1614" s="17" t="inlineStr">
        <is>
          <t>az elmúlt 30 napban</t>
        </is>
      </c>
      <c r="G1614" s="17" t="inlineStr">
        <is>
          <t>Más főkategória terméke</t>
        </is>
      </c>
    </row>
    <row r="1615">
      <c r="A1615" s="17" t="inlineStr">
        <is>
          <t>GRO4189</t>
        </is>
      </c>
      <c r="B1615" s="17" t="inlineStr">
        <is>
          <t>AC Infinity Advanced sátor szett WIFI 3 növényes 90x90x180 cm</t>
        </is>
      </c>
      <c r="C1615" s="17" t="inlineStr">
        <is>
          <t>–</t>
        </is>
      </c>
      <c r="D1615" s="17" t="inlineStr"/>
      <c r="E1615" s="17" t="inlineStr">
        <is>
          <t>Nem tartozik ide</t>
        </is>
      </c>
      <c r="F1615" s="17" t="inlineStr">
        <is>
          <t>az elmúlt 30 napban</t>
        </is>
      </c>
      <c r="G1615" s="17" t="inlineStr">
        <is>
          <t>Más főkategória terméke</t>
        </is>
      </c>
    </row>
    <row r="1616">
      <c r="A1616" s="17" t="inlineStr">
        <is>
          <t>GRO4190</t>
        </is>
      </c>
      <c r="B1616" s="17" t="inlineStr">
        <is>
          <t>AC Infinity Ionframe EVO4 Samsung LM301H Growing LED 90x90 cm 300W</t>
        </is>
      </c>
      <c r="C1616" s="17" t="inlineStr">
        <is>
          <t>–</t>
        </is>
      </c>
      <c r="D1616" s="17" t="inlineStr"/>
      <c r="E1616" s="17" t="inlineStr">
        <is>
          <t>Nem tartozik ide</t>
        </is>
      </c>
      <c r="F1616" s="17" t="inlineStr">
        <is>
          <t>az elmúlt 30 napban</t>
        </is>
      </c>
      <c r="G1616" s="17" t="inlineStr">
        <is>
          <t>Más főkategória terméke</t>
        </is>
      </c>
    </row>
    <row r="1617">
      <c r="A1617" s="17" t="inlineStr">
        <is>
          <t>GRO4191</t>
        </is>
      </c>
      <c r="B1617" s="17" t="inlineStr">
        <is>
          <t>AC Infinity Cloudline Lite A4 ventilátor sebességszabályzóval 100 mm</t>
        </is>
      </c>
      <c r="C1617" s="17" t="inlineStr">
        <is>
          <t>–</t>
        </is>
      </c>
      <c r="D1617" s="17" t="inlineStr"/>
      <c r="E1617" s="17" t="inlineStr">
        <is>
          <t>Nem tartozik ide</t>
        </is>
      </c>
      <c r="F1617" s="17" t="inlineStr">
        <is>
          <t>az elmúlt 30 napban</t>
        </is>
      </c>
      <c r="G1617" s="17" t="inlineStr">
        <is>
          <t>Más főkategória terméke</t>
        </is>
      </c>
    </row>
    <row r="1618">
      <c r="A1618" s="17" t="inlineStr">
        <is>
          <t>GRO4192</t>
        </is>
      </c>
      <c r="B1618" s="17" t="inlineStr">
        <is>
          <t>AC Infinity Cloudline Lite A6 ventilátor sebességszabályzóval 150 mm</t>
        </is>
      </c>
      <c r="C1618" s="17" t="inlineStr">
        <is>
          <t>–</t>
        </is>
      </c>
      <c r="D1618" s="17" t="inlineStr"/>
      <c r="E1618" s="17" t="inlineStr">
        <is>
          <t>Nem tartozik ide</t>
        </is>
      </c>
      <c r="F1618" s="17" t="inlineStr">
        <is>
          <t>az elmúlt 30 napban</t>
        </is>
      </c>
      <c r="G1618" s="17" t="inlineStr">
        <is>
          <t>Más főkategória terméke</t>
        </is>
      </c>
    </row>
    <row r="1619">
      <c r="A1619" s="17" t="inlineStr">
        <is>
          <t>GRO4193</t>
        </is>
      </c>
      <c r="B1619" s="17" t="inlineStr">
        <is>
          <t>AC Infinity Cloudline pro S4 Inline ventilátor sebességszabályzóval 100 mm</t>
        </is>
      </c>
      <c r="C1619" s="17" t="inlineStr">
        <is>
          <t>–</t>
        </is>
      </c>
      <c r="D1619" s="17" t="inlineStr"/>
      <c r="E1619" s="17" t="inlineStr">
        <is>
          <t>Nem tartozik ide</t>
        </is>
      </c>
      <c r="F1619" s="17" t="inlineStr">
        <is>
          <t>2024-10 – 2025-09 (lehet, hogy már nem aktív)</t>
        </is>
      </c>
      <c r="G1619" s="17" t="inlineStr">
        <is>
          <t>Más főkategória terméke</t>
        </is>
      </c>
    </row>
    <row r="1620">
      <c r="A1620" s="17" t="inlineStr">
        <is>
          <t>GRO4194</t>
        </is>
      </c>
      <c r="B1620" s="17" t="inlineStr">
        <is>
          <t>AC Infinity Cloudline pro S6 Inline ventilátor sebességszabályzóval 150 mm</t>
        </is>
      </c>
      <c r="C1620" s="17" t="inlineStr">
        <is>
          <t>–</t>
        </is>
      </c>
      <c r="D1620" s="17" t="inlineStr"/>
      <c r="E1620" s="17" t="inlineStr">
        <is>
          <t>Nem tartozik ide</t>
        </is>
      </c>
      <c r="F1620" s="17" t="inlineStr">
        <is>
          <t>az elmúlt 30 napban</t>
        </is>
      </c>
      <c r="G1620" s="17" t="inlineStr">
        <is>
          <t>Más főkategória terméke</t>
        </is>
      </c>
    </row>
    <row r="1621">
      <c r="A1621" s="17" t="inlineStr">
        <is>
          <t>GRO4195</t>
        </is>
      </c>
      <c r="B1621" s="17" t="inlineStr">
        <is>
          <t>AC Infinity Cloudline pro T6 Inline ventillátor hőmérséklet és páratartalom szabályzóval 150 mm</t>
        </is>
      </c>
      <c r="C1621" s="17" t="inlineStr">
        <is>
          <t>–</t>
        </is>
      </c>
      <c r="D1621" s="17" t="inlineStr"/>
      <c r="E1621" s="17" t="inlineStr">
        <is>
          <t>Nem tartozik ide</t>
        </is>
      </c>
      <c r="F1621" s="17" t="inlineStr">
        <is>
          <t>az elmúlt 30 napban</t>
        </is>
      </c>
      <c r="G1621" s="17" t="inlineStr">
        <is>
          <t>Más főkategória terméke</t>
        </is>
      </c>
    </row>
    <row r="1622">
      <c r="A1622" s="17" t="inlineStr">
        <is>
          <t>GRO4196</t>
        </is>
      </c>
      <c r="B1622" s="17" t="inlineStr">
        <is>
          <t>AC Infinity Cloudray S6 GEN2 csíptethető ventillátor 10 sebességes automatikus oszcilláló 150 mm 535m3/h</t>
        </is>
      </c>
      <c r="C1622" s="17" t="inlineStr">
        <is>
          <t>–</t>
        </is>
      </c>
      <c r="D1622" s="17" t="inlineStr"/>
      <c r="E1622" s="17" t="inlineStr">
        <is>
          <t>Nem tartozik ide</t>
        </is>
      </c>
      <c r="F1622" s="17" t="inlineStr">
        <is>
          <t>az elmúlt 30 napban</t>
        </is>
      </c>
      <c r="G1622" s="17" t="inlineStr">
        <is>
          <t>Más főkategória terméke</t>
        </is>
      </c>
    </row>
    <row r="1623">
      <c r="A1623" s="17" t="inlineStr">
        <is>
          <t>GRO4197</t>
        </is>
      </c>
      <c r="B1623" s="17" t="inlineStr">
        <is>
          <t>AC Infinity Cloudray S9 GEN2 csíptethető ventilátor 10 sebességes automatikus oszcilláló 225mm 688m3/h</t>
        </is>
      </c>
      <c r="C1623" s="17" t="inlineStr">
        <is>
          <t>–</t>
        </is>
      </c>
      <c r="D1623" s="17" t="inlineStr"/>
      <c r="E1623" s="17" t="inlineStr">
        <is>
          <t>Nem tartozik ide</t>
        </is>
      </c>
      <c r="F1623" s="17" t="inlineStr">
        <is>
          <t>az elmúlt 30 napban</t>
        </is>
      </c>
      <c r="G1623" s="17" t="inlineStr">
        <is>
          <t>Más főkategória terméke</t>
        </is>
      </c>
    </row>
    <row r="1624">
      <c r="A1624" s="17" t="inlineStr">
        <is>
          <t>GRO4198</t>
        </is>
      </c>
      <c r="B1624" s="17" t="inlineStr">
        <is>
          <t>AC Infinity Controller 69 Pro Bluetooth+WiFi 4 eszköz független vezérléséhez</t>
        </is>
      </c>
      <c r="C1624" s="17" t="inlineStr">
        <is>
          <t>–</t>
        </is>
      </c>
      <c r="D1624" s="17" t="inlineStr"/>
      <c r="E1624" s="17" t="inlineStr">
        <is>
          <t>Nem tartozik ide</t>
        </is>
      </c>
      <c r="F1624" s="17" t="inlineStr">
        <is>
          <t>az elmúlt 30 napban</t>
        </is>
      </c>
      <c r="G1624" s="17" t="inlineStr">
        <is>
          <t>Más főkategória terméke</t>
        </is>
      </c>
    </row>
    <row r="1625">
      <c r="A1625" s="17" t="inlineStr">
        <is>
          <t>GRO4199</t>
        </is>
      </c>
      <c r="B1625" s="17" t="inlineStr">
        <is>
          <t>AC Infinity Controller AI+ intelligens környezeti vezérlés</t>
        </is>
      </c>
      <c r="C1625" s="17" t="inlineStr">
        <is>
          <t>–</t>
        </is>
      </c>
      <c r="D1625" s="17" t="inlineStr"/>
      <c r="E1625" s="17" t="inlineStr">
        <is>
          <t>Nem tartozik ide</t>
        </is>
      </c>
      <c r="F1625" s="17" t="inlineStr">
        <is>
          <t>az elmúlt 30 napban</t>
        </is>
      </c>
      <c r="G1625" s="17" t="inlineStr">
        <is>
          <t>Más főkategória terméke</t>
        </is>
      </c>
    </row>
    <row r="1626">
      <c r="A1626" s="17" t="inlineStr">
        <is>
          <t>GRO4200</t>
        </is>
      </c>
      <c r="B1626" s="17" t="inlineStr">
        <is>
          <t>AC Infinity Cloudforge T3 párásító intelligens,célzott párakibocsátással 4,5 L</t>
        </is>
      </c>
      <c r="C1626" s="17" t="inlineStr">
        <is>
          <t>–</t>
        </is>
      </c>
      <c r="D1626" s="17" t="inlineStr"/>
      <c r="E1626" s="17" t="inlineStr">
        <is>
          <t>Nem tartozik ide</t>
        </is>
      </c>
      <c r="F1626" s="17" t="inlineStr">
        <is>
          <t>az elmúlt 30 napban</t>
        </is>
      </c>
      <c r="G1626" s="17" t="inlineStr">
        <is>
          <t>Más főkategória terméke</t>
        </is>
      </c>
    </row>
    <row r="1627">
      <c r="A1627" s="17" t="inlineStr">
        <is>
          <t>GRO4203</t>
        </is>
      </c>
      <c r="B1627" s="17" t="inlineStr">
        <is>
          <t>AC Infinity védőszemüveg 3 cserélhető lencsével</t>
        </is>
      </c>
      <c r="C1627" s="17" t="inlineStr">
        <is>
          <t>–</t>
        </is>
      </c>
      <c r="D1627" s="17" t="inlineStr"/>
      <c r="E1627" s="17" t="inlineStr">
        <is>
          <t>Nem tartozik ide</t>
        </is>
      </c>
      <c r="F1627" s="17" t="inlineStr">
        <is>
          <t>az elmúlt 30 napban</t>
        </is>
      </c>
      <c r="G1627" s="17" t="inlineStr">
        <is>
          <t>Más főkategória terméke</t>
        </is>
      </c>
    </row>
    <row r="1628">
      <c r="A1628" s="17" t="inlineStr">
        <is>
          <t>GRO4204</t>
        </is>
      </c>
      <c r="B1628" s="17" t="inlineStr">
        <is>
          <t>AC Infinity trimmelő olló ívelt,rozsdamentes acél 16,8 cm</t>
        </is>
      </c>
      <c r="C1628" s="17" t="inlineStr">
        <is>
          <t>–</t>
        </is>
      </c>
      <c r="D1628" s="17" t="inlineStr"/>
      <c r="E1628" s="17" t="inlineStr">
        <is>
          <t>Nem tartozik ide</t>
        </is>
      </c>
      <c r="F1628" s="17" t="inlineStr">
        <is>
          <t>az elmúlt 30 napban</t>
        </is>
      </c>
      <c r="G1628" s="17" t="inlineStr">
        <is>
          <t>Más főkategória terméke</t>
        </is>
      </c>
    </row>
    <row r="1629">
      <c r="A1629" s="17" t="inlineStr">
        <is>
          <t>GRO4205</t>
        </is>
      </c>
      <c r="B1629" s="17" t="inlineStr">
        <is>
          <t>AC Infinity trimmelő olló egyenes,rozsdamentes acél 16,8 cm</t>
        </is>
      </c>
      <c r="C1629" s="17" t="inlineStr">
        <is>
          <t>–</t>
        </is>
      </c>
      <c r="D1629" s="17" t="inlineStr"/>
      <c r="E1629" s="17" t="inlineStr">
        <is>
          <t>Nem tartozik ide</t>
        </is>
      </c>
      <c r="F1629" s="17" t="inlineStr">
        <is>
          <t>az elmúlt 30 napban</t>
        </is>
      </c>
      <c r="G1629" s="17" t="inlineStr">
        <is>
          <t>Más főkategória terméke</t>
        </is>
      </c>
    </row>
    <row r="1630">
      <c r="A1630" s="17" t="inlineStr">
        <is>
          <t>GRO4206</t>
        </is>
      </c>
      <c r="B1630" s="17" t="inlineStr">
        <is>
          <t>AC Infinity trimmelő olló egyenes,rozsdamentes acél,tisztítószettel 16,8 cm</t>
        </is>
      </c>
      <c r="C1630" s="17" t="inlineStr">
        <is>
          <t>–</t>
        </is>
      </c>
      <c r="D1630" s="17" t="inlineStr"/>
      <c r="E1630" s="17" t="inlineStr">
        <is>
          <t>Nem tartozik ide</t>
        </is>
      </c>
      <c r="F1630" s="17" t="inlineStr">
        <is>
          <t>az elmúlt 30 napban</t>
        </is>
      </c>
      <c r="G1630" s="17" t="inlineStr">
        <is>
          <t>Más főkategória terméke</t>
        </is>
      </c>
    </row>
    <row r="1631">
      <c r="A1631" s="17" t="inlineStr">
        <is>
          <t>GRO4208</t>
        </is>
      </c>
      <c r="B1631" s="17" t="inlineStr">
        <is>
          <t>AC Infinity Cloudray A6 csíptethető ventilátor 10 sebességes manuális 150 mm</t>
        </is>
      </c>
      <c r="C1631" s="17" t="inlineStr">
        <is>
          <t>–</t>
        </is>
      </c>
      <c r="D1631" s="17" t="inlineStr"/>
      <c r="E1631" s="17" t="inlineStr">
        <is>
          <t>Nem tartozik ide</t>
        </is>
      </c>
      <c r="F1631" s="17" t="inlineStr">
        <is>
          <t>az elmúlt 30 napban</t>
        </is>
      </c>
      <c r="G1631" s="17" t="inlineStr">
        <is>
          <t>Más főkategória terméke</t>
        </is>
      </c>
    </row>
    <row r="1632">
      <c r="A1632" s="17" t="inlineStr">
        <is>
          <t>GRO4209</t>
        </is>
      </c>
      <c r="B1632" s="17" t="inlineStr">
        <is>
          <t>AC Infinity Cloudforge T7 párásító intelligens,célzott párakibocsátással 15 L</t>
        </is>
      </c>
      <c r="C1632" s="17" t="inlineStr">
        <is>
          <t>–</t>
        </is>
      </c>
      <c r="D1632" s="17" t="inlineStr"/>
      <c r="E1632" s="17" t="inlineStr">
        <is>
          <t>Nem tartozik ide</t>
        </is>
      </c>
      <c r="F1632" s="17" t="inlineStr">
        <is>
          <t>az elmúlt 30 napban</t>
        </is>
      </c>
      <c r="G1632" s="17" t="inlineStr">
        <is>
          <t>Más főkategória terméke</t>
        </is>
      </c>
    </row>
    <row r="1633">
      <c r="A1633" s="17" t="inlineStr">
        <is>
          <t>GRO4210</t>
        </is>
      </c>
      <c r="B1633" s="17" t="inlineStr">
        <is>
          <t>Urban Garden Polaris LED full spectrum 120W 2.9</t>
        </is>
      </c>
      <c r="C1633" s="17" t="inlineStr">
        <is>
          <t>–</t>
        </is>
      </c>
      <c r="D1633" s="17" t="inlineStr"/>
      <c r="E1633" s="17" t="inlineStr">
        <is>
          <t>Nem tartozik ide</t>
        </is>
      </c>
      <c r="F1633" s="17" t="inlineStr">
        <is>
          <t>2025-10 – 2026-04</t>
        </is>
      </c>
      <c r="G1633" s="17" t="inlineStr">
        <is>
          <t>Más főkategória terméke</t>
        </is>
      </c>
    </row>
    <row r="1634">
      <c r="A1634" s="17" t="inlineStr">
        <is>
          <t>GRO4211</t>
        </is>
      </c>
      <c r="B1634" s="17" t="inlineStr">
        <is>
          <t>Urban Garden Polaris LED full spectrum 460nm 240W 2.9</t>
        </is>
      </c>
      <c r="C1634" s="17" t="inlineStr">
        <is>
          <t>–</t>
        </is>
      </c>
      <c r="D1634" s="17" t="inlineStr"/>
      <c r="E1634" s="17" t="inlineStr">
        <is>
          <t>Nem tartozik ide</t>
        </is>
      </c>
      <c r="F1634" s="17" t="inlineStr">
        <is>
          <t>2025-10 – 2026-04</t>
        </is>
      </c>
      <c r="G1634" s="17" t="inlineStr">
        <is>
          <t>Más főkategória terméke</t>
        </is>
      </c>
    </row>
    <row r="1635">
      <c r="A1635" s="17" t="inlineStr">
        <is>
          <t>GRO4214</t>
        </is>
      </c>
      <c r="B1635" s="17" t="inlineStr">
        <is>
          <t>Prima Klima Ecoline K2601 480 m3/h Pre Filter</t>
        </is>
      </c>
      <c r="C1635" s="17" t="inlineStr">
        <is>
          <t>–</t>
        </is>
      </c>
      <c r="D1635" s="17" t="inlineStr"/>
      <c r="E1635" s="17" t="inlineStr">
        <is>
          <t>Nem tartozik ide</t>
        </is>
      </c>
      <c r="F1635" s="17" t="inlineStr">
        <is>
          <t>az elmúlt 30 napban</t>
        </is>
      </c>
      <c r="G1635" s="17" t="inlineStr">
        <is>
          <t>Más főkategória terméke</t>
        </is>
      </c>
    </row>
    <row r="1636">
      <c r="A1636" s="17" t="inlineStr">
        <is>
          <t>GRO4215</t>
        </is>
      </c>
      <c r="B1636" s="17" t="inlineStr">
        <is>
          <t>Prima Klima Industry Line K1614 3600 m3/h Pre Filter</t>
        </is>
      </c>
      <c r="C1636" s="17" t="inlineStr">
        <is>
          <t>–</t>
        </is>
      </c>
      <c r="D1636" s="17" t="inlineStr"/>
      <c r="E1636" s="17" t="inlineStr">
        <is>
          <t>Nem tartozik ide</t>
        </is>
      </c>
      <c r="F1636" s="17" t="inlineStr">
        <is>
          <t>az elmúlt 30 napban</t>
        </is>
      </c>
      <c r="G1636" s="17" t="inlineStr">
        <is>
          <t>Más főkategória terméke</t>
        </is>
      </c>
    </row>
    <row r="1637">
      <c r="A1637" s="17" t="inlineStr">
        <is>
          <t>GRO4216</t>
        </is>
      </c>
      <c r="B1637" s="17" t="inlineStr">
        <is>
          <t>Prima Klima Industry Line K1612 2700 m3/h Pre Filter</t>
        </is>
      </c>
      <c r="C1637" s="17" t="inlineStr">
        <is>
          <t>–</t>
        </is>
      </c>
      <c r="D1637" s="17" t="inlineStr"/>
      <c r="E1637" s="17" t="inlineStr">
        <is>
          <t>Nem tartozik ide</t>
        </is>
      </c>
      <c r="F1637" s="17" t="inlineStr">
        <is>
          <t>az elmúlt 30 napban</t>
        </is>
      </c>
      <c r="G1637" s="17" t="inlineStr">
        <is>
          <t>Más főkategória terméke</t>
        </is>
      </c>
    </row>
    <row r="1638">
      <c r="A1638" s="17" t="inlineStr">
        <is>
          <t>GRO4219</t>
        </is>
      </c>
      <c r="B1638" s="17" t="inlineStr">
        <is>
          <t>Aqua Master S300 Pro3 pH mérő</t>
        </is>
      </c>
      <c r="C1638" s="17" t="inlineStr">
        <is>
          <t>–</t>
        </is>
      </c>
      <c r="D1638" s="17" t="inlineStr"/>
      <c r="E1638" s="17" t="inlineStr">
        <is>
          <t>Nem tartozik ide</t>
        </is>
      </c>
      <c r="F1638" s="17" t="inlineStr">
        <is>
          <t>az elmúlt 30 napban</t>
        </is>
      </c>
      <c r="G1638" s="17" t="inlineStr">
        <is>
          <t>Más főkategória terméke</t>
        </is>
      </c>
    </row>
    <row r="1639">
      <c r="A1639" s="17" t="inlineStr">
        <is>
          <t>GRO4225</t>
        </is>
      </c>
      <c r="B1639" s="17" t="inlineStr">
        <is>
          <t>pH teszt papír 4,5-9 pH precíziós lakmuszpapír 100 db</t>
        </is>
      </c>
      <c r="C1639" s="17" t="inlineStr">
        <is>
          <t>–</t>
        </is>
      </c>
      <c r="D1639" s="17" t="inlineStr"/>
      <c r="E1639" s="17" t="inlineStr">
        <is>
          <t>Nem tartozik ide</t>
        </is>
      </c>
      <c r="F1639" s="17" t="inlineStr">
        <is>
          <t>az elmúlt 30 napban</t>
        </is>
      </c>
      <c r="G1639" s="17" t="inlineStr">
        <is>
          <t>Más főkategória terméke</t>
        </is>
      </c>
    </row>
    <row r="1640">
      <c r="A1640" s="17" t="inlineStr">
        <is>
          <t>GRO4226</t>
        </is>
      </c>
      <c r="B1640" s="17" t="inlineStr">
        <is>
          <t>Dimlux Xplore series LED 730W 2.7</t>
        </is>
      </c>
      <c r="C1640" s="17" t="inlineStr">
        <is>
          <t>–</t>
        </is>
      </c>
      <c r="D1640" s="17" t="inlineStr"/>
      <c r="E1640" s="17" t="inlineStr">
        <is>
          <t>Nem tartozik ide</t>
        </is>
      </c>
      <c r="F1640" s="17" t="inlineStr">
        <is>
          <t>az elmúlt 30 napban</t>
        </is>
      </c>
      <c r="G1640" s="17" t="inlineStr">
        <is>
          <t>Más főkategória terméke</t>
        </is>
      </c>
    </row>
    <row r="1641">
      <c r="A1641" s="17" t="inlineStr">
        <is>
          <t>GRO4227</t>
        </is>
      </c>
      <c r="B1641" s="17" t="inlineStr">
        <is>
          <t>Dimlux Xplore series LED 730W 3.0</t>
        </is>
      </c>
      <c r="C1641" s="17" t="inlineStr">
        <is>
          <t>–</t>
        </is>
      </c>
      <c r="D1641" s="17" t="inlineStr"/>
      <c r="E1641" s="17" t="inlineStr">
        <is>
          <t>Nem tartozik ide</t>
        </is>
      </c>
      <c r="F1641" s="17" t="inlineStr">
        <is>
          <t>az elmúlt 30 napban</t>
        </is>
      </c>
      <c r="G1641" s="17" t="inlineStr">
        <is>
          <t>Más főkategória terméke</t>
        </is>
      </c>
    </row>
    <row r="1642">
      <c r="A1642" s="17" t="inlineStr">
        <is>
          <t>GRO4231</t>
        </is>
      </c>
      <c r="B1642" s="17" t="inlineStr">
        <is>
          <t>GF Termesztősátor 120x120x200 cm</t>
        </is>
      </c>
      <c r="C1642" s="17" t="inlineStr">
        <is>
          <t>–</t>
        </is>
      </c>
      <c r="D1642" s="17" t="inlineStr"/>
      <c r="E1642" s="17" t="inlineStr">
        <is>
          <t>Nem tartozik ide</t>
        </is>
      </c>
      <c r="F1642" s="17" t="inlineStr">
        <is>
          <t>az elmúlt 6 hónapban</t>
        </is>
      </c>
      <c r="G1642" s="17" t="inlineStr">
        <is>
          <t>Más főkategória terméke</t>
        </is>
      </c>
    </row>
    <row r="1643">
      <c r="A1643" s="17" t="inlineStr">
        <is>
          <t>GRO4235</t>
        </is>
      </c>
      <c r="B1643" s="17" t="inlineStr">
        <is>
          <t>Trimmelőgép Peladora Rapax Secret Smoke L</t>
        </is>
      </c>
      <c r="C1643" s="17" t="inlineStr">
        <is>
          <t>–</t>
        </is>
      </c>
      <c r="D1643" s="17" t="inlineStr"/>
      <c r="E1643" s="17" t="inlineStr">
        <is>
          <t>Nem tartozik ide</t>
        </is>
      </c>
      <c r="F1643" s="17" t="inlineStr">
        <is>
          <t>az elmúlt 30 napban</t>
        </is>
      </c>
      <c r="G1643" s="17" t="inlineStr">
        <is>
          <t>Más főkategória terméke</t>
        </is>
      </c>
    </row>
    <row r="1644">
      <c r="A1644" s="17" t="inlineStr">
        <is>
          <t>GRO4236</t>
        </is>
      </c>
      <c r="B1644" s="17" t="inlineStr">
        <is>
          <t>Cornwall Electronics 16 inch ventilátor fém d: 40 cm 80W</t>
        </is>
      </c>
      <c r="C1644" s="17" t="inlineStr">
        <is>
          <t>–</t>
        </is>
      </c>
      <c r="D1644" s="17" t="inlineStr"/>
      <c r="E1644" s="17" t="inlineStr">
        <is>
          <t>Nem tartozik ide</t>
        </is>
      </c>
      <c r="F1644" s="17" t="inlineStr">
        <is>
          <t>az elmúlt 6 hónapban</t>
        </is>
      </c>
      <c r="G1644" s="17" t="inlineStr">
        <is>
          <t>Más főkategória terméke</t>
        </is>
      </c>
    </row>
    <row r="1645">
      <c r="A1645" s="17" t="inlineStr">
        <is>
          <t>GRO4237</t>
        </is>
      </c>
      <c r="B1645" s="17" t="inlineStr">
        <is>
          <t>GF Termesztősátor 60x60x160 cm</t>
        </is>
      </c>
      <c r="C1645" s="17" t="inlineStr">
        <is>
          <t>–</t>
        </is>
      </c>
      <c r="D1645" s="17" t="inlineStr"/>
      <c r="E1645" s="17" t="inlineStr">
        <is>
          <t>Nem tartozik ide</t>
        </is>
      </c>
      <c r="F1645" s="17" t="inlineStr">
        <is>
          <t>az elmúlt 30 napban</t>
        </is>
      </c>
      <c r="G1645" s="17" t="inlineStr">
        <is>
          <t>Más főkategória terméke</t>
        </is>
      </c>
    </row>
    <row r="1646">
      <c r="A1646" s="17" t="inlineStr">
        <is>
          <t>GRO4238</t>
        </is>
      </c>
      <c r="B1646" s="17" t="inlineStr">
        <is>
          <t>GF Termesztősátor 80x80x180 cm</t>
        </is>
      </c>
      <c r="C1646" s="17" t="inlineStr">
        <is>
          <t>–</t>
        </is>
      </c>
      <c r="D1646" s="17" t="inlineStr"/>
      <c r="E1646" s="17" t="inlineStr">
        <is>
          <t>Nem tartozik ide</t>
        </is>
      </c>
      <c r="F1646" s="17" t="inlineStr">
        <is>
          <t>az elmúlt 30 napban</t>
        </is>
      </c>
      <c r="G1646" s="17" t="inlineStr">
        <is>
          <t>Más főkategória terméke</t>
        </is>
      </c>
    </row>
    <row r="1647">
      <c r="A1647" s="17" t="inlineStr">
        <is>
          <t>GRO4239</t>
        </is>
      </c>
      <c r="B1647" s="17" t="inlineStr">
        <is>
          <t>GF Termesztősátor 100x100x200 cm</t>
        </is>
      </c>
      <c r="C1647" s="17" t="inlineStr">
        <is>
          <t>–</t>
        </is>
      </c>
      <c r="D1647" s="17" t="inlineStr"/>
      <c r="E1647" s="17" t="inlineStr">
        <is>
          <t>Nem tartozik ide</t>
        </is>
      </c>
      <c r="F1647" s="17" t="inlineStr">
        <is>
          <t>az elmúlt 30 napban</t>
        </is>
      </c>
      <c r="G1647" s="17" t="inlineStr">
        <is>
          <t>Más főkategória terméke</t>
        </is>
      </c>
    </row>
    <row r="1648">
      <c r="A1648" s="17" t="inlineStr">
        <is>
          <t>GRO4242</t>
        </is>
      </c>
      <c r="B1648" s="17" t="inlineStr">
        <is>
          <t>GF Ventilátor csíptethető,oszcilláló d: 15 cm</t>
        </is>
      </c>
      <c r="C1648" s="17" t="inlineStr">
        <is>
          <t>–</t>
        </is>
      </c>
      <c r="D1648" s="17" t="inlineStr"/>
      <c r="E1648" s="17" t="inlineStr">
        <is>
          <t>Nem tartozik ide</t>
        </is>
      </c>
      <c r="F1648" s="17" t="inlineStr">
        <is>
          <t>az elmúlt 30 napban</t>
        </is>
      </c>
      <c r="G1648" s="17" t="inlineStr">
        <is>
          <t>Más főkategória terméke</t>
        </is>
      </c>
    </row>
    <row r="1649">
      <c r="A1649" s="17" t="inlineStr">
        <is>
          <t>GRO4245</t>
        </is>
      </c>
      <c r="B1649" s="17" t="inlineStr">
        <is>
          <t>GF Trimmelő olló ívelt szögletes zöld 16,5 cm</t>
        </is>
      </c>
      <c r="C1649" s="17" t="inlineStr">
        <is>
          <t>–</t>
        </is>
      </c>
      <c r="D1649" s="17" t="inlineStr"/>
      <c r="E1649" s="17" t="inlineStr">
        <is>
          <t>Nem tartozik ide</t>
        </is>
      </c>
      <c r="F1649" s="17" t="inlineStr">
        <is>
          <t>az elmúlt 6 hónapban</t>
        </is>
      </c>
      <c r="G1649" s="17" t="inlineStr">
        <is>
          <t>Más főkategória terméke</t>
        </is>
      </c>
    </row>
    <row r="1650">
      <c r="A1650" s="17" t="inlineStr">
        <is>
          <t>GRO4246</t>
        </is>
      </c>
      <c r="B1650" s="17" t="inlineStr">
        <is>
          <t>GF Trimmelő olló ívelt bordázott markolat kék 16,7 cm</t>
        </is>
      </c>
      <c r="C1650" s="17" t="inlineStr">
        <is>
          <t>–</t>
        </is>
      </c>
      <c r="D1650" s="17" t="inlineStr"/>
      <c r="E1650" s="17" t="inlineStr">
        <is>
          <t>Nem tartozik ide</t>
        </is>
      </c>
      <c r="F1650" s="17" t="inlineStr">
        <is>
          <t>az elmúlt 6 hónapban</t>
        </is>
      </c>
      <c r="G1650" s="17" t="inlineStr">
        <is>
          <t>Más főkategória terméke</t>
        </is>
      </c>
    </row>
    <row r="1651">
      <c r="A1651" s="17" t="inlineStr">
        <is>
          <t>GRO4247</t>
        </is>
      </c>
      <c r="B1651" s="17" t="inlineStr">
        <is>
          <t>GrowBro CO2 adapter</t>
        </is>
      </c>
      <c r="C1651" s="17" t="inlineStr">
        <is>
          <t>–</t>
        </is>
      </c>
      <c r="D1651" s="17" t="inlineStr"/>
      <c r="E1651" s="17" t="inlineStr">
        <is>
          <t>Nem tartozik ide</t>
        </is>
      </c>
      <c r="F1651" s="17" t="inlineStr">
        <is>
          <t>az elmúlt 30 napban</t>
        </is>
      </c>
      <c r="G1651" s="17" t="inlineStr">
        <is>
          <t>Más főkategória terméke</t>
        </is>
      </c>
    </row>
    <row r="1652">
      <c r="A1652" s="17" t="inlineStr">
        <is>
          <t>GRO4248</t>
        </is>
      </c>
      <c r="B1652" s="17" t="inlineStr">
        <is>
          <t>Aqua Master P160 pro2 kombinált pH EC PPM TDS és hőmérséklet mérő</t>
        </is>
      </c>
      <c r="C1652" s="17" t="inlineStr">
        <is>
          <t>–</t>
        </is>
      </c>
      <c r="D1652" s="17" t="inlineStr"/>
      <c r="E1652" s="17" t="inlineStr">
        <is>
          <t>Nem tartozik ide</t>
        </is>
      </c>
      <c r="F1652" s="17" t="inlineStr">
        <is>
          <t>az elmúlt 30 napban</t>
        </is>
      </c>
      <c r="G1652" s="17" t="inlineStr">
        <is>
          <t>Más főkategória terméke</t>
        </is>
      </c>
    </row>
    <row r="1653">
      <c r="A1653" s="17" t="inlineStr">
        <is>
          <t>GRO4249</t>
        </is>
      </c>
      <c r="B1653" s="17" t="inlineStr">
        <is>
          <t>Aqua Master EC 12,88 kalibráló folyadék 20 ml</t>
        </is>
      </c>
      <c r="C1653" s="17" t="inlineStr">
        <is>
          <t>–</t>
        </is>
      </c>
      <c r="D1653" s="17" t="inlineStr"/>
      <c r="E1653" s="17" t="inlineStr">
        <is>
          <t>Nem tartozik ide</t>
        </is>
      </c>
      <c r="F1653" s="17" t="inlineStr">
        <is>
          <t>az elmúlt 30 napban</t>
        </is>
      </c>
      <c r="G1653" s="17" t="inlineStr">
        <is>
          <t>Más főkategória terméke</t>
        </is>
      </c>
    </row>
    <row r="1654">
      <c r="A1654" s="17" t="inlineStr">
        <is>
          <t>GRO4251</t>
        </is>
      </c>
      <c r="B1654" s="17" t="inlineStr">
        <is>
          <t>Aqua Master EC 1413 kalibráló folyadék 20 ml</t>
        </is>
      </c>
      <c r="C1654" s="17" t="inlineStr">
        <is>
          <t>–</t>
        </is>
      </c>
      <c r="D1654" s="17" t="inlineStr"/>
      <c r="E1654" s="17" t="inlineStr">
        <is>
          <t>Nem tartozik ide</t>
        </is>
      </c>
      <c r="F1654" s="17" t="inlineStr">
        <is>
          <t>az elmúlt 30 napban</t>
        </is>
      </c>
      <c r="G1654" s="17" t="inlineStr">
        <is>
          <t>Más főkategória terméke</t>
        </is>
      </c>
    </row>
    <row r="1655">
      <c r="A1655" s="17" t="inlineStr">
        <is>
          <t>GRO4252</t>
        </is>
      </c>
      <c r="B1655" s="17" t="inlineStr">
        <is>
          <t>Aqua Master EC 1413 kalibráló folyadék 500 ml</t>
        </is>
      </c>
      <c r="C1655" s="17" t="inlineStr">
        <is>
          <t>–</t>
        </is>
      </c>
      <c r="D1655" s="17" t="inlineStr"/>
      <c r="E1655" s="17" t="inlineStr">
        <is>
          <t>Nem tartozik ide</t>
        </is>
      </c>
      <c r="F1655" s="17" t="inlineStr">
        <is>
          <t>az elmúlt 30 napban</t>
        </is>
      </c>
      <c r="G1655" s="17" t="inlineStr">
        <is>
          <t>Más főkategória terméke</t>
        </is>
      </c>
    </row>
    <row r="1656">
      <c r="A1656" s="17" t="inlineStr">
        <is>
          <t>GRO4253</t>
        </is>
      </c>
      <c r="B1656" s="17" t="inlineStr">
        <is>
          <t>Aqua Master pH 7.00 kalibráló folyadék 20 ml</t>
        </is>
      </c>
      <c r="C1656" s="17" t="inlineStr">
        <is>
          <t>–</t>
        </is>
      </c>
      <c r="D1656" s="17" t="inlineStr"/>
      <c r="E1656" s="17" t="inlineStr">
        <is>
          <t>Nem tartozik ide</t>
        </is>
      </c>
      <c r="F1656" s="17" t="inlineStr">
        <is>
          <t>az elmúlt 30 napban</t>
        </is>
      </c>
      <c r="G1656" s="17" t="inlineStr">
        <is>
          <t>Más főkategória terméke</t>
        </is>
      </c>
    </row>
    <row r="1657">
      <c r="A1657" s="17" t="inlineStr">
        <is>
          <t>GRO4254</t>
        </is>
      </c>
      <c r="B1657" s="17" t="inlineStr">
        <is>
          <t>Aqua Master pH 7.00 kalibráló folyadék 500 ml</t>
        </is>
      </c>
      <c r="C1657" s="17" t="inlineStr">
        <is>
          <t>–</t>
        </is>
      </c>
      <c r="D1657" s="17" t="inlineStr"/>
      <c r="E1657" s="17" t="inlineStr">
        <is>
          <t>Nem tartozik ide</t>
        </is>
      </c>
      <c r="F1657" s="17" t="inlineStr">
        <is>
          <t>az elmúlt 30 napban</t>
        </is>
      </c>
      <c r="G1657" s="17" t="inlineStr">
        <is>
          <t>Más főkategória terméke</t>
        </is>
      </c>
    </row>
    <row r="1658">
      <c r="A1658" s="17" t="inlineStr">
        <is>
          <t>GRO4255</t>
        </is>
      </c>
      <c r="B1658" s="17" t="inlineStr">
        <is>
          <t>Aqua Master pH 7,00 kalibráló folyadék bag-in-box csappal 5 liter</t>
        </is>
      </c>
      <c r="C1658" s="17" t="inlineStr">
        <is>
          <t>–</t>
        </is>
      </c>
      <c r="D1658" s="17" t="inlineStr"/>
      <c r="E1658" s="17" t="inlineStr">
        <is>
          <t>Nem tartozik ide</t>
        </is>
      </c>
      <c r="F1658" s="17" t="inlineStr">
        <is>
          <t>az elmúlt 6 hónapban</t>
        </is>
      </c>
      <c r="G1658" s="17" t="inlineStr">
        <is>
          <t>Más főkategória terméke</t>
        </is>
      </c>
    </row>
    <row r="1659">
      <c r="A1659" s="17" t="inlineStr">
        <is>
          <t>GRO4256</t>
        </is>
      </c>
      <c r="B1659" s="17" t="inlineStr">
        <is>
          <t>Aqua Master pH 4,01 kalibráló folyadék 20 ml</t>
        </is>
      </c>
      <c r="C1659" s="17" t="inlineStr">
        <is>
          <t>–</t>
        </is>
      </c>
      <c r="D1659" s="17" t="inlineStr"/>
      <c r="E1659" s="17" t="inlineStr">
        <is>
          <t>Nem tartozik ide</t>
        </is>
      </c>
      <c r="F1659" s="17" t="inlineStr">
        <is>
          <t>az elmúlt 30 napban</t>
        </is>
      </c>
      <c r="G1659" s="17" t="inlineStr">
        <is>
          <t>Más főkategória terméke</t>
        </is>
      </c>
    </row>
    <row r="1660">
      <c r="A1660" s="17" t="inlineStr">
        <is>
          <t>GRO4257</t>
        </is>
      </c>
      <c r="B1660" s="17" t="inlineStr">
        <is>
          <t>Aqua Master pH 4,01 kalibráló folyadék 500 ml</t>
        </is>
      </c>
      <c r="C1660" s="17" t="inlineStr">
        <is>
          <t>–</t>
        </is>
      </c>
      <c r="D1660" s="17" t="inlineStr"/>
      <c r="E1660" s="17" t="inlineStr">
        <is>
          <t>Nem tartozik ide</t>
        </is>
      </c>
      <c r="F1660" s="17" t="inlineStr">
        <is>
          <t>az elmúlt 30 napban</t>
        </is>
      </c>
      <c r="G1660" s="17" t="inlineStr">
        <is>
          <t>Más főkategória terméke</t>
        </is>
      </c>
    </row>
    <row r="1661">
      <c r="A1661" s="17" t="inlineStr">
        <is>
          <t>GRO4258</t>
        </is>
      </c>
      <c r="B1661" s="17" t="inlineStr">
        <is>
          <t>Aqua Master pH 4,01 kalibráló folyadék bag-in-box csappal 5 liter</t>
        </is>
      </c>
      <c r="C1661" s="17" t="inlineStr">
        <is>
          <t>–</t>
        </is>
      </c>
      <c r="D1661" s="17" t="inlineStr"/>
      <c r="E1661" s="17" t="inlineStr">
        <is>
          <t>Nem tartozik ide</t>
        </is>
      </c>
      <c r="F1661" s="17" t="inlineStr">
        <is>
          <t>az elmúlt 6 hónapban</t>
        </is>
      </c>
      <c r="G1661" s="17" t="inlineStr">
        <is>
          <t>Más főkategória terméke</t>
        </is>
      </c>
    </row>
    <row r="1662">
      <c r="A1662" s="17" t="inlineStr">
        <is>
          <t>GRO4259</t>
        </is>
      </c>
      <c r="B1662" s="17" t="inlineStr">
        <is>
          <t>Aqua Master tároló folyadék KCI 500 ml</t>
        </is>
      </c>
      <c r="C1662" s="17" t="inlineStr">
        <is>
          <t>–</t>
        </is>
      </c>
      <c r="D1662" s="17" t="inlineStr"/>
      <c r="E1662" s="17" t="inlineStr">
        <is>
          <t>Nem tartozik ide</t>
        </is>
      </c>
      <c r="F1662" s="17" t="inlineStr">
        <is>
          <t>az elmúlt 30 napban</t>
        </is>
      </c>
      <c r="G1662" s="17" t="inlineStr">
        <is>
          <t>Más főkategória terméke</t>
        </is>
      </c>
    </row>
    <row r="1663">
      <c r="A1663" s="17" t="inlineStr">
        <is>
          <t>GRO4260</t>
        </is>
      </c>
      <c r="B1663" s="17" t="inlineStr">
        <is>
          <t>Aqua Master tároló folyadék KCI 3 mol 5 L</t>
        </is>
      </c>
      <c r="C1663" s="17" t="inlineStr">
        <is>
          <t>–</t>
        </is>
      </c>
      <c r="D1663" s="17" t="inlineStr"/>
      <c r="E1663" s="17" t="inlineStr">
        <is>
          <t>Nem tartozik ide</t>
        </is>
      </c>
      <c r="F1663" s="17" t="inlineStr">
        <is>
          <t>az elmúlt 30 napban</t>
        </is>
      </c>
      <c r="G1663" s="17" t="inlineStr">
        <is>
          <t>Más főkategória terméke</t>
        </is>
      </c>
    </row>
    <row r="1664">
      <c r="A1664" s="17" t="inlineStr">
        <is>
          <t>GRO4261</t>
        </is>
      </c>
      <c r="B1664" s="17" t="inlineStr">
        <is>
          <t>Aqua Master pH mérő elektróda tisztító D 100ml</t>
        </is>
      </c>
      <c r="C1664" s="17" t="inlineStr">
        <is>
          <t>–</t>
        </is>
      </c>
      <c r="D1664" s="17" t="inlineStr"/>
      <c r="E1664" s="17" t="inlineStr">
        <is>
          <t>Nem tartozik ide</t>
        </is>
      </c>
      <c r="F1664" s="17" t="inlineStr">
        <is>
          <t>az elmúlt 30 napban</t>
        </is>
      </c>
      <c r="G1664" s="17" t="inlineStr">
        <is>
          <t>Más főkategória terméke</t>
        </is>
      </c>
    </row>
    <row r="1665">
      <c r="A1665" s="17" t="inlineStr">
        <is>
          <t>GRO4262</t>
        </is>
      </c>
      <c r="B1665" s="17" t="inlineStr">
        <is>
          <t>Aqua Master C800 pro pH EC PPM TDS és hőmérséklet vezérlő</t>
        </is>
      </c>
      <c r="C1665" s="17" t="inlineStr">
        <is>
          <t>–</t>
        </is>
      </c>
      <c r="D1665" s="17" t="inlineStr"/>
      <c r="E1665" s="17" t="inlineStr">
        <is>
          <t>Nem tartozik ide</t>
        </is>
      </c>
      <c r="F1665" s="17" t="inlineStr">
        <is>
          <t>az elmúlt 30 napban</t>
        </is>
      </c>
      <c r="G1665" s="17" t="inlineStr">
        <is>
          <t>Más főkategória terméke</t>
        </is>
      </c>
    </row>
    <row r="1666">
      <c r="A1666" s="17" t="inlineStr">
        <is>
          <t>GRO4263</t>
        </is>
      </c>
      <c r="B1666" s="17" t="inlineStr">
        <is>
          <t>Aqua Master C10 szivattyúblokk 1x perisztaltikus adagoló pumpa</t>
        </is>
      </c>
      <c r="C1666" s="17" t="inlineStr">
        <is>
          <t>–</t>
        </is>
      </c>
      <c r="D1666" s="17" t="inlineStr"/>
      <c r="E1666" s="17" t="inlineStr">
        <is>
          <t>Nem tartozik ide</t>
        </is>
      </c>
      <c r="F1666" s="17" t="inlineStr">
        <is>
          <t>az elmúlt 30 napban</t>
        </is>
      </c>
      <c r="G1666" s="17" t="inlineStr">
        <is>
          <t>Más főkategória terméke</t>
        </is>
      </c>
    </row>
    <row r="1667">
      <c r="A1667" s="17" t="inlineStr">
        <is>
          <t>GRO4264</t>
        </is>
      </c>
      <c r="B1667" s="17" t="inlineStr">
        <is>
          <t>Aqua Master C20 szivattyúblokk 2x perisztaltikus adagoló pumpa</t>
        </is>
      </c>
      <c r="C1667" s="17" t="inlineStr">
        <is>
          <t>–</t>
        </is>
      </c>
      <c r="D1667" s="17" t="inlineStr"/>
      <c r="E1667" s="17" t="inlineStr">
        <is>
          <t>Nem tartozik ide</t>
        </is>
      </c>
      <c r="F1667" s="17" t="inlineStr">
        <is>
          <t>az elmúlt 30 napban</t>
        </is>
      </c>
      <c r="G1667" s="17" t="inlineStr">
        <is>
          <t>Más főkategória terméke</t>
        </is>
      </c>
    </row>
    <row r="1668">
      <c r="A1668" s="17" t="inlineStr">
        <is>
          <t>GRO4265</t>
        </is>
      </c>
      <c r="B1668" s="17" t="inlineStr">
        <is>
          <t>Aqua Master C30 szivattyúblokk 3x perisztaltikus adagoló pumpa</t>
        </is>
      </c>
      <c r="C1668" s="17" t="inlineStr">
        <is>
          <t>–</t>
        </is>
      </c>
      <c r="D1668" s="17" t="inlineStr"/>
      <c r="E1668" s="17" t="inlineStr">
        <is>
          <t>Nem tartozik ide</t>
        </is>
      </c>
      <c r="F1668" s="17" t="inlineStr">
        <is>
          <t>az elmúlt 30 napban</t>
        </is>
      </c>
      <c r="G1668" s="17" t="inlineStr">
        <is>
          <t>Más főkategória terméke</t>
        </is>
      </c>
    </row>
    <row r="1669">
      <c r="A1669" s="17" t="inlineStr">
        <is>
          <t>GRO4266</t>
        </is>
      </c>
      <c r="B1669" s="17" t="inlineStr">
        <is>
          <t>Aqua Master bilincs d: 40 mm 3/4</t>
        </is>
      </c>
      <c r="C1669" s="17" t="inlineStr">
        <is>
          <t>–</t>
        </is>
      </c>
      <c r="D1669" s="17" t="inlineStr"/>
      <c r="E1669" s="17" t="inlineStr">
        <is>
          <t>Nem tartozik ide</t>
        </is>
      </c>
      <c r="F1669" s="17" t="inlineStr">
        <is>
          <t>az elmúlt 30 napban</t>
        </is>
      </c>
      <c r="G1669" s="17" t="inlineStr">
        <is>
          <t>Más főkategória terméke</t>
        </is>
      </c>
    </row>
    <row r="1670">
      <c r="A1670" s="17" t="inlineStr">
        <is>
          <t>GRO4267</t>
        </is>
      </c>
      <c r="B1670" s="17" t="inlineStr">
        <is>
          <t>Aqua Master bilincs d: 40 mm 1/2</t>
        </is>
      </c>
      <c r="C1670" s="17" t="inlineStr">
        <is>
          <t>–</t>
        </is>
      </c>
      <c r="D1670" s="17" t="inlineStr"/>
      <c r="E1670" s="17" t="inlineStr">
        <is>
          <t>Nem tartozik ide</t>
        </is>
      </c>
      <c r="F1670" s="17" t="inlineStr">
        <is>
          <t>az elmúlt 30 napban</t>
        </is>
      </c>
      <c r="G1670" s="17" t="inlineStr">
        <is>
          <t>Más főkategória terméke</t>
        </is>
      </c>
    </row>
    <row r="1671">
      <c r="A1671" s="17" t="inlineStr">
        <is>
          <t>GRO4268</t>
        </is>
      </c>
      <c r="B1671" s="17" t="inlineStr">
        <is>
          <t>Aqua Master szonda tartó 12 mm 1/2 (3/4 bilincshez)</t>
        </is>
      </c>
      <c r="C1671" s="17" t="inlineStr">
        <is>
          <t>–</t>
        </is>
      </c>
      <c r="D1671" s="17" t="inlineStr"/>
      <c r="E1671" s="17" t="inlineStr">
        <is>
          <t>Nem tartozik ide</t>
        </is>
      </c>
      <c r="F1671" s="17" t="inlineStr">
        <is>
          <t>az elmúlt 30 napban</t>
        </is>
      </c>
      <c r="G1671" s="17" t="inlineStr">
        <is>
          <t>Más főkategória terméke</t>
        </is>
      </c>
    </row>
    <row r="1672">
      <c r="A1672" s="17" t="inlineStr">
        <is>
          <t>GRO4269</t>
        </is>
      </c>
      <c r="B1672" s="17" t="inlineStr">
        <is>
          <t>Aqua Master befecskendező szelep 1/2 (1/2 bilincshez)</t>
        </is>
      </c>
      <c r="C1672" s="17" t="inlineStr">
        <is>
          <t>–</t>
        </is>
      </c>
      <c r="D1672" s="17" t="inlineStr"/>
      <c r="E1672" s="17" t="inlineStr">
        <is>
          <t>Nem tartozik ide</t>
        </is>
      </c>
      <c r="F1672" s="17" t="inlineStr">
        <is>
          <t>az elmúlt 30 napban</t>
        </is>
      </c>
      <c r="G1672" s="17" t="inlineStr">
        <is>
          <t>Más főkategória terméke</t>
        </is>
      </c>
    </row>
    <row r="1673">
      <c r="A1673" s="17" t="inlineStr">
        <is>
          <t>GRO4270</t>
        </is>
      </c>
      <c r="B1673" s="17" t="inlineStr">
        <is>
          <t>GF rope ratchet ECO reflektor felfüggesztő</t>
        </is>
      </c>
      <c r="C1673" s="17" t="inlineStr">
        <is>
          <t>–</t>
        </is>
      </c>
      <c r="D1673" s="17" t="inlineStr"/>
      <c r="E1673" s="17" t="inlineStr">
        <is>
          <t>Nem tartozik ide</t>
        </is>
      </c>
      <c r="F1673" s="17" t="inlineStr">
        <is>
          <t>az elmúlt 30 napban</t>
        </is>
      </c>
      <c r="G1673" s="17" t="inlineStr">
        <is>
          <t>Más főkategória terméke</t>
        </is>
      </c>
    </row>
    <row r="1674">
      <c r="A1674" s="17" t="inlineStr">
        <is>
          <t>GRO4271</t>
        </is>
      </c>
      <c r="B1674" s="17" t="inlineStr">
        <is>
          <t>GF Hőmérséklet és páratartalom mérő</t>
        </is>
      </c>
      <c r="C1674" s="17" t="inlineStr">
        <is>
          <t>–</t>
        </is>
      </c>
      <c r="D1674" s="17" t="inlineStr"/>
      <c r="E1674" s="17" t="inlineStr">
        <is>
          <t>Nem tartozik ide</t>
        </is>
      </c>
      <c r="F1674" s="17" t="inlineStr">
        <is>
          <t>az elmúlt 30 napban</t>
        </is>
      </c>
      <c r="G1674" s="17" t="inlineStr">
        <is>
          <t>Más főkategória terméke</t>
        </is>
      </c>
    </row>
    <row r="1675">
      <c r="A1675" s="17" t="inlineStr">
        <is>
          <t>GRO4273</t>
        </is>
      </c>
      <c r="B1675" s="17" t="inlineStr">
        <is>
          <t>GF manuális trimmelő 40 cm</t>
        </is>
      </c>
      <c r="C1675" s="17" t="inlineStr">
        <is>
          <t>–</t>
        </is>
      </c>
      <c r="D1675" s="17" t="inlineStr"/>
      <c r="E1675" s="17" t="inlineStr">
        <is>
          <t>Nem tartozik ide</t>
        </is>
      </c>
      <c r="F1675" s="17" t="inlineStr">
        <is>
          <t>az elmúlt 6 hónapban</t>
        </is>
      </c>
      <c r="G1675" s="17" t="inlineStr">
        <is>
          <t>Más főkategória terméke</t>
        </is>
      </c>
    </row>
    <row r="1676">
      <c r="A1676" s="17" t="inlineStr">
        <is>
          <t>GRO4274</t>
        </is>
      </c>
      <c r="B1676" s="17" t="inlineStr">
        <is>
          <t>GF Termesztősátor 40x40x140 cm</t>
        </is>
      </c>
      <c r="C1676" s="17" t="inlineStr">
        <is>
          <t>–</t>
        </is>
      </c>
      <c r="D1676" s="17" t="inlineStr"/>
      <c r="E1676" s="17" t="inlineStr">
        <is>
          <t>Nem tartozik ide</t>
        </is>
      </c>
      <c r="F1676" s="17" t="inlineStr">
        <is>
          <t>az elmúlt 30 napban</t>
        </is>
      </c>
      <c r="G1676" s="17" t="inlineStr">
        <is>
          <t>Más főkategória terméke</t>
        </is>
      </c>
    </row>
    <row r="1677">
      <c r="A1677" s="17" t="inlineStr">
        <is>
          <t>GRO4275</t>
        </is>
      </c>
      <c r="B1677" s="17" t="inlineStr">
        <is>
          <t>GF Trimmelő olló egyenes plasztik piros 21 cm</t>
        </is>
      </c>
      <c r="C1677" s="17" t="inlineStr">
        <is>
          <t>–</t>
        </is>
      </c>
      <c r="D1677" s="17" t="inlineStr"/>
      <c r="E1677" s="17" t="inlineStr">
        <is>
          <t>Nem tartozik ide</t>
        </is>
      </c>
      <c r="F1677" s="17" t="inlineStr">
        <is>
          <t>az elmúlt 30 napban</t>
        </is>
      </c>
      <c r="G1677" s="17" t="inlineStr">
        <is>
          <t>Más főkategória terméke</t>
        </is>
      </c>
    </row>
    <row r="1678">
      <c r="A1678" s="17" t="inlineStr">
        <is>
          <t>GRO4276</t>
        </is>
      </c>
      <c r="B1678" s="17" t="inlineStr">
        <is>
          <t>GF Trimmelő olló egyenes gumírozott fekete-piros 20,5 cm</t>
        </is>
      </c>
      <c r="C1678" s="17" t="inlineStr">
        <is>
          <t>–</t>
        </is>
      </c>
      <c r="D1678" s="17" t="inlineStr"/>
      <c r="E1678" s="17" t="inlineStr">
        <is>
          <t>Nem tartozik ide</t>
        </is>
      </c>
      <c r="F1678" s="17" t="inlineStr">
        <is>
          <t>az elmúlt 30 napban</t>
        </is>
      </c>
      <c r="G1678" s="17" t="inlineStr">
        <is>
          <t>Más főkategória terméke</t>
        </is>
      </c>
    </row>
    <row r="1679">
      <c r="A1679" s="17" t="inlineStr">
        <is>
          <t>GRO4277</t>
        </is>
      </c>
      <c r="B1679" s="17" t="inlineStr">
        <is>
          <t>GF Trimmelő olló egyenes zöld-fekete 18,5 cm</t>
        </is>
      </c>
      <c r="C1679" s="17" t="inlineStr">
        <is>
          <t>–</t>
        </is>
      </c>
      <c r="D1679" s="17" t="inlineStr"/>
      <c r="E1679" s="17" t="inlineStr">
        <is>
          <t>Nem tartozik ide</t>
        </is>
      </c>
      <c r="F1679" s="17" t="inlineStr">
        <is>
          <t>az elmúlt 30 napban</t>
        </is>
      </c>
      <c r="G1679" s="17" t="inlineStr">
        <is>
          <t>Más főkategória terméke</t>
        </is>
      </c>
    </row>
    <row r="1680">
      <c r="A1680" s="17" t="inlineStr">
        <is>
          <t>GRO4278</t>
        </is>
      </c>
      <c r="B1680" s="17" t="inlineStr">
        <is>
          <t>GF Trimmelő olló metszőolló zöld-fekete 20,5 cm</t>
        </is>
      </c>
      <c r="C1680" s="17" t="inlineStr">
        <is>
          <t>–</t>
        </is>
      </c>
      <c r="D1680" s="17" t="inlineStr"/>
      <c r="E1680" s="17" t="inlineStr">
        <is>
          <t>Nem tartozik ide</t>
        </is>
      </c>
      <c r="F1680" s="17" t="inlineStr">
        <is>
          <t>az elmúlt 6 hónapban</t>
        </is>
      </c>
      <c r="G1680" s="17" t="inlineStr">
        <is>
          <t>Más főkategória terméke</t>
        </is>
      </c>
    </row>
    <row r="1681">
      <c r="A1681" s="17" t="inlineStr">
        <is>
          <t>GRO4279</t>
        </is>
      </c>
      <c r="B1681" s="17" t="inlineStr">
        <is>
          <t>Gumikesztyű M kék 100 db</t>
        </is>
      </c>
      <c r="C1681" s="17" t="inlineStr">
        <is>
          <t>–</t>
        </is>
      </c>
      <c r="D1681" s="17" t="inlineStr"/>
      <c r="E1681" s="17" t="inlineStr">
        <is>
          <t>Nem tartozik ide</t>
        </is>
      </c>
      <c r="F1681" s="17" t="inlineStr">
        <is>
          <t>2025-10 – 2026-04</t>
        </is>
      </c>
      <c r="G1681" s="17" t="inlineStr">
        <is>
          <t>Más főkategória terméke</t>
        </is>
      </c>
    </row>
    <row r="1682">
      <c r="A1682" s="17" t="inlineStr">
        <is>
          <t>GRO4280</t>
        </is>
      </c>
      <c r="B1682" s="17" t="inlineStr">
        <is>
          <t>Prima Klima PK250-A1 Ventilátor 1 speed 250 mm 1050 m3/h</t>
        </is>
      </c>
      <c r="C1682" s="17" t="inlineStr">
        <is>
          <t>–</t>
        </is>
      </c>
      <c r="D1682" s="17" t="inlineStr"/>
      <c r="E1682" s="17" t="inlineStr">
        <is>
          <t>Nem tartozik ide</t>
        </is>
      </c>
      <c r="F1682" s="17" t="inlineStr">
        <is>
          <t>az elmúlt 30 napban</t>
        </is>
      </c>
      <c r="G1682" s="17" t="inlineStr">
        <is>
          <t>Más főkategória terméke</t>
        </is>
      </c>
    </row>
    <row r="1683">
      <c r="A1683" s="17" t="inlineStr">
        <is>
          <t>GRO4281</t>
        </is>
      </c>
      <c r="B1683" s="17" t="inlineStr">
        <is>
          <t>Elem, 9V blokkelem az Aquatek 4in1 digitális talaj teszterhez</t>
        </is>
      </c>
      <c r="C1683" s="17" t="inlineStr">
        <is>
          <t>–</t>
        </is>
      </c>
      <c r="D1683" s="17" t="inlineStr"/>
      <c r="E1683" s="17" t="inlineStr">
        <is>
          <t>Nem tartozik ide</t>
        </is>
      </c>
      <c r="F1683" s="17" t="inlineStr">
        <is>
          <t>az elmúlt 30 napban</t>
        </is>
      </c>
      <c r="G1683" s="17" t="inlineStr">
        <is>
          <t>Más főkategória terméke</t>
        </is>
      </c>
    </row>
    <row r="1684">
      <c r="A1684" s="17" t="inlineStr">
        <is>
          <t>GRO4282</t>
        </is>
      </c>
      <c r="B1684" s="17" t="inlineStr">
        <is>
          <t>Dimlux Xplore series LED 730W termékhez hálózati kábel</t>
        </is>
      </c>
      <c r="C1684" s="17" t="inlineStr">
        <is>
          <t>–</t>
        </is>
      </c>
      <c r="D1684" s="17" t="inlineStr"/>
      <c r="E1684" s="17" t="inlineStr">
        <is>
          <t>Nem tartozik ide</t>
        </is>
      </c>
      <c r="F1684" s="17" t="inlineStr">
        <is>
          <t>az elmúlt 30 napban</t>
        </is>
      </c>
      <c r="G1684" s="17" t="inlineStr">
        <is>
          <t>Más főkategória terméke</t>
        </is>
      </c>
    </row>
    <row r="1685">
      <c r="A1685" s="17" t="inlineStr">
        <is>
          <t>GRO4283</t>
        </is>
      </c>
      <c r="B1685" s="17" t="inlineStr">
        <is>
          <t>Dimlux Xplore Series LED ADD-ON 2x25W termékhez hosszabbító kábel</t>
        </is>
      </c>
      <c r="C1685" s="17" t="inlineStr">
        <is>
          <t>–</t>
        </is>
      </c>
      <c r="D1685" s="17" t="inlineStr"/>
      <c r="E1685" s="17" t="inlineStr">
        <is>
          <t>Nem tartozik ide</t>
        </is>
      </c>
      <c r="F1685" s="17" t="inlineStr">
        <is>
          <t>az elmúlt 30 napban</t>
        </is>
      </c>
      <c r="G1685" s="17" t="inlineStr">
        <is>
          <t>Más főkategória terméke</t>
        </is>
      </c>
    </row>
    <row r="1686">
      <c r="A1686" s="17" t="inlineStr">
        <is>
          <t>GRO4296</t>
        </is>
      </c>
      <c r="B1686" s="17" t="inlineStr">
        <is>
          <t>AC Infinity THERMOFORGE T3 Smart VPD Control fűtőberendezés</t>
        </is>
      </c>
      <c r="C1686" s="17" t="inlineStr">
        <is>
          <t>–</t>
        </is>
      </c>
      <c r="D1686" s="17" t="inlineStr"/>
      <c r="E1686" s="17" t="inlineStr">
        <is>
          <t>Nem tartozik ide</t>
        </is>
      </c>
      <c r="F1686" s="17" t="inlineStr">
        <is>
          <t>az elmúlt 6 hónapban</t>
        </is>
      </c>
      <c r="G1686" s="17" t="inlineStr">
        <is>
          <t>Más főkategória terméke</t>
        </is>
      </c>
    </row>
    <row r="1687">
      <c r="A1687" s="17" t="inlineStr">
        <is>
          <t>GRO4299</t>
        </is>
      </c>
      <c r="B1687" s="17" t="inlineStr">
        <is>
          <t>AC Infinity szárító háló 4 szintes d: 45 cm</t>
        </is>
      </c>
      <c r="C1687" s="17" t="inlineStr">
        <is>
          <t>–</t>
        </is>
      </c>
      <c r="D1687" s="17" t="inlineStr"/>
      <c r="E1687" s="17" t="inlineStr">
        <is>
          <t>Nem tartozik ide</t>
        </is>
      </c>
      <c r="F1687" s="17" t="inlineStr">
        <is>
          <t>az elmúlt 30 napban</t>
        </is>
      </c>
      <c r="G1687" s="17" t="inlineStr">
        <is>
          <t>Más főkategória terméke</t>
        </is>
      </c>
    </row>
    <row r="1688">
      <c r="A1688" s="17" t="inlineStr">
        <is>
          <t>GRO4302</t>
        </is>
      </c>
      <c r="B1688" s="17" t="inlineStr">
        <is>
          <t>AC Infinity (háló) Plant Support 60x120 cm</t>
        </is>
      </c>
      <c r="C1688" s="17" t="inlineStr">
        <is>
          <t>–</t>
        </is>
      </c>
      <c r="D1688" s="17" t="inlineStr"/>
      <c r="E1688" s="17" t="inlineStr">
        <is>
          <t>Nem tartozik ide</t>
        </is>
      </c>
      <c r="F1688" s="17" t="inlineStr">
        <is>
          <t>az elmúlt 30 napban</t>
        </is>
      </c>
      <c r="G1688" s="17" t="inlineStr">
        <is>
          <t>Más főkategória terméke</t>
        </is>
      </c>
    </row>
    <row r="1689">
      <c r="A1689" s="17" t="inlineStr">
        <is>
          <t>GRO4303</t>
        </is>
      </c>
      <c r="B1689" s="17" t="inlineStr">
        <is>
          <t>AC Infinity PRO légszűrő rendszer AI+WiFi 150 mm</t>
        </is>
      </c>
      <c r="C1689" s="17" t="inlineStr">
        <is>
          <t>–</t>
        </is>
      </c>
      <c r="D1689" s="17" t="inlineStr"/>
      <c r="E1689" s="17" t="inlineStr">
        <is>
          <t>Nem tartozik ide</t>
        </is>
      </c>
      <c r="F1689" s="17" t="inlineStr">
        <is>
          <t>az elmúlt 30 napban</t>
        </is>
      </c>
      <c r="G1689" s="17" t="inlineStr">
        <is>
          <t>Más főkategória terméke</t>
        </is>
      </c>
    </row>
    <row r="1690">
      <c r="A1690" s="17" t="inlineStr">
        <is>
          <t>GRO4304</t>
        </is>
      </c>
      <c r="B1690" s="17" t="inlineStr">
        <is>
          <t>AC Infinity Zajcsökkentő bilincs rozsdamentes acél 100mm</t>
        </is>
      </c>
      <c r="C1690" s="17" t="inlineStr">
        <is>
          <t>–</t>
        </is>
      </c>
      <c r="D1690" s="17" t="inlineStr"/>
      <c r="E1690" s="17" t="inlineStr">
        <is>
          <t>Nem tartozik ide</t>
        </is>
      </c>
      <c r="F1690" s="17" t="inlineStr">
        <is>
          <t>az elmúlt 30 napban</t>
        </is>
      </c>
      <c r="G1690" s="17" t="inlineStr">
        <is>
          <t>Más főkategória terméke</t>
        </is>
      </c>
    </row>
    <row r="1691">
      <c r="A1691" s="17" t="inlineStr">
        <is>
          <t>GRO4305</t>
        </is>
      </c>
      <c r="B1691" s="17" t="inlineStr">
        <is>
          <t>AC Infinity aluflex flexibilis cső d: 100 mm 2,44 m</t>
        </is>
      </c>
      <c r="C1691" s="17" t="inlineStr">
        <is>
          <t>–</t>
        </is>
      </c>
      <c r="D1691" s="17" t="inlineStr"/>
      <c r="E1691" s="17" t="inlineStr">
        <is>
          <t>Nem tartozik ide</t>
        </is>
      </c>
      <c r="F1691" s="17" t="inlineStr">
        <is>
          <t>az elmúlt 30 napban</t>
        </is>
      </c>
      <c r="G1691" s="17" t="inlineStr">
        <is>
          <t>Más főkategória terméke</t>
        </is>
      </c>
    </row>
    <row r="1692">
      <c r="A1692" s="17" t="inlineStr">
        <is>
          <t>GRO4306</t>
        </is>
      </c>
      <c r="B1692" s="17" t="inlineStr">
        <is>
          <t>AC Infinity nagyító LED lámpával dupla lencsével 30x-60x nagyítás</t>
        </is>
      </c>
      <c r="C1692" s="17" t="inlineStr">
        <is>
          <t>–</t>
        </is>
      </c>
      <c r="D1692" s="17" t="inlineStr"/>
      <c r="E1692" s="17" t="inlineStr">
        <is>
          <t>Nem tartozik ide</t>
        </is>
      </c>
      <c r="F1692" s="17" t="inlineStr">
        <is>
          <t>az elmúlt 30 napban</t>
        </is>
      </c>
      <c r="G1692" s="17" t="inlineStr">
        <is>
          <t>Más főkategória terméke</t>
        </is>
      </c>
    </row>
    <row r="1693">
      <c r="A1693" s="17" t="inlineStr">
        <is>
          <t>GRO4307</t>
        </is>
      </c>
      <c r="B1693" s="17" t="inlineStr">
        <is>
          <t>AC Infinity propagátor Samsung LM301H EVO LED 40 növényhez</t>
        </is>
      </c>
      <c r="C1693" s="17" t="inlineStr">
        <is>
          <t>–</t>
        </is>
      </c>
      <c r="D1693" s="17" t="inlineStr"/>
      <c r="E1693" s="17" t="inlineStr">
        <is>
          <t>Nem tartozik ide</t>
        </is>
      </c>
      <c r="F1693" s="17" t="inlineStr">
        <is>
          <t>az elmúlt 30 napban</t>
        </is>
      </c>
      <c r="G1693" s="17" t="inlineStr">
        <is>
          <t>Más főkategória terméke</t>
        </is>
      </c>
    </row>
    <row r="1694">
      <c r="A1694" s="17" t="inlineStr">
        <is>
          <t>GRO4308</t>
        </is>
      </c>
      <c r="B1694" s="17" t="inlineStr">
        <is>
          <t>Agrolite LED QB bid 320 W 2.8</t>
        </is>
      </c>
      <c r="C1694" s="17" t="inlineStr">
        <is>
          <t>–</t>
        </is>
      </c>
      <c r="D1694" s="17" t="inlineStr"/>
      <c r="E1694" s="17" t="inlineStr">
        <is>
          <t>Nem tartozik ide</t>
        </is>
      </c>
      <c r="F1694" s="17" t="inlineStr">
        <is>
          <t>az elmúlt 30 napban</t>
        </is>
      </c>
      <c r="G1694" s="17" t="inlineStr">
        <is>
          <t>Más főkategória terméke</t>
        </is>
      </c>
    </row>
    <row r="1695">
      <c r="A1695" s="17" t="inlineStr">
        <is>
          <t>GRO4311</t>
        </is>
      </c>
      <c r="B1695" s="17" t="inlineStr">
        <is>
          <t>Bluelab Multimedia pH Meter</t>
        </is>
      </c>
      <c r="C1695" s="17" t="inlineStr">
        <is>
          <t>–</t>
        </is>
      </c>
      <c r="D1695" s="17" t="inlineStr"/>
      <c r="E1695" s="17" t="inlineStr">
        <is>
          <t>Nem tartozik ide</t>
        </is>
      </c>
      <c r="F1695" s="17" t="inlineStr">
        <is>
          <t>az elmúlt 30 napban</t>
        </is>
      </c>
      <c r="G1695" s="17" t="inlineStr">
        <is>
          <t>Más főkategória terméke</t>
        </is>
      </c>
    </row>
    <row r="1696">
      <c r="A1696" s="17" t="inlineStr">
        <is>
          <t>GRO4312</t>
        </is>
      </c>
      <c r="B1696" s="17" t="inlineStr">
        <is>
          <t>Secret Jardin Power Pack LED Full Spectrum 250W</t>
        </is>
      </c>
      <c r="C1696" s="17" t="inlineStr">
        <is>
          <t>–</t>
        </is>
      </c>
      <c r="D1696" s="17" t="inlineStr"/>
      <c r="E1696" s="17" t="inlineStr">
        <is>
          <t>Nem tartozik ide</t>
        </is>
      </c>
      <c r="F1696" s="17" t="inlineStr">
        <is>
          <t>az elmúlt 30 napban</t>
        </is>
      </c>
      <c r="G1696" s="17" t="inlineStr">
        <is>
          <t>Más főkategória terméke</t>
        </is>
      </c>
    </row>
    <row r="1697">
      <c r="A1697" s="17" t="inlineStr">
        <is>
          <t>GRO4313</t>
        </is>
      </c>
      <c r="B1697" s="17" t="inlineStr">
        <is>
          <t>Secret Jardin WEBTH120W (háló) Web Plant Support 120x60 cm</t>
        </is>
      </c>
      <c r="C1697" s="17" t="inlineStr">
        <is>
          <t>–</t>
        </is>
      </c>
      <c r="D1697" s="17" t="inlineStr"/>
      <c r="E1697" s="17" t="inlineStr">
        <is>
          <t>Nem tartozik ide</t>
        </is>
      </c>
      <c r="F1697" s="17" t="inlineStr">
        <is>
          <t>az elmúlt 30 napban</t>
        </is>
      </c>
      <c r="G1697" s="17" t="inlineStr">
        <is>
          <t>Más főkategória terméke</t>
        </is>
      </c>
    </row>
    <row r="1698">
      <c r="A1698" s="17" t="inlineStr">
        <is>
          <t>GRO4314</t>
        </is>
      </c>
      <c r="B1698" s="17" t="inlineStr">
        <is>
          <t>Secret Jardin WEBTH150W (háló) Web Plant Support 150x75 cm</t>
        </is>
      </c>
      <c r="C1698" s="17" t="inlineStr">
        <is>
          <t>–</t>
        </is>
      </c>
      <c r="D1698" s="17" t="inlineStr"/>
      <c r="E1698" s="17" t="inlineStr">
        <is>
          <t>Nem tartozik ide</t>
        </is>
      </c>
      <c r="F1698" s="17" t="inlineStr">
        <is>
          <t>az elmúlt 30 napban</t>
        </is>
      </c>
      <c r="G1698" s="17" t="inlineStr">
        <is>
          <t>Más főkategória terméke</t>
        </is>
      </c>
    </row>
    <row r="1699">
      <c r="A1699" s="17" t="inlineStr">
        <is>
          <t>GRO4315</t>
        </is>
      </c>
      <c r="B1699" s="17" t="inlineStr">
        <is>
          <t>Secret Jardin WEBTH60W (háló) Web Plant Support 60x40 cm</t>
        </is>
      </c>
      <c r="C1699" s="17" t="inlineStr">
        <is>
          <t>–</t>
        </is>
      </c>
      <c r="D1699" s="17" t="inlineStr"/>
      <c r="E1699" s="17" t="inlineStr">
        <is>
          <t>Nem tartozik ide</t>
        </is>
      </c>
      <c r="F1699" s="17" t="inlineStr">
        <is>
          <t>az elmúlt 30 napban</t>
        </is>
      </c>
      <c r="G1699" s="17" t="inlineStr">
        <is>
          <t>Más főkategória terméke</t>
        </is>
      </c>
    </row>
    <row r="1700">
      <c r="A1700" s="17" t="inlineStr">
        <is>
          <t>GRO4316</t>
        </is>
      </c>
      <c r="B1700" s="17" t="inlineStr">
        <is>
          <t>Secret Jardin WEBTH120 (háló) Web Plant Support 120x120 cm</t>
        </is>
      </c>
      <c r="C1700" s="17" t="inlineStr">
        <is>
          <t>–</t>
        </is>
      </c>
      <c r="D1700" s="17" t="inlineStr"/>
      <c r="E1700" s="17" t="inlineStr">
        <is>
          <t>Nem tartozik ide</t>
        </is>
      </c>
      <c r="F1700" s="17" t="inlineStr">
        <is>
          <t>az elmúlt 30 napban</t>
        </is>
      </c>
      <c r="G1700" s="17" t="inlineStr">
        <is>
          <t>Más főkategória terméke</t>
        </is>
      </c>
    </row>
    <row r="1701">
      <c r="A1701" s="17" t="inlineStr">
        <is>
          <t>GRO4317</t>
        </is>
      </c>
      <c r="B1701" s="17" t="inlineStr">
        <is>
          <t>Aqua Master E50 pro2 EC mérő</t>
        </is>
      </c>
      <c r="C1701" s="17" t="inlineStr">
        <is>
          <t>–</t>
        </is>
      </c>
      <c r="D1701" s="17" t="inlineStr"/>
      <c r="E1701" s="17" t="inlineStr">
        <is>
          <t>Nem tartozik ide</t>
        </is>
      </c>
      <c r="F1701" s="17" t="inlineStr">
        <is>
          <t>az elmúlt 30 napban</t>
        </is>
      </c>
      <c r="G1701" s="17" t="inlineStr">
        <is>
          <t>Más főkategória terméke</t>
        </is>
      </c>
    </row>
    <row r="1702">
      <c r="A1702" s="17" t="inlineStr">
        <is>
          <t>GRO4318</t>
        </is>
      </c>
      <c r="B1702" s="17" t="inlineStr">
        <is>
          <t>Aqua Master P50 pro2 PH mérő</t>
        </is>
      </c>
      <c r="C1702" s="17" t="inlineStr">
        <is>
          <t>–</t>
        </is>
      </c>
      <c r="D1702" s="17" t="inlineStr"/>
      <c r="E1702" s="17" t="inlineStr">
        <is>
          <t>Nem tartozik ide</t>
        </is>
      </c>
      <c r="F1702" s="17" t="inlineStr">
        <is>
          <t>az elmúlt 30 napban</t>
        </is>
      </c>
      <c r="G1702" s="17" t="inlineStr">
        <is>
          <t>Más főkategória terméke</t>
        </is>
      </c>
    </row>
    <row r="1703">
      <c r="A1703" s="17" t="inlineStr">
        <is>
          <t>GRO4319</t>
        </is>
      </c>
      <c r="B1703" s="17" t="inlineStr">
        <is>
          <t>Aqua Master P110 pro2 kombinált pH és EC mérő</t>
        </is>
      </c>
      <c r="C1703" s="17" t="inlineStr">
        <is>
          <t>–</t>
        </is>
      </c>
      <c r="D1703" s="17" t="inlineStr"/>
      <c r="E1703" s="17" t="inlineStr">
        <is>
          <t>Nem tartozik ide</t>
        </is>
      </c>
      <c r="F1703" s="17" t="inlineStr">
        <is>
          <t>az elmúlt 30 napban</t>
        </is>
      </c>
      <c r="G1703" s="17" t="inlineStr">
        <is>
          <t>Más főkategória terméke</t>
        </is>
      </c>
    </row>
    <row r="1704">
      <c r="A1704" s="17" t="inlineStr">
        <is>
          <t>GRO4320</t>
        </is>
      </c>
      <c r="B1704" s="17" t="inlineStr">
        <is>
          <t>Kókusztégla mosott 5 kg</t>
        </is>
      </c>
      <c r="C1704" s="17" t="inlineStr">
        <is>
          <t>–</t>
        </is>
      </c>
      <c r="D1704" s="17" t="inlineStr"/>
      <c r="E1704" s="17" t="inlineStr">
        <is>
          <t>Nem tartozik ide</t>
        </is>
      </c>
      <c r="F1704" s="17" t="inlineStr">
        <is>
          <t>az elmúlt 30 napban</t>
        </is>
      </c>
      <c r="G1704" s="17" t="inlineStr">
        <is>
          <t>Más főkategória terméke</t>
        </is>
      </c>
    </row>
    <row r="1705">
      <c r="A1705" s="17" t="inlineStr">
        <is>
          <t>GRO4321</t>
        </is>
      </c>
      <c r="B1705" s="17" t="inlineStr">
        <is>
          <t>Kókusztégla mosott csomagolt 650 g</t>
        </is>
      </c>
      <c r="C1705" s="17" t="inlineStr">
        <is>
          <t>–</t>
        </is>
      </c>
      <c r="D1705" s="17" t="inlineStr"/>
      <c r="E1705" s="17" t="inlineStr">
        <is>
          <t>Nem tartozik ide</t>
        </is>
      </c>
      <c r="F1705" s="17" t="inlineStr">
        <is>
          <t>az elmúlt 30 napban</t>
        </is>
      </c>
      <c r="G1705" s="17" t="inlineStr">
        <is>
          <t>Más főkategória terméke</t>
        </is>
      </c>
    </row>
    <row r="1706">
      <c r="A1706" s="17" t="inlineStr">
        <is>
          <t>GRO4322</t>
        </is>
      </c>
      <c r="B1706" s="17" t="inlineStr">
        <is>
          <t>AC Infinity szénszűrő Australian Charcoal d: 100 mm 357 m3/h</t>
        </is>
      </c>
      <c r="C1706" s="17" t="inlineStr">
        <is>
          <t>–</t>
        </is>
      </c>
      <c r="D1706" s="17" t="inlineStr"/>
      <c r="E1706" s="17" t="inlineStr">
        <is>
          <t>Nem tartozik ide</t>
        </is>
      </c>
      <c r="F1706" s="17" t="inlineStr">
        <is>
          <t>az elmúlt 30 napban</t>
        </is>
      </c>
      <c r="G1706" s="17" t="inlineStr">
        <is>
          <t>Más főkategória terméke</t>
        </is>
      </c>
    </row>
    <row r="1707">
      <c r="A1707" s="17" t="inlineStr">
        <is>
          <t>GRO4323</t>
        </is>
      </c>
      <c r="B1707" s="17" t="inlineStr">
        <is>
          <t>AC Infinity szénszűrő Australian Charcoal d: 150 mm 700 m3/h</t>
        </is>
      </c>
      <c r="C1707" s="17" t="inlineStr">
        <is>
          <t>–</t>
        </is>
      </c>
      <c r="D1707" s="17" t="inlineStr"/>
      <c r="E1707" s="17" t="inlineStr">
        <is>
          <t>Nem tartozik ide</t>
        </is>
      </c>
      <c r="F1707" s="17" t="inlineStr">
        <is>
          <t>az elmúlt 30 napban</t>
        </is>
      </c>
      <c r="G1707" s="17" t="inlineStr">
        <is>
          <t>Más főkategória terméke</t>
        </is>
      </c>
    </row>
    <row r="1708">
      <c r="A1708" s="17" t="inlineStr">
        <is>
          <t>GRO4325</t>
        </is>
      </c>
      <c r="B1708" s="17" t="inlineStr">
        <is>
          <t>Secret Jardin INT240 Intense sátor 240x300x215 cm R3.00</t>
        </is>
      </c>
      <c r="C1708" s="17" t="inlineStr">
        <is>
          <t>–</t>
        </is>
      </c>
      <c r="D1708" s="17" t="inlineStr"/>
      <c r="E1708" s="17" t="inlineStr">
        <is>
          <t>Nem tartozik ide</t>
        </is>
      </c>
      <c r="F1708" s="17" t="inlineStr">
        <is>
          <t>az elmúlt 30 napban</t>
        </is>
      </c>
      <c r="G1708" s="17" t="inlineStr">
        <is>
          <t>Más főkategória terméke</t>
        </is>
      </c>
    </row>
    <row r="1709">
      <c r="A1709" s="17" t="inlineStr">
        <is>
          <t>GRO4326</t>
        </is>
      </c>
      <c r="B1709" s="17" t="inlineStr">
        <is>
          <t>Lumen-King Eco Line LED Light fixture 400W</t>
        </is>
      </c>
      <c r="C1709" s="17" t="inlineStr">
        <is>
          <t>–</t>
        </is>
      </c>
      <c r="D1709" s="17" t="inlineStr"/>
      <c r="E1709" s="17" t="inlineStr">
        <is>
          <t>Nem tartozik ide</t>
        </is>
      </c>
      <c r="F1709" s="17" t="inlineStr">
        <is>
          <t>az elmúlt 30 napban</t>
        </is>
      </c>
      <c r="G1709" s="17" t="inlineStr">
        <is>
          <t>Más főkategória terméke</t>
        </is>
      </c>
    </row>
    <row r="1710">
      <c r="A1710" s="17" t="inlineStr">
        <is>
          <t>GRO4327</t>
        </is>
      </c>
      <c r="B1710" s="17" t="inlineStr">
        <is>
          <t>Lumen-King Eco Line LED Light fixture 720W</t>
        </is>
      </c>
      <c r="C1710" s="17" t="inlineStr">
        <is>
          <t>–</t>
        </is>
      </c>
      <c r="D1710" s="17" t="inlineStr"/>
      <c r="E1710" s="17" t="inlineStr">
        <is>
          <t>Nem tartozik ide</t>
        </is>
      </c>
      <c r="F1710" s="17" t="inlineStr">
        <is>
          <t>az elmúlt 30 napban</t>
        </is>
      </c>
      <c r="G1710" s="17" t="inlineStr">
        <is>
          <t>Más főkategória terméke</t>
        </is>
      </c>
    </row>
    <row r="1711">
      <c r="A1711" s="17" t="inlineStr">
        <is>
          <t>GRO4328</t>
        </is>
      </c>
      <c r="B1711" s="17" t="inlineStr">
        <is>
          <t>Can-Filters Can-Lite szénszűrő d: 250 mm 3000 m3/h</t>
        </is>
      </c>
      <c r="C1711" s="17" t="inlineStr">
        <is>
          <t>–</t>
        </is>
      </c>
      <c r="D1711" s="17" t="inlineStr"/>
      <c r="E1711" s="17" t="inlineStr">
        <is>
          <t>Nem tartozik ide</t>
        </is>
      </c>
      <c r="F1711" s="17" t="inlineStr">
        <is>
          <t>az elmúlt 6 hónapban</t>
        </is>
      </c>
      <c r="G1711" s="17" t="inlineStr">
        <is>
          <t>Más főkategória terméke</t>
        </is>
      </c>
    </row>
    <row r="1712">
      <c r="A1712" s="17" t="inlineStr">
        <is>
          <t>GRO4329</t>
        </is>
      </c>
      <c r="B1712" s="17" t="inlineStr">
        <is>
          <t>AC Infinity (net) Plant Support 60x60 cm</t>
        </is>
      </c>
      <c r="C1712" s="17" t="inlineStr">
        <is>
          <t>–</t>
        </is>
      </c>
      <c r="D1712" s="17" t="inlineStr"/>
      <c r="E1712" s="17" t="inlineStr">
        <is>
          <t>Nem tartozik ide</t>
        </is>
      </c>
      <c r="F1712" s="17" t="inlineStr">
        <is>
          <t>az elmúlt 30 napban</t>
        </is>
      </c>
      <c r="G1712" s="17" t="inlineStr">
        <is>
          <t>Más főkategória terméke</t>
        </is>
      </c>
    </row>
    <row r="1713">
      <c r="A1713" s="17" t="inlineStr">
        <is>
          <t>GRO4330</t>
        </is>
      </c>
      <c r="B1713" s="17" t="inlineStr">
        <is>
          <t>AC Infinity (háló) Plant Support 90x90 cm</t>
        </is>
      </c>
      <c r="C1713" s="17" t="inlineStr">
        <is>
          <t>–</t>
        </is>
      </c>
      <c r="D1713" s="17" t="inlineStr"/>
      <c r="E1713" s="17" t="inlineStr">
        <is>
          <t>Nem tartozik ide</t>
        </is>
      </c>
      <c r="F1713" s="17" t="inlineStr">
        <is>
          <t>az elmúlt 30 napban</t>
        </is>
      </c>
      <c r="G1713" s="17" t="inlineStr">
        <is>
          <t>Más főkategória terméke</t>
        </is>
      </c>
    </row>
    <row r="1714">
      <c r="A1714" s="17" t="inlineStr">
        <is>
          <t>GRO4336</t>
        </is>
      </c>
      <c r="B1714" s="17" t="inlineStr">
        <is>
          <t>fólia Mylar 35μm 1,4x30 m</t>
        </is>
      </c>
      <c r="C1714" s="17" t="inlineStr">
        <is>
          <t>–</t>
        </is>
      </c>
      <c r="D1714" s="17" t="inlineStr"/>
      <c r="E1714" s="17" t="inlineStr">
        <is>
          <t>Nem tartozik ide</t>
        </is>
      </c>
      <c r="F1714" s="17" t="inlineStr">
        <is>
          <t>az elmúlt 30 napban</t>
        </is>
      </c>
      <c r="G1714" s="17" t="inlineStr">
        <is>
          <t>Más főkategória terméke</t>
        </is>
      </c>
    </row>
    <row r="1715">
      <c r="A1715" s="17" t="inlineStr">
        <is>
          <t>GRO4337</t>
        </is>
      </c>
      <c r="B1715" s="17" t="inlineStr">
        <is>
          <t>fólia fekete-fehér 70μm 2x25 m</t>
        </is>
      </c>
      <c r="C1715" s="17" t="inlineStr">
        <is>
          <t>–</t>
        </is>
      </c>
      <c r="D1715" s="17" t="inlineStr"/>
      <c r="E1715" s="17" t="inlineStr">
        <is>
          <t>Nem tartozik ide</t>
        </is>
      </c>
      <c r="F1715" s="17" t="inlineStr">
        <is>
          <t>az elmúlt 30 napban</t>
        </is>
      </c>
      <c r="G1715" s="17" t="inlineStr">
        <is>
          <t>Más főkategória terméke</t>
        </is>
      </c>
    </row>
    <row r="1716">
      <c r="A1716" s="17" t="inlineStr">
        <is>
          <t>GRO4338</t>
        </is>
      </c>
      <c r="B1716" s="17" t="inlineStr">
        <is>
          <t>fólia gyémánt mintás 125μm 1,2x10 m</t>
        </is>
      </c>
      <c r="C1716" s="17" t="inlineStr">
        <is>
          <t>–</t>
        </is>
      </c>
      <c r="D1716" s="17" t="inlineStr"/>
      <c r="E1716" s="17" t="inlineStr">
        <is>
          <t>Nem tartozik ide</t>
        </is>
      </c>
      <c r="F1716" s="17" t="inlineStr">
        <is>
          <t>az elmúlt 30 napban</t>
        </is>
      </c>
      <c r="G1716" s="17" t="inlineStr">
        <is>
          <t>Más főkategória terméke</t>
        </is>
      </c>
    </row>
    <row r="1717">
      <c r="A1717" s="17" t="inlineStr">
        <is>
          <t>GRO4339</t>
        </is>
      </c>
      <c r="B1717" s="17" t="inlineStr">
        <is>
          <t>OptiClimate Maxi Controller vezérlőegység 5 m interlink kábellel</t>
        </is>
      </c>
      <c r="C1717" s="17" t="inlineStr">
        <is>
          <t>–</t>
        </is>
      </c>
      <c r="D1717" s="17" t="inlineStr"/>
      <c r="E1717" s="17" t="inlineStr">
        <is>
          <t>Nem tartozik ide</t>
        </is>
      </c>
      <c r="F1717" s="17" t="inlineStr">
        <is>
          <t>az elmúlt 30 napban</t>
        </is>
      </c>
      <c r="G1717" s="17" t="inlineStr">
        <is>
          <t>Más főkategória terméke</t>
        </is>
      </c>
    </row>
    <row r="1718">
      <c r="A1718" s="17" t="inlineStr">
        <is>
          <t>GRO4340</t>
        </is>
      </c>
      <c r="B1718" s="17" t="inlineStr">
        <is>
          <t>AC Infinity Controller AI+ CO2 + fényérzékelő</t>
        </is>
      </c>
      <c r="C1718" s="17" t="inlineStr">
        <is>
          <t>–</t>
        </is>
      </c>
      <c r="D1718" s="17" t="inlineStr"/>
      <c r="E1718" s="17" t="inlineStr">
        <is>
          <t>Nem tartozik ide</t>
        </is>
      </c>
      <c r="F1718" s="17" t="inlineStr">
        <is>
          <t>az elmúlt 30 napban</t>
        </is>
      </c>
      <c r="G1718" s="17" t="inlineStr">
        <is>
          <t>Más főkategória terméke</t>
        </is>
      </c>
    </row>
    <row r="1719">
      <c r="A1719" s="17" t="inlineStr">
        <is>
          <t>GRO4341</t>
        </is>
      </c>
      <c r="B1719" s="17" t="inlineStr">
        <is>
          <t>AC Infinity AI talaj teszter</t>
        </is>
      </c>
      <c r="C1719" s="17" t="inlineStr">
        <is>
          <t>–</t>
        </is>
      </c>
      <c r="D1719" s="17" t="inlineStr"/>
      <c r="E1719" s="17" t="inlineStr">
        <is>
          <t>Nem tartozik ide</t>
        </is>
      </c>
      <c r="F1719" s="17" t="inlineStr">
        <is>
          <t>az elmúlt 30 napban</t>
        </is>
      </c>
      <c r="G1719" s="17" t="inlineStr">
        <is>
          <t>Más főkategória terméke</t>
        </is>
      </c>
    </row>
    <row r="1720">
      <c r="A1720" s="17" t="inlineStr">
        <is>
          <t>GRO4342</t>
        </is>
      </c>
      <c r="B1720" s="17" t="inlineStr">
        <is>
          <t>AC Infinity szénszűrő Australian Charcoal d: 200 mm 1308 m3/h</t>
        </is>
      </c>
      <c r="C1720" s="17" t="inlineStr">
        <is>
          <t>–</t>
        </is>
      </c>
      <c r="D1720" s="17" t="inlineStr"/>
      <c r="E1720" s="17" t="inlineStr">
        <is>
          <t>Nem tartozik ide</t>
        </is>
      </c>
      <c r="F1720" s="17" t="inlineStr">
        <is>
          <t>az elmúlt 30 napban</t>
        </is>
      </c>
      <c r="G1720" s="17" t="inlineStr">
        <is>
          <t>Más főkategória terméke</t>
        </is>
      </c>
    </row>
    <row r="1721">
      <c r="A1721" s="17" t="inlineStr">
        <is>
          <t>GRO4343</t>
        </is>
      </c>
      <c r="B1721" s="17" t="inlineStr">
        <is>
          <t>Probox MushPro S Gombatermesztő sátor GHP 60x40x40 cm</t>
        </is>
      </c>
      <c r="C1721" s="17" t="inlineStr">
        <is>
          <t>–</t>
        </is>
      </c>
      <c r="D1721" s="17" t="inlineStr"/>
      <c r="E1721" s="17" t="inlineStr">
        <is>
          <t>Nem tartozik ide</t>
        </is>
      </c>
      <c r="F1721" s="17" t="inlineStr">
        <is>
          <t>az elmúlt 30 napban</t>
        </is>
      </c>
      <c r="G1721" s="17" t="inlineStr">
        <is>
          <t>Más főkategória terméke</t>
        </is>
      </c>
    </row>
    <row r="1722">
      <c r="A1722" s="17" t="inlineStr">
        <is>
          <t>GRO4344</t>
        </is>
      </c>
      <c r="B1722" s="17" t="inlineStr">
        <is>
          <t>Probox MushPro M Gombatermesztő sátor GHP 60x40x80 cm</t>
        </is>
      </c>
      <c r="C1722" s="17" t="inlineStr">
        <is>
          <t>–</t>
        </is>
      </c>
      <c r="D1722" s="17" t="inlineStr"/>
      <c r="E1722" s="17" t="inlineStr">
        <is>
          <t>Nem tartozik ide</t>
        </is>
      </c>
      <c r="F1722" s="17" t="inlineStr">
        <is>
          <t>az elmúlt 30 napban</t>
        </is>
      </c>
      <c r="G1722" s="17" t="inlineStr">
        <is>
          <t>Más főkategória terméke</t>
        </is>
      </c>
    </row>
    <row r="1723">
      <c r="A1723" s="17" t="inlineStr">
        <is>
          <t>GRO4345</t>
        </is>
      </c>
      <c r="B1723" s="17" t="inlineStr">
        <is>
          <t>ROOTIT propagátor fűtő lap HOBBY Small 25x35 cm 11 W</t>
        </is>
      </c>
      <c r="C1723" s="17" t="inlineStr">
        <is>
          <t>–</t>
        </is>
      </c>
      <c r="D1723" s="17" t="inlineStr"/>
      <c r="E1723" s="17" t="inlineStr">
        <is>
          <t>Nem tartozik ide</t>
        </is>
      </c>
      <c r="F1723" s="17" t="inlineStr">
        <is>
          <t>az elmúlt 30 napban</t>
        </is>
      </c>
      <c r="G1723" s="17" t="inlineStr">
        <is>
          <t>Más főkategória terméke</t>
        </is>
      </c>
    </row>
    <row r="1724">
      <c r="A1724" s="17" t="inlineStr">
        <is>
          <t>GRO4346</t>
        </is>
      </c>
      <c r="B1724" s="17" t="inlineStr">
        <is>
          <t>Plagron NextGen 150 ml</t>
        </is>
      </c>
      <c r="C1724" s="17" t="inlineStr">
        <is>
          <t>–</t>
        </is>
      </c>
      <c r="D1724" s="17" t="inlineStr"/>
      <c r="E1724" s="17" t="inlineStr">
        <is>
          <t>Nem tartozik ide</t>
        </is>
      </c>
      <c r="F1724" s="17" t="inlineStr">
        <is>
          <t>az elmúlt 30 napban</t>
        </is>
      </c>
      <c r="G1724" s="17" t="inlineStr">
        <is>
          <t>Más főkategória terméke</t>
        </is>
      </c>
    </row>
    <row r="1725">
      <c r="A1725" s="17" t="inlineStr">
        <is>
          <t>GRO4356</t>
        </is>
      </c>
      <c r="B1725" s="17" t="inlineStr">
        <is>
          <t>Garland Seed juta lap mikrozöld termesztéshez 34x19,5 cm</t>
        </is>
      </c>
      <c r="C1725" s="17" t="inlineStr">
        <is>
          <t>–</t>
        </is>
      </c>
      <c r="D1725" s="17" t="inlineStr"/>
      <c r="E1725" s="17" t="inlineStr">
        <is>
          <t>Nem tartozik ide</t>
        </is>
      </c>
      <c r="F1725" s="17" t="inlineStr">
        <is>
          <t>az elmúlt 30 napban</t>
        </is>
      </c>
      <c r="G1725" s="17" t="inlineStr">
        <is>
          <t>Más főkategória terméke</t>
        </is>
      </c>
    </row>
    <row r="1726">
      <c r="A1726" s="17" t="inlineStr">
        <is>
          <t>GRO4357</t>
        </is>
      </c>
      <c r="B1726" s="17" t="inlineStr">
        <is>
          <t>Garland Seed juta lap mikrozöld termesztéshez 53x24,5 cm (3 db)</t>
        </is>
      </c>
      <c r="C1726" s="17" t="inlineStr">
        <is>
          <t>–</t>
        </is>
      </c>
      <c r="D1726" s="17" t="inlineStr"/>
      <c r="E1726" s="17" t="inlineStr">
        <is>
          <t>Nem tartozik ide</t>
        </is>
      </c>
      <c r="F1726" s="17" t="inlineStr">
        <is>
          <t>az elmúlt 30 napban</t>
        </is>
      </c>
      <c r="G1726" s="17" t="inlineStr">
        <is>
          <t>Más főkategória terméke</t>
        </is>
      </c>
    </row>
    <row r="1727">
      <c r="A1727" s="17" t="inlineStr">
        <is>
          <t>GRO4362</t>
        </is>
      </c>
      <c r="B1727" s="17" t="inlineStr">
        <is>
          <t>Lumen-King Eco Line LED Light fixture 1000W 2.7</t>
        </is>
      </c>
      <c r="C1727" s="17" t="inlineStr">
        <is>
          <t>–</t>
        </is>
      </c>
      <c r="D1727" s="17" t="inlineStr"/>
      <c r="E1727" s="17" t="inlineStr">
        <is>
          <t>Nem tartozik ide</t>
        </is>
      </c>
      <c r="F1727" s="17" t="inlineStr">
        <is>
          <t>az elmúlt 30 napban</t>
        </is>
      </c>
      <c r="G1727" s="17" t="inlineStr">
        <is>
          <t>Más főkategória terméke</t>
        </is>
      </c>
    </row>
    <row r="1728">
      <c r="A1728" s="17" t="inlineStr">
        <is>
          <t>GRO4363</t>
        </is>
      </c>
      <c r="B1728" s="17" t="inlineStr">
        <is>
          <t>Eazy Plug piramis 4,8 L</t>
        </is>
      </c>
      <c r="C1728" s="17" t="inlineStr">
        <is>
          <t>–</t>
        </is>
      </c>
      <c r="D1728" s="17" t="inlineStr"/>
      <c r="E1728" s="17" t="inlineStr">
        <is>
          <t>Nem tartozik ide</t>
        </is>
      </c>
      <c r="F1728" s="17" t="inlineStr">
        <is>
          <t>az elmúlt 30 napban</t>
        </is>
      </c>
      <c r="G1728" s="17" t="inlineStr">
        <is>
          <t>Más főkategória terméke</t>
        </is>
      </c>
    </row>
    <row r="1729">
      <c r="A1729" s="17" t="inlineStr">
        <is>
          <t>GRO4364</t>
        </is>
      </c>
      <c r="B1729" s="17" t="inlineStr">
        <is>
          <t>AC Infinity Cloudline T8 Inline ventilátor hőmérséklet és pára szabályzóval 200 mm 1371 m3/h</t>
        </is>
      </c>
      <c r="C1729" s="17" t="inlineStr">
        <is>
          <t>–</t>
        </is>
      </c>
      <c r="D1729" s="17" t="inlineStr"/>
      <c r="E1729" s="17" t="inlineStr">
        <is>
          <t>Nem tartozik ide</t>
        </is>
      </c>
      <c r="F1729" s="17" t="inlineStr">
        <is>
          <t>az elmúlt 30 napban</t>
        </is>
      </c>
      <c r="G1729" s="17" t="inlineStr">
        <is>
          <t>Más főkategória terméke</t>
        </is>
      </c>
    </row>
    <row r="1730">
      <c r="A1730" s="17" t="inlineStr">
        <is>
          <t>GRO4365</t>
        </is>
      </c>
      <c r="B1730" s="17" t="inlineStr">
        <is>
          <t>Neptune Hydroponics fűtő lap 35x25 cm 15W</t>
        </is>
      </c>
      <c r="C1730" s="17" t="inlineStr">
        <is>
          <t>–</t>
        </is>
      </c>
      <c r="D1730" s="17" t="inlineStr"/>
      <c r="E1730" s="17" t="inlineStr">
        <is>
          <t>Nem tartozik ide</t>
        </is>
      </c>
      <c r="F1730" s="17" t="inlineStr">
        <is>
          <t>az elmúlt 30 napban</t>
        </is>
      </c>
      <c r="G1730" s="17" t="inlineStr">
        <is>
          <t>Más főkategória terméke</t>
        </is>
      </c>
    </row>
    <row r="1731">
      <c r="A1731" s="17" t="inlineStr">
        <is>
          <t>GRO4366</t>
        </is>
      </c>
      <c r="B1731" s="17" t="inlineStr">
        <is>
          <t>Neptune Hydroponics fűtő lap 60x30 cm 32W</t>
        </is>
      </c>
      <c r="C1731" s="17" t="inlineStr">
        <is>
          <t>–</t>
        </is>
      </c>
      <c r="D1731" s="17" t="inlineStr"/>
      <c r="E1731" s="17" t="inlineStr">
        <is>
          <t>Nem tartozik ide</t>
        </is>
      </c>
      <c r="F1731" s="17" t="inlineStr">
        <is>
          <t>az elmúlt 30 napban</t>
        </is>
      </c>
      <c r="G1731" s="17" t="inlineStr">
        <is>
          <t>Más főkategória terméke</t>
        </is>
      </c>
    </row>
    <row r="1732">
      <c r="A1732" s="17" t="inlineStr">
        <is>
          <t>GRO4367</t>
        </is>
      </c>
      <c r="B1732" s="17" t="inlineStr">
        <is>
          <t>Agrolite LED 2xCB10 60 cm 2x10W</t>
        </is>
      </c>
      <c r="C1732" s="17" t="inlineStr">
        <is>
          <t>–</t>
        </is>
      </c>
      <c r="D1732" s="17" t="inlineStr"/>
      <c r="E1732" s="17" t="inlineStr">
        <is>
          <t>Nem tartozik ide</t>
        </is>
      </c>
      <c r="F1732" s="17" t="inlineStr">
        <is>
          <t>az elmúlt 30 napban</t>
        </is>
      </c>
      <c r="G1732" s="17" t="inlineStr">
        <is>
          <t>Más főkategória terméke</t>
        </is>
      </c>
    </row>
    <row r="1733">
      <c r="A1733" s="17" t="inlineStr">
        <is>
          <t>GRO4368</t>
        </is>
      </c>
      <c r="B1733" s="17" t="inlineStr">
        <is>
          <t>Monzon párásító vezérlő</t>
        </is>
      </c>
      <c r="C1733" s="17" t="inlineStr">
        <is>
          <t>–</t>
        </is>
      </c>
      <c r="D1733" s="17" t="inlineStr"/>
      <c r="E1733" s="17" t="inlineStr">
        <is>
          <t>Nem tartozik ide</t>
        </is>
      </c>
      <c r="F1733" s="17" t="inlineStr">
        <is>
          <t>az elmúlt 30 napban</t>
        </is>
      </c>
      <c r="G1733" s="17" t="inlineStr">
        <is>
          <t>Más főkategória terméke</t>
        </is>
      </c>
    </row>
    <row r="1734">
      <c r="A1734" s="17" t="inlineStr">
        <is>
          <t>GRO4369</t>
        </is>
      </c>
      <c r="B1734" s="17" t="inlineStr">
        <is>
          <t>Levegőztető pumpa Neptune Hydroponics NHA1, 1 kimenet, 1,5 l/perc</t>
        </is>
      </c>
      <c r="C1734" s="17" t="inlineStr">
        <is>
          <t>–</t>
        </is>
      </c>
      <c r="D1734" s="17" t="inlineStr"/>
      <c r="E1734" s="17" t="inlineStr">
        <is>
          <t>Nem tartozik ide</t>
        </is>
      </c>
      <c r="F1734" s="17" t="inlineStr">
        <is>
          <t>az elmúlt 30 napban</t>
        </is>
      </c>
      <c r="G1734" s="17" t="inlineStr">
        <is>
          <t>Más főkategória terméke</t>
        </is>
      </c>
    </row>
    <row r="1735">
      <c r="A1735" s="17" t="inlineStr">
        <is>
          <t>GRO4370</t>
        </is>
      </c>
      <c r="B1735" s="17" t="inlineStr">
        <is>
          <t>Levegőztető pumpa Neptune Hydroponics NHA2, 2 kimenet, 2 x 1,5 l/perc</t>
        </is>
      </c>
      <c r="C1735" s="17" t="inlineStr">
        <is>
          <t>–</t>
        </is>
      </c>
      <c r="D1735" s="17" t="inlineStr"/>
      <c r="E1735" s="17" t="inlineStr">
        <is>
          <t>Nem tartozik ide</t>
        </is>
      </c>
      <c r="F1735" s="17" t="inlineStr">
        <is>
          <t>az elmúlt 30 napban</t>
        </is>
      </c>
      <c r="G1735" s="17" t="inlineStr">
        <is>
          <t>Más főkategória terméke</t>
        </is>
      </c>
    </row>
    <row r="1736">
      <c r="A1736" s="17" t="inlineStr">
        <is>
          <t>GRO4371</t>
        </is>
      </c>
      <c r="B1736" s="17" t="inlineStr">
        <is>
          <t>Kókusz magvetőkocka tálcán (53x30 cm) 104 db</t>
        </is>
      </c>
      <c r="C1736" s="17" t="inlineStr">
        <is>
          <t>–</t>
        </is>
      </c>
      <c r="D1736" s="17" t="inlineStr"/>
      <c r="E1736" s="17" t="inlineStr">
        <is>
          <t>Nem tartozik ide</t>
        </is>
      </c>
      <c r="F1736" s="17" t="inlineStr">
        <is>
          <t>az elmúlt 30 napban</t>
        </is>
      </c>
      <c r="G1736" s="17" t="inlineStr">
        <is>
          <t>Más főkategória terméke</t>
        </is>
      </c>
    </row>
    <row r="1737">
      <c r="A1737" s="17" t="inlineStr">
        <is>
          <t>GRO4372</t>
        </is>
      </c>
      <c r="B1737" s="17" t="inlineStr">
        <is>
          <t>Trimmelőgép motoros tál d: 62 cm H: 48 cm</t>
        </is>
      </c>
      <c r="C1737" s="17" t="inlineStr">
        <is>
          <t>–</t>
        </is>
      </c>
      <c r="D1737" s="17" t="inlineStr"/>
      <c r="E1737" s="17" t="inlineStr">
        <is>
          <t>Nem tartozik ide</t>
        </is>
      </c>
      <c r="F1737" s="17" t="inlineStr">
        <is>
          <t>az elmúlt 30 napban</t>
        </is>
      </c>
      <c r="G1737" s="17" t="inlineStr">
        <is>
          <t>Más főkategória terméke</t>
        </is>
      </c>
    </row>
    <row r="1738">
      <c r="A1738" s="17" t="inlineStr">
        <is>
          <t>GRO4380</t>
        </is>
      </c>
      <c r="B1738" s="17" t="inlineStr">
        <is>
          <t>Grodan Delta 4G kőzetgyapot nevelőkocka 75x75x65 mm 40/40 (nagy lyukú)</t>
        </is>
      </c>
      <c r="C1738" s="17" t="inlineStr">
        <is>
          <t>–</t>
        </is>
      </c>
      <c r="D1738" s="17" t="inlineStr"/>
      <c r="E1738" s="17" t="inlineStr">
        <is>
          <t>Nem tartozik ide</t>
        </is>
      </c>
      <c r="F1738" s="17" t="inlineStr">
        <is>
          <t>az elmúlt 30 napban</t>
        </is>
      </c>
      <c r="G1738" s="17" t="inlineStr">
        <is>
          <t>Más főkategória terméke</t>
        </is>
      </c>
    </row>
    <row r="1739">
      <c r="A1739" s="17" t="inlineStr">
        <is>
          <t>GRO4381</t>
        </is>
      </c>
      <c r="B1739" s="17" t="inlineStr">
        <is>
          <t>Secret Jardin Monkey Fan csíptethető ventilátor 18 cm 6,5 W</t>
        </is>
      </c>
      <c r="C1739" s="17" t="inlineStr">
        <is>
          <t>–</t>
        </is>
      </c>
      <c r="D1739" s="17" t="inlineStr"/>
      <c r="E1739" s="17" t="inlineStr">
        <is>
          <t>Nem tartozik ide</t>
        </is>
      </c>
      <c r="F1739" s="17" t="inlineStr">
        <is>
          <t>az elmúlt 30 napban</t>
        </is>
      </c>
      <c r="G1739" s="17" t="inlineStr">
        <is>
          <t>Más főkategória terméke</t>
        </is>
      </c>
    </row>
    <row r="1740">
      <c r="A1740" s="17" t="inlineStr">
        <is>
          <t>GRO4382</t>
        </is>
      </c>
      <c r="B1740" s="17" t="inlineStr">
        <is>
          <t>Csíráztató üvegtál szűrővel</t>
        </is>
      </c>
      <c r="C1740" s="17" t="inlineStr">
        <is>
          <t>–</t>
        </is>
      </c>
      <c r="D1740" s="17" t="inlineStr"/>
      <c r="E1740" s="17" t="inlineStr">
        <is>
          <t>Nem tartozik ide</t>
        </is>
      </c>
      <c r="F1740" s="17" t="inlineStr">
        <is>
          <t>az elmúlt 30 napban</t>
        </is>
      </c>
      <c r="G1740" s="17" t="inlineStr">
        <is>
          <t>Más főkategória terméke</t>
        </is>
      </c>
    </row>
    <row r="1741">
      <c r="A1741" s="17" t="inlineStr">
        <is>
          <t>GRO4383</t>
        </is>
      </c>
      <c r="B1741" s="17" t="inlineStr">
        <is>
          <t>Mikrozöld csíráztató üvegedény szűrővel</t>
        </is>
      </c>
      <c r="C1741" s="17" t="inlineStr">
        <is>
          <t>–</t>
        </is>
      </c>
      <c r="D1741" s="17" t="inlineStr"/>
      <c r="E1741" s="17" t="inlineStr">
        <is>
          <t>Nem tartozik ide</t>
        </is>
      </c>
      <c r="F1741" s="17" t="inlineStr">
        <is>
          <t>az elmúlt 30 napban</t>
        </is>
      </c>
      <c r="G1741" s="17" t="inlineStr">
        <is>
          <t>Más főkategória terméke</t>
        </is>
      </c>
    </row>
    <row r="1742">
      <c r="A1742" s="17" t="inlineStr">
        <is>
          <t>GRO4384</t>
        </is>
      </c>
      <c r="B1742" s="17" t="inlineStr">
        <is>
          <t>Mikrozöld csíráztató műanyag torony 3 emeletes</t>
        </is>
      </c>
      <c r="C1742" s="17" t="inlineStr">
        <is>
          <t>–</t>
        </is>
      </c>
      <c r="D1742" s="17" t="inlineStr"/>
      <c r="E1742" s="17" t="inlineStr">
        <is>
          <t>Nem tartozik ide</t>
        </is>
      </c>
      <c r="F1742" s="17" t="inlineStr">
        <is>
          <t>az elmúlt 30 napban</t>
        </is>
      </c>
      <c r="G1742" s="17" t="inlineStr">
        <is>
          <t>Más főkategória terméke</t>
        </is>
      </c>
    </row>
    <row r="1743">
      <c r="A1743" s="17" t="inlineStr">
        <is>
          <t>GRO4385</t>
        </is>
      </c>
      <c r="B1743" s="17" t="inlineStr">
        <is>
          <t>Mikrozöld mag zsázsa bio 60 g</t>
        </is>
      </c>
      <c r="C1743" s="17" t="inlineStr">
        <is>
          <t>–</t>
        </is>
      </c>
      <c r="D1743" s="17" t="inlineStr"/>
      <c r="E1743" s="17" t="inlineStr">
        <is>
          <t>Nem tartozik ide</t>
        </is>
      </c>
      <c r="F1743" s="17" t="inlineStr">
        <is>
          <t>az elmúlt 30 napban</t>
        </is>
      </c>
      <c r="G1743" s="17" t="inlineStr">
        <is>
          <t>Más főkategória terméke</t>
        </is>
      </c>
    </row>
    <row r="1744">
      <c r="A1744" s="17" t="inlineStr">
        <is>
          <t>GRO4386</t>
        </is>
      </c>
      <c r="B1744" s="17" t="inlineStr">
        <is>
          <t>Mikrozöld mag vöröskáposzta 15 g</t>
        </is>
      </c>
      <c r="C1744" s="17" t="inlineStr">
        <is>
          <t>–</t>
        </is>
      </c>
      <c r="D1744" s="17" t="inlineStr"/>
      <c r="E1744" s="17" t="inlineStr">
        <is>
          <t>Nem tartozik ide</t>
        </is>
      </c>
      <c r="F1744" s="17" t="inlineStr">
        <is>
          <t>az elmúlt 30 napban</t>
        </is>
      </c>
      <c r="G1744" s="17" t="inlineStr">
        <is>
          <t>Más főkategória terméke</t>
        </is>
      </c>
    </row>
    <row r="1745">
      <c r="A1745" s="17" t="inlineStr">
        <is>
          <t>GRO4387</t>
        </is>
      </c>
      <c r="B1745" s="17" t="inlineStr">
        <is>
          <t>Mikrozöld mag napraforgó bio 30 g</t>
        </is>
      </c>
      <c r="C1745" s="17" t="inlineStr">
        <is>
          <t>–</t>
        </is>
      </c>
      <c r="D1745" s="17" t="inlineStr"/>
      <c r="E1745" s="17" t="inlineStr">
        <is>
          <t>Nem tartozik ide</t>
        </is>
      </c>
      <c r="F1745" s="17" t="inlineStr">
        <is>
          <t>az elmúlt 6 hónapban</t>
        </is>
      </c>
      <c r="G1745" s="17" t="inlineStr">
        <is>
          <t>Más főkategória terméke</t>
        </is>
      </c>
    </row>
    <row r="1746">
      <c r="A1746" s="17" t="inlineStr">
        <is>
          <t>GRO4388</t>
        </is>
      </c>
      <c r="B1746" s="17" t="inlineStr">
        <is>
          <t>Mikrozöld mag mustár bio 50 g</t>
        </is>
      </c>
      <c r="C1746" s="17" t="inlineStr">
        <is>
          <t>–</t>
        </is>
      </c>
      <c r="D1746" s="17" t="inlineStr"/>
      <c r="E1746" s="17" t="inlineStr">
        <is>
          <t>Nem tartozik ide</t>
        </is>
      </c>
      <c r="F1746" s="17" t="inlineStr">
        <is>
          <t>az elmúlt 30 napban</t>
        </is>
      </c>
      <c r="G1746" s="17" t="inlineStr">
        <is>
          <t>Más főkategória terméke</t>
        </is>
      </c>
    </row>
    <row r="1747">
      <c r="A1747" s="17" t="inlineStr">
        <is>
          <t>GRO4389</t>
        </is>
      </c>
      <c r="B1747" s="17" t="inlineStr">
        <is>
          <t>Mikrozöld mag búza bio 75 g</t>
        </is>
      </c>
      <c r="C1747" s="17" t="inlineStr">
        <is>
          <t>–</t>
        </is>
      </c>
      <c r="D1747" s="17" t="inlineStr"/>
      <c r="E1747" s="17" t="inlineStr">
        <is>
          <t>Nem tartozik ide</t>
        </is>
      </c>
      <c r="F1747" s="17" t="inlineStr">
        <is>
          <t>az elmúlt 30 napban</t>
        </is>
      </c>
      <c r="G1747" s="17" t="inlineStr">
        <is>
          <t>Más főkategória terméke</t>
        </is>
      </c>
    </row>
    <row r="1748">
      <c r="A1748" s="17" t="inlineStr">
        <is>
          <t>GRO4390</t>
        </is>
      </c>
      <c r="B1748" s="17" t="inlineStr">
        <is>
          <t>Mikrozöld mag brokkoli bio 20 g</t>
        </is>
      </c>
      <c r="C1748" s="17" t="inlineStr">
        <is>
          <t>–</t>
        </is>
      </c>
      <c r="D1748" s="17" t="inlineStr"/>
      <c r="E1748" s="17" t="inlineStr">
        <is>
          <t>Nem tartozik ide</t>
        </is>
      </c>
      <c r="F1748" s="17" t="inlineStr">
        <is>
          <t>az elmúlt 30 napban</t>
        </is>
      </c>
      <c r="G1748" s="17" t="inlineStr">
        <is>
          <t>Más főkategória terméke</t>
        </is>
      </c>
    </row>
    <row r="1749">
      <c r="A1749" s="17" t="inlineStr">
        <is>
          <t>GRO4391</t>
        </is>
      </c>
      <c r="B1749" s="17" t="inlineStr">
        <is>
          <t>Mikrozöld mag vöröshagyma bio 15 g</t>
        </is>
      </c>
      <c r="C1749" s="17" t="inlineStr">
        <is>
          <t>–</t>
        </is>
      </c>
      <c r="D1749" s="17" t="inlineStr"/>
      <c r="E1749" s="17" t="inlineStr">
        <is>
          <t>Nem tartozik ide</t>
        </is>
      </c>
      <c r="F1749" s="17" t="inlineStr">
        <is>
          <t>az elmúlt 30 napban</t>
        </is>
      </c>
      <c r="G1749" s="17" t="inlineStr">
        <is>
          <t>Más főkategória terméke</t>
        </is>
      </c>
    </row>
    <row r="1750">
      <c r="A1750" s="17" t="inlineStr">
        <is>
          <t>GRO4392</t>
        </is>
      </c>
      <c r="B1750" s="17" t="inlineStr">
        <is>
          <t>Mikrozöld mag lucerna bio 40 g</t>
        </is>
      </c>
      <c r="C1750" s="17" t="inlineStr">
        <is>
          <t>–</t>
        </is>
      </c>
      <c r="D1750" s="17" t="inlineStr"/>
      <c r="E1750" s="17" t="inlineStr">
        <is>
          <t>Nem tartozik ide</t>
        </is>
      </c>
      <c r="F1750" s="17" t="inlineStr">
        <is>
          <t>az elmúlt 30 napban</t>
        </is>
      </c>
      <c r="G1750" s="17" t="inlineStr">
        <is>
          <t>Más főkategória terméke</t>
        </is>
      </c>
    </row>
    <row r="1751">
      <c r="A1751" s="17" t="inlineStr">
        <is>
          <t>GRO4393</t>
        </is>
      </c>
      <c r="B1751" s="17" t="inlineStr">
        <is>
          <t>Mikrozöld mag póréhagyma bio 15 g</t>
        </is>
      </c>
      <c r="C1751" s="17" t="inlineStr">
        <is>
          <t>–</t>
        </is>
      </c>
      <c r="D1751" s="17" t="inlineStr"/>
      <c r="E1751" s="17" t="inlineStr">
        <is>
          <t>Nem tartozik ide</t>
        </is>
      </c>
      <c r="F1751" s="17" t="inlineStr">
        <is>
          <t>az elmúlt 30 napban</t>
        </is>
      </c>
      <c r="G1751" s="17" t="inlineStr">
        <is>
          <t>Más főkategória terméke</t>
        </is>
      </c>
    </row>
    <row r="1752">
      <c r="A1752" s="17" t="inlineStr">
        <is>
          <t>GRO4394</t>
        </is>
      </c>
      <c r="B1752" s="17" t="inlineStr">
        <is>
          <t>Mikrozöld mag retek bio 30 g</t>
        </is>
      </c>
      <c r="C1752" s="17" t="inlineStr">
        <is>
          <t>–</t>
        </is>
      </c>
      <c r="D1752" s="17" t="inlineStr"/>
      <c r="E1752" s="17" t="inlineStr">
        <is>
          <t>Nem tartozik ide</t>
        </is>
      </c>
      <c r="F1752" s="17" t="inlineStr">
        <is>
          <t>az elmúlt 30 napban</t>
        </is>
      </c>
      <c r="G1752" s="17" t="inlineStr">
        <is>
          <t>Más főkategória terméke</t>
        </is>
      </c>
    </row>
    <row r="1753">
      <c r="A1753" s="17" t="inlineStr">
        <is>
          <t>GRO4395</t>
        </is>
      </c>
      <c r="B1753" s="17" t="inlineStr">
        <is>
          <t>Mikrozöld mag salátaborsó 50 g</t>
        </is>
      </c>
      <c r="C1753" s="17" t="inlineStr">
        <is>
          <t>–</t>
        </is>
      </c>
      <c r="D1753" s="17" t="inlineStr"/>
      <c r="E1753" s="17" t="inlineStr">
        <is>
          <t>Nem tartozik ide</t>
        </is>
      </c>
      <c r="F1753" s="17" t="inlineStr">
        <is>
          <t>az elmúlt 30 napban</t>
        </is>
      </c>
      <c r="G1753" s="17" t="inlineStr">
        <is>
          <t>Más főkategória terméke</t>
        </is>
      </c>
    </row>
    <row r="1754">
      <c r="A1754" s="17" t="inlineStr">
        <is>
          <t>GRO4396</t>
        </is>
      </c>
      <c r="B1754" s="17" t="inlineStr">
        <is>
          <t>Mikrozöld mag salátaborsó 500 g</t>
        </is>
      </c>
      <c r="C1754" s="17" t="inlineStr">
        <is>
          <t>–</t>
        </is>
      </c>
      <c r="D1754" s="17" t="inlineStr"/>
      <c r="E1754" s="17" t="inlineStr">
        <is>
          <t>Nem tartozik ide</t>
        </is>
      </c>
      <c r="F1754" s="17" t="inlineStr">
        <is>
          <t>az elmúlt 30 napban</t>
        </is>
      </c>
      <c r="G1754" s="17" t="inlineStr">
        <is>
          <t>Más főkategória terméke</t>
        </is>
      </c>
    </row>
    <row r="1755">
      <c r="A1755" s="17" t="inlineStr">
        <is>
          <t>GRO4397</t>
        </is>
      </c>
      <c r="B1755" s="17" t="inlineStr">
        <is>
          <t>Mikrozöld mag búza bio 500 g</t>
        </is>
      </c>
      <c r="C1755" s="17" t="inlineStr">
        <is>
          <t>–</t>
        </is>
      </c>
      <c r="D1755" s="17" t="inlineStr"/>
      <c r="E1755" s="17" t="inlineStr">
        <is>
          <t>Nem tartozik ide</t>
        </is>
      </c>
      <c r="F1755" s="17" t="inlineStr">
        <is>
          <t>az elmúlt 30 napban</t>
        </is>
      </c>
      <c r="G1755" s="17" t="inlineStr">
        <is>
          <t>Más főkategória terméke</t>
        </is>
      </c>
    </row>
    <row r="1756">
      <c r="A1756" s="17" t="inlineStr">
        <is>
          <t>GRO4398</t>
        </is>
      </c>
      <c r="B1756" s="17" t="inlineStr">
        <is>
          <t>Mikrozöld mag retek bio 500 g</t>
        </is>
      </c>
      <c r="C1756" s="17" t="inlineStr">
        <is>
          <t>–</t>
        </is>
      </c>
      <c r="D1756" s="17" t="inlineStr"/>
      <c r="E1756" s="17" t="inlineStr">
        <is>
          <t>Nem tartozik ide</t>
        </is>
      </c>
      <c r="F1756" s="17" t="inlineStr">
        <is>
          <t>az elmúlt 30 napban</t>
        </is>
      </c>
      <c r="G1756" s="17" t="inlineStr">
        <is>
          <t>Más főkategória terméke</t>
        </is>
      </c>
    </row>
    <row r="1757">
      <c r="A1757" s="17" t="inlineStr">
        <is>
          <t>GRO4399</t>
        </is>
      </c>
      <c r="B1757" s="17" t="inlineStr">
        <is>
          <t>Mikrozöld mag brokkoli bio 500 g</t>
        </is>
      </c>
      <c r="C1757" s="17" t="inlineStr">
        <is>
          <t>–</t>
        </is>
      </c>
      <c r="D1757" s="17" t="inlineStr"/>
      <c r="E1757" s="17" t="inlineStr">
        <is>
          <t>Nem tartozik ide</t>
        </is>
      </c>
      <c r="F1757" s="17" t="inlineStr">
        <is>
          <t>az elmúlt 6 hónapban</t>
        </is>
      </c>
      <c r="G1757" s="17" t="inlineStr">
        <is>
          <t>Más főkategória terméke</t>
        </is>
      </c>
    </row>
    <row r="1758">
      <c r="A1758" s="17" t="inlineStr">
        <is>
          <t>GRO4400</t>
        </is>
      </c>
      <c r="B1758" s="17" t="inlineStr">
        <is>
          <t>Mikrozöld mag zsázsa bio 500 g</t>
        </is>
      </c>
      <c r="C1758" s="17" t="inlineStr">
        <is>
          <t>–</t>
        </is>
      </c>
      <c r="D1758" s="17" t="inlineStr"/>
      <c r="E1758" s="17" t="inlineStr">
        <is>
          <t>Nem tartozik ide</t>
        </is>
      </c>
      <c r="F1758" s="17" t="inlineStr">
        <is>
          <t>az elmúlt 30 napban</t>
        </is>
      </c>
      <c r="G1758" s="17" t="inlineStr">
        <is>
          <t>Más főkategória terméke</t>
        </is>
      </c>
    </row>
    <row r="1759">
      <c r="A1759" s="17" t="inlineStr">
        <is>
          <t>GRO4401</t>
        </is>
      </c>
      <c r="B1759" s="17" t="inlineStr">
        <is>
          <t>Chili paprika vetőmag Habanero piros 20 db</t>
        </is>
      </c>
      <c r="C1759" s="17" t="inlineStr">
        <is>
          <t>–</t>
        </is>
      </c>
      <c r="D1759" s="17" t="inlineStr"/>
      <c r="E1759" s="17" t="inlineStr">
        <is>
          <t>Nem tartozik ide</t>
        </is>
      </c>
      <c r="F1759" s="17" t="inlineStr">
        <is>
          <t>az elmúlt 30 napban</t>
        </is>
      </c>
      <c r="G1759" s="17" t="inlineStr">
        <is>
          <t>Más főkategória terméke</t>
        </is>
      </c>
    </row>
    <row r="1760">
      <c r="A1760" s="17" t="inlineStr">
        <is>
          <t>GRO4402</t>
        </is>
      </c>
      <c r="B1760" s="17" t="inlineStr">
        <is>
          <t>Chili paprika vetőmag Etna piros 20 db</t>
        </is>
      </c>
      <c r="C1760" s="17" t="inlineStr">
        <is>
          <t>–</t>
        </is>
      </c>
      <c r="D1760" s="17" t="inlineStr"/>
      <c r="E1760" s="17" t="inlineStr">
        <is>
          <t>Nem tartozik ide</t>
        </is>
      </c>
      <c r="F1760" s="17" t="inlineStr">
        <is>
          <t>az elmúlt 30 napban</t>
        </is>
      </c>
      <c r="G1760" s="17" t="inlineStr">
        <is>
          <t>Más főkategória terméke</t>
        </is>
      </c>
    </row>
    <row r="1761">
      <c r="A1761" s="17" t="inlineStr">
        <is>
          <t>GRO4403</t>
        </is>
      </c>
      <c r="B1761" s="17" t="inlineStr">
        <is>
          <t>Chili paprika vetőmag Habanero csokoládébarna 20 szem</t>
        </is>
      </c>
      <c r="C1761" s="17" t="inlineStr">
        <is>
          <t>–</t>
        </is>
      </c>
      <c r="D1761" s="17" t="inlineStr"/>
      <c r="E1761" s="17" t="inlineStr">
        <is>
          <t>Nem tartozik ide</t>
        </is>
      </c>
      <c r="F1761" s="17" t="inlineStr">
        <is>
          <t>az elmúlt 30 napban</t>
        </is>
      </c>
      <c r="G1761" s="17" t="inlineStr">
        <is>
          <t>Más főkategória terméke</t>
        </is>
      </c>
    </row>
    <row r="1762">
      <c r="A1762" s="17" t="inlineStr">
        <is>
          <t>GRO4404</t>
        </is>
      </c>
      <c r="B1762" s="17" t="inlineStr">
        <is>
          <t>Chili paprika vetőmag Habanero narancssárga 20 db</t>
        </is>
      </c>
      <c r="C1762" s="17" t="inlineStr">
        <is>
          <t>–</t>
        </is>
      </c>
      <c r="D1762" s="17" t="inlineStr"/>
      <c r="E1762" s="17" t="inlineStr">
        <is>
          <t>Nem tartozik ide</t>
        </is>
      </c>
      <c r="F1762" s="17" t="inlineStr">
        <is>
          <t>az elmúlt 30 napban</t>
        </is>
      </c>
      <c r="G1762" s="17" t="inlineStr">
        <is>
          <t>Más főkategória terméke</t>
        </is>
      </c>
    </row>
    <row r="1763">
      <c r="A1763" s="17" t="inlineStr">
        <is>
          <t>GRO4405</t>
        </is>
      </c>
      <c r="B1763" s="17" t="inlineStr">
        <is>
          <t>Chili paprika vetőmag Jalapeno 20 db</t>
        </is>
      </c>
      <c r="C1763" s="17" t="inlineStr">
        <is>
          <t>–</t>
        </is>
      </c>
      <c r="D1763" s="17" t="inlineStr"/>
      <c r="E1763" s="17" t="inlineStr">
        <is>
          <t>Nem tartozik ide</t>
        </is>
      </c>
      <c r="F1763" s="17" t="inlineStr">
        <is>
          <t>az elmúlt 30 napban</t>
        </is>
      </c>
      <c r="G1763" s="17" t="inlineStr">
        <is>
          <t>Más főkategória terméke</t>
        </is>
      </c>
    </row>
    <row r="1764">
      <c r="A1764" s="17" t="inlineStr">
        <is>
          <t>GRO4406</t>
        </is>
      </c>
      <c r="B1764" s="17" t="inlineStr">
        <is>
          <t>Chili paprika vetőmag Bohócsapka 20 db</t>
        </is>
      </c>
      <c r="C1764" s="17" t="inlineStr">
        <is>
          <t>–</t>
        </is>
      </c>
      <c r="D1764" s="17" t="inlineStr"/>
      <c r="E1764" s="17" t="inlineStr">
        <is>
          <t>Nem tartozik ide</t>
        </is>
      </c>
      <c r="F1764" s="17" t="inlineStr">
        <is>
          <t>az elmúlt 30 napban</t>
        </is>
      </c>
      <c r="G1764" s="17" t="inlineStr">
        <is>
          <t>Más főkategória terméke</t>
        </is>
      </c>
    </row>
    <row r="1765">
      <c r="A1765" s="17" t="inlineStr">
        <is>
          <t>GRO4407</t>
        </is>
      </c>
      <c r="B1765" s="17" t="inlineStr">
        <is>
          <t>Chili paprika vetőmag Cayenne 20 db</t>
        </is>
      </c>
      <c r="C1765" s="17" t="inlineStr">
        <is>
          <t>–</t>
        </is>
      </c>
      <c r="D1765" s="17" t="inlineStr"/>
      <c r="E1765" s="17" t="inlineStr">
        <is>
          <t>Nem tartozik ide</t>
        </is>
      </c>
      <c r="F1765" s="17" t="inlineStr">
        <is>
          <t>az elmúlt 30 napban</t>
        </is>
      </c>
      <c r="G1765" s="17" t="inlineStr">
        <is>
          <t>Más főkategória terméke</t>
        </is>
      </c>
    </row>
    <row r="1766">
      <c r="A1766" s="17" t="inlineStr">
        <is>
          <t>GRO4409</t>
        </is>
      </c>
      <c r="B1766" s="17" t="inlineStr">
        <is>
          <t>Cornwall Electronics Arica páramantesítő 12 liter</t>
        </is>
      </c>
      <c r="C1766" s="17" t="inlineStr">
        <is>
          <t>–</t>
        </is>
      </c>
      <c r="D1766" s="17" t="inlineStr"/>
      <c r="E1766" s="17" t="inlineStr">
        <is>
          <t>Nem tartozik ide</t>
        </is>
      </c>
      <c r="F1766" s="17" t="inlineStr">
        <is>
          <t>az elmúlt 30 napban</t>
        </is>
      </c>
      <c r="G1766" s="17" t="inlineStr">
        <is>
          <t>Más főkategória terméke</t>
        </is>
      </c>
    </row>
    <row r="1767">
      <c r="A1767" s="17" t="inlineStr">
        <is>
          <t>GRO4411</t>
        </is>
      </c>
      <c r="B1767" s="17" t="inlineStr">
        <is>
          <t>Jiffy-7 3070 tőzeg &amp; kókusz korong 38x39 mm (1000 db/doboz)</t>
        </is>
      </c>
      <c r="C1767" s="17" t="inlineStr">
        <is>
          <t>–</t>
        </is>
      </c>
      <c r="D1767" s="17" t="inlineStr"/>
      <c r="E1767" s="17" t="inlineStr">
        <is>
          <t>Nem tartozik ide</t>
        </is>
      </c>
      <c r="F1767" s="17" t="inlineStr">
        <is>
          <t>az elmúlt 30 napban</t>
        </is>
      </c>
      <c r="G1767" s="17" t="inlineStr">
        <is>
          <t>Más főkategória terméke</t>
        </is>
      </c>
    </row>
    <row r="1768">
      <c r="A1768" s="17" t="inlineStr">
        <is>
          <t>GRO4411/1</t>
        </is>
      </c>
      <c r="B1768" s="17" t="inlineStr">
        <is>
          <t>Jiffy-7 3070 tőzeg &amp; kókusz korong 38x39 mm 50 db</t>
        </is>
      </c>
      <c r="C1768" s="17" t="inlineStr">
        <is>
          <t>–</t>
        </is>
      </c>
      <c r="D1768" s="17" t="inlineStr"/>
      <c r="E1768" s="17" t="inlineStr">
        <is>
          <t>Nem tartozik ide</t>
        </is>
      </c>
      <c r="F1768" s="17" t="inlineStr">
        <is>
          <t>az elmúlt 6 hónapban</t>
        </is>
      </c>
      <c r="G1768" s="17" t="inlineStr">
        <is>
          <t>Más főkategória terméke</t>
        </is>
      </c>
    </row>
    <row r="1769">
      <c r="A1769" s="17" t="inlineStr">
        <is>
          <t>GRO4412</t>
        </is>
      </c>
      <c r="B1769" s="17" t="inlineStr">
        <is>
          <t>Jiffy-7 6040 tőzeg &amp; kókusz korong 42x43 mm (1000 db/doboz)</t>
        </is>
      </c>
      <c r="C1769" s="17" t="inlineStr">
        <is>
          <t>–</t>
        </is>
      </c>
      <c r="D1769" s="17" t="inlineStr"/>
      <c r="E1769" s="17" t="inlineStr">
        <is>
          <t>Nem tartozik ide</t>
        </is>
      </c>
      <c r="F1769" s="17" t="inlineStr">
        <is>
          <t>az elmúlt 30 napban</t>
        </is>
      </c>
      <c r="G1769" s="17" t="inlineStr">
        <is>
          <t>Más főkategória terméke</t>
        </is>
      </c>
    </row>
    <row r="1770">
      <c r="A1770" s="17" t="inlineStr">
        <is>
          <t>GRO4412/1</t>
        </is>
      </c>
      <c r="B1770" s="17" t="inlineStr">
        <is>
          <t>Jiffy-7 6040 tőzeg &amp; kókusz korong 42x43 mm 50 db</t>
        </is>
      </c>
      <c r="C1770" s="17" t="inlineStr">
        <is>
          <t>–</t>
        </is>
      </c>
      <c r="D1770" s="17" t="inlineStr"/>
      <c r="E1770" s="17" t="inlineStr">
        <is>
          <t>Nem tartozik ide</t>
        </is>
      </c>
      <c r="F1770" s="17" t="inlineStr">
        <is>
          <t>az elmúlt 6 hónapban</t>
        </is>
      </c>
      <c r="G1770" s="17" t="inlineStr">
        <is>
          <t>Más főkategória terméke</t>
        </is>
      </c>
    </row>
    <row r="1771">
      <c r="A1771" s="17" t="inlineStr">
        <is>
          <t>GRO4416</t>
        </is>
      </c>
      <c r="B1771" s="17" t="inlineStr">
        <is>
          <t>Garland préselt kókuszrost korong 20 db</t>
        </is>
      </c>
      <c r="C1771" s="17" t="inlineStr">
        <is>
          <t>–</t>
        </is>
      </c>
      <c r="D1771" s="17" t="inlineStr"/>
      <c r="E1771" s="17" t="inlineStr">
        <is>
          <t>Nem tartozik ide</t>
        </is>
      </c>
      <c r="F1771" s="17" t="inlineStr">
        <is>
          <t>az elmúlt 30 napban</t>
        </is>
      </c>
      <c r="G1771" s="17" t="inlineStr">
        <is>
          <t>Más főkategória terméke</t>
        </is>
      </c>
    </row>
    <row r="1772">
      <c r="A1772" s="17" t="inlineStr">
        <is>
          <t>GRO4417</t>
        </is>
      </c>
      <c r="B1772" s="17" t="inlineStr">
        <is>
          <t>Garland kókuszrost préselt korong 50 db</t>
        </is>
      </c>
      <c r="C1772" s="17" t="inlineStr">
        <is>
          <t>–</t>
        </is>
      </c>
      <c r="D1772" s="17" t="inlineStr"/>
      <c r="E1772" s="17" t="inlineStr">
        <is>
          <t>Nem tartozik ide</t>
        </is>
      </c>
      <c r="F1772" s="17" t="inlineStr">
        <is>
          <t>az elmúlt 30 napban</t>
        </is>
      </c>
      <c r="G1772" s="17" t="inlineStr">
        <is>
          <t>Más főkategória terméke</t>
        </is>
      </c>
    </row>
    <row r="1773">
      <c r="A1773" s="17" t="inlineStr">
        <is>
          <t>GRO4419</t>
        </is>
      </c>
      <c r="B1773" s="17" t="inlineStr">
        <is>
          <t>Sylvania ToLEDo GLS LED izzó E27 9,5 W</t>
        </is>
      </c>
      <c r="C1773" s="17" t="inlineStr">
        <is>
          <t>–</t>
        </is>
      </c>
      <c r="D1773" s="17" t="inlineStr"/>
      <c r="E1773" s="17" t="inlineStr">
        <is>
          <t>Nem tartozik ide</t>
        </is>
      </c>
      <c r="F1773" s="17" t="inlineStr">
        <is>
          <t>az elmúlt 30 napban</t>
        </is>
      </c>
      <c r="G1773" s="17" t="inlineStr">
        <is>
          <t>Más főkategória terméke</t>
        </is>
      </c>
    </row>
    <row r="1774">
      <c r="A1774" s="17" t="inlineStr">
        <is>
          <t>GRO4420</t>
        </is>
      </c>
      <c r="B1774" s="17" t="inlineStr">
        <is>
          <t>Sylvania ToLEDo GLS LED izzó E27 13 W</t>
        </is>
      </c>
      <c r="C1774" s="17" t="inlineStr">
        <is>
          <t>–</t>
        </is>
      </c>
      <c r="D1774" s="17" t="inlineStr"/>
      <c r="E1774" s="17" t="inlineStr">
        <is>
          <t>Nem tartozik ide</t>
        </is>
      </c>
      <c r="F1774" s="17" t="inlineStr">
        <is>
          <t>az elmúlt 6 hónapban</t>
        </is>
      </c>
      <c r="G1774" s="17" t="inlineStr">
        <is>
          <t>Más főkategória terméke</t>
        </is>
      </c>
    </row>
    <row r="1775">
      <c r="A1775" s="17" t="inlineStr">
        <is>
          <t>GRO4422</t>
        </is>
      </c>
      <c r="B1775" s="17" t="inlineStr">
        <is>
          <t>Sylvania ToLEDo GLS LED izzó E27 20 W</t>
        </is>
      </c>
      <c r="C1775" s="17" t="inlineStr">
        <is>
          <t>–</t>
        </is>
      </c>
      <c r="D1775" s="17" t="inlineStr"/>
      <c r="E1775" s="17" t="inlineStr">
        <is>
          <t>Nem tartozik ide</t>
        </is>
      </c>
      <c r="F1775" s="17" t="inlineStr">
        <is>
          <t>az elmúlt 30 napban</t>
        </is>
      </c>
      <c r="G1775" s="17" t="inlineStr">
        <is>
          <t>Más főkategória terméke</t>
        </is>
      </c>
    </row>
    <row r="1776">
      <c r="A1776" s="17" t="inlineStr">
        <is>
          <t>GRO4423</t>
        </is>
      </c>
      <c r="B1776" s="17" t="inlineStr">
        <is>
          <t>Sylvania START Waterproof Slim 600 LED IP66 18,5 W tápkábel nélkül</t>
        </is>
      </c>
      <c r="C1776" s="17" t="inlineStr">
        <is>
          <t>–</t>
        </is>
      </c>
      <c r="D1776" s="17" t="inlineStr"/>
      <c r="E1776" s="17" t="inlineStr">
        <is>
          <t>Nem tartozik ide</t>
        </is>
      </c>
      <c r="F1776" s="17" t="inlineStr">
        <is>
          <t>az elmúlt 30 napban</t>
        </is>
      </c>
      <c r="G1776" s="17" t="inlineStr">
        <is>
          <t>Más főkategória terméke</t>
        </is>
      </c>
    </row>
    <row r="1777">
      <c r="A1777" s="17" t="inlineStr">
        <is>
          <t>GRO4424</t>
        </is>
      </c>
      <c r="B1777" s="17" t="inlineStr">
        <is>
          <t>Sylvania START Waterproof Slim 1200 LED IP66 34,5 W tápkábel nélkül</t>
        </is>
      </c>
      <c r="C1777" s="17" t="inlineStr">
        <is>
          <t>–</t>
        </is>
      </c>
      <c r="D1777" s="17" t="inlineStr"/>
      <c r="E1777" s="17" t="inlineStr">
        <is>
          <t>Nem tartozik ide</t>
        </is>
      </c>
      <c r="F1777" s="17" t="inlineStr">
        <is>
          <t>az elmúlt 30 napban</t>
        </is>
      </c>
      <c r="G1777" s="17" t="inlineStr">
        <is>
          <t>Más főkategória terméke</t>
        </is>
      </c>
    </row>
    <row r="1778">
      <c r="A1778" s="17" t="inlineStr">
        <is>
          <t>GRO4425</t>
        </is>
      </c>
      <c r="B1778" s="17" t="inlineStr">
        <is>
          <t>Sylvania START Waterproof Slim 1500 LED IP66 52,5 W tápkábel nélkül</t>
        </is>
      </c>
      <c r="C1778" s="17" t="inlineStr">
        <is>
          <t>–</t>
        </is>
      </c>
      <c r="D1778" s="17" t="inlineStr"/>
      <c r="E1778" s="17" t="inlineStr">
        <is>
          <t>Nem tartozik ide</t>
        </is>
      </c>
      <c r="F1778" s="17" t="inlineStr">
        <is>
          <t>az elmúlt 30 napban</t>
        </is>
      </c>
      <c r="G1778" s="17" t="inlineStr">
        <is>
          <t>Más főkategória terméke</t>
        </is>
      </c>
    </row>
    <row r="1779">
      <c r="A1779" s="17" t="inlineStr">
        <is>
          <t>GRO4426</t>
        </is>
      </c>
      <c r="B1779" s="17" t="inlineStr">
        <is>
          <t>Sylvania START Eco Waterproof 600 LED IP65 16 W tápkábel nélkül</t>
        </is>
      </c>
      <c r="C1779" s="17" t="inlineStr">
        <is>
          <t>–</t>
        </is>
      </c>
      <c r="D1779" s="17" t="inlineStr"/>
      <c r="E1779" s="17" t="inlineStr">
        <is>
          <t>Nem tartozik ide</t>
        </is>
      </c>
      <c r="F1779" s="17" t="inlineStr">
        <is>
          <t>az elmúlt 30 napban</t>
        </is>
      </c>
      <c r="G1779" s="17" t="inlineStr">
        <is>
          <t>Más főkategória terméke</t>
        </is>
      </c>
    </row>
    <row r="1780">
      <c r="A1780" s="17" t="inlineStr">
        <is>
          <t>GRO4427</t>
        </is>
      </c>
      <c r="B1780" s="17" t="inlineStr">
        <is>
          <t>Sylvania START Eco Waterproof 1200 LED IP65 32 W tápkábel nélkül</t>
        </is>
      </c>
      <c r="C1780" s="17" t="inlineStr">
        <is>
          <t>–</t>
        </is>
      </c>
      <c r="D1780" s="17" t="inlineStr"/>
      <c r="E1780" s="17" t="inlineStr">
        <is>
          <t>Nem tartozik ide</t>
        </is>
      </c>
      <c r="F1780" s="17" t="inlineStr">
        <is>
          <t>az elmúlt 30 napban</t>
        </is>
      </c>
      <c r="G1780" s="17" t="inlineStr">
        <is>
          <t>Más főkategória terméke</t>
        </is>
      </c>
    </row>
    <row r="1781">
      <c r="A1781" s="17" t="inlineStr">
        <is>
          <t>GRO4428</t>
        </is>
      </c>
      <c r="B1781" s="17" t="inlineStr">
        <is>
          <t>Sylvania START Eco Waterproof 1500 LED IP65 40 W tápkábel nélkül</t>
        </is>
      </c>
      <c r="C1781" s="17" t="inlineStr">
        <is>
          <t>–</t>
        </is>
      </c>
      <c r="D1781" s="17" t="inlineStr"/>
      <c r="E1781" s="17" t="inlineStr">
        <is>
          <t>Nem tartozik ide</t>
        </is>
      </c>
      <c r="F1781" s="17" t="inlineStr">
        <is>
          <t>az elmúlt 30 napban</t>
        </is>
      </c>
      <c r="G1781" s="17" t="inlineStr">
        <is>
          <t>Más főkategória terméke</t>
        </is>
      </c>
    </row>
    <row r="1782">
      <c r="A1782" s="17" t="inlineStr">
        <is>
          <t>GRO4431</t>
        </is>
      </c>
      <c r="B1782" s="17" t="inlineStr">
        <is>
          <t>Mikrozöld mag azuki bab 200 g</t>
        </is>
      </c>
      <c r="C1782" s="17" t="inlineStr">
        <is>
          <t>–</t>
        </is>
      </c>
      <c r="D1782" s="17" t="inlineStr"/>
      <c r="E1782" s="17" t="inlineStr">
        <is>
          <t>Nem tartozik ide</t>
        </is>
      </c>
      <c r="F1782" s="17" t="inlineStr">
        <is>
          <t>az elmúlt 30 napban</t>
        </is>
      </c>
      <c r="G1782" s="17" t="inlineStr">
        <is>
          <t>Más főkategória terméke</t>
        </is>
      </c>
    </row>
    <row r="1783">
      <c r="A1783" s="17" t="inlineStr">
        <is>
          <t>GRO4432</t>
        </is>
      </c>
      <c r="B1783" s="17" t="inlineStr">
        <is>
          <t>Mikrozöld mag bíborhere 200 g</t>
        </is>
      </c>
      <c r="C1783" s="17" t="inlineStr">
        <is>
          <t>–</t>
        </is>
      </c>
      <c r="D1783" s="17" t="inlineStr"/>
      <c r="E1783" s="17" t="inlineStr">
        <is>
          <t>Nem tartozik ide</t>
        </is>
      </c>
      <c r="F1783" s="17" t="inlineStr">
        <is>
          <t>az elmúlt 30 napban</t>
        </is>
      </c>
      <c r="G1783" s="17" t="inlineStr">
        <is>
          <t>Más főkategória terméke</t>
        </is>
      </c>
    </row>
    <row r="1784">
      <c r="A1784" s="17" t="inlineStr">
        <is>
          <t>GRO4433</t>
        </is>
      </c>
      <c r="B1784" s="17" t="inlineStr">
        <is>
          <t>Mikrozöld mag brokkoli 200 g</t>
        </is>
      </c>
      <c r="C1784" s="17" t="inlineStr">
        <is>
          <t>–</t>
        </is>
      </c>
      <c r="D1784" s="17" t="inlineStr"/>
      <c r="E1784" s="17" t="inlineStr">
        <is>
          <t>Nem tartozik ide</t>
        </is>
      </c>
      <c r="F1784" s="17" t="inlineStr">
        <is>
          <t>az elmúlt 30 napban</t>
        </is>
      </c>
      <c r="G1784" s="17" t="inlineStr">
        <is>
          <t>Más főkategória terméke</t>
        </is>
      </c>
    </row>
    <row r="1785">
      <c r="A1785" s="17" t="inlineStr">
        <is>
          <t>GRO4434</t>
        </is>
      </c>
      <c r="B1785" s="17" t="inlineStr">
        <is>
          <t>Mikrozöld mag cékla 200 g</t>
        </is>
      </c>
      <c r="C1785" s="17" t="inlineStr">
        <is>
          <t>–</t>
        </is>
      </c>
      <c r="D1785" s="17" t="inlineStr"/>
      <c r="E1785" s="17" t="inlineStr">
        <is>
          <t>Nem tartozik ide</t>
        </is>
      </c>
      <c r="F1785" s="17" t="inlineStr">
        <is>
          <t>az elmúlt 30 napban</t>
        </is>
      </c>
      <c r="G1785" s="17" t="inlineStr">
        <is>
          <t>Más főkategória terméke</t>
        </is>
      </c>
    </row>
    <row r="1786">
      <c r="A1786" s="17" t="inlineStr">
        <is>
          <t>GRO4435</t>
        </is>
      </c>
      <c r="B1786" s="17" t="inlineStr">
        <is>
          <t>Csíráztató üvegedény szűrővel fehér</t>
        </is>
      </c>
      <c r="C1786" s="17" t="inlineStr">
        <is>
          <t>–</t>
        </is>
      </c>
      <c r="D1786" s="17" t="inlineStr"/>
      <c r="E1786" s="17" t="inlineStr">
        <is>
          <t>Nem tartozik ide</t>
        </is>
      </c>
      <c r="F1786" s="17" t="inlineStr">
        <is>
          <t>az elmúlt 30 napban</t>
        </is>
      </c>
      <c r="G1786" s="17" t="inlineStr">
        <is>
          <t>Más főkategória terméke</t>
        </is>
      </c>
    </row>
    <row r="1787">
      <c r="A1787" s="17" t="inlineStr">
        <is>
          <t>GRO4436</t>
        </is>
      </c>
      <c r="B1787" s="17" t="inlineStr">
        <is>
          <t>Csíráztató üvegedény szűrővel fekete</t>
        </is>
      </c>
      <c r="C1787" s="17" t="inlineStr">
        <is>
          <t>–</t>
        </is>
      </c>
      <c r="D1787" s="17" t="inlineStr"/>
      <c r="E1787" s="17" t="inlineStr">
        <is>
          <t>Nem tartozik ide</t>
        </is>
      </c>
      <c r="F1787" s="17" t="inlineStr">
        <is>
          <t>az elmúlt 30 napban</t>
        </is>
      </c>
      <c r="G1787" s="17" t="inlineStr">
        <is>
          <t>Más főkategória terméke</t>
        </is>
      </c>
    </row>
    <row r="1788">
      <c r="A1788" s="17" t="inlineStr">
        <is>
          <t>GRO4437</t>
        </is>
      </c>
      <c r="B1788" s="17" t="inlineStr">
        <is>
          <t>Csíráztató üvegedény szűrővel sárga</t>
        </is>
      </c>
      <c r="C1788" s="17" t="inlineStr">
        <is>
          <t>–</t>
        </is>
      </c>
      <c r="D1788" s="17" t="inlineStr"/>
      <c r="E1788" s="17" t="inlineStr">
        <is>
          <t>Nem tartozik ide</t>
        </is>
      </c>
      <c r="F1788" s="17" t="inlineStr">
        <is>
          <t>az elmúlt 30 napban</t>
        </is>
      </c>
      <c r="G1788" s="17" t="inlineStr">
        <is>
          <t>Más főkategória terméke</t>
        </is>
      </c>
    </row>
    <row r="1789">
      <c r="A1789" s="17" t="inlineStr">
        <is>
          <t>GRO4438</t>
        </is>
      </c>
      <c r="B1789" s="17" t="inlineStr">
        <is>
          <t>Mikrozöld csíráztató üvegedény szűrővel sötét zöld</t>
        </is>
      </c>
      <c r="C1789" s="17" t="inlineStr">
        <is>
          <t>–</t>
        </is>
      </c>
      <c r="D1789" s="17" t="inlineStr"/>
      <c r="E1789" s="17" t="inlineStr">
        <is>
          <t>Nem tartozik ide</t>
        </is>
      </c>
      <c r="F1789" s="17" t="inlineStr">
        <is>
          <t>az elmúlt 30 napban</t>
        </is>
      </c>
      <c r="G1789" s="17" t="inlineStr">
        <is>
          <t>Más főkategória terméke</t>
        </is>
      </c>
    </row>
    <row r="1790">
      <c r="A1790" s="17" t="inlineStr">
        <is>
          <t>GRO4439</t>
        </is>
      </c>
      <c r="B1790" s="17" t="inlineStr">
        <is>
          <t>Mikrozöld mag karalábé 200 g</t>
        </is>
      </c>
      <c r="C1790" s="17" t="inlineStr">
        <is>
          <t>–</t>
        </is>
      </c>
      <c r="D1790" s="17" t="inlineStr"/>
      <c r="E1790" s="17" t="inlineStr">
        <is>
          <t>Nem tartozik ide</t>
        </is>
      </c>
      <c r="F1790" s="17" t="inlineStr">
        <is>
          <t>az elmúlt 30 napban</t>
        </is>
      </c>
      <c r="G1790" s="17" t="inlineStr">
        <is>
          <t>Más főkategória terméke</t>
        </is>
      </c>
    </row>
    <row r="1791">
      <c r="A1791" s="17" t="inlineStr">
        <is>
          <t>GRO4440</t>
        </is>
      </c>
      <c r="B1791" s="17" t="inlineStr">
        <is>
          <t>Mikrozöld lucerna mag 200 g</t>
        </is>
      </c>
      <c r="C1791" s="17" t="inlineStr">
        <is>
          <t>–</t>
        </is>
      </c>
      <c r="D1791" s="17" t="inlineStr"/>
      <c r="E1791" s="17" t="inlineStr">
        <is>
          <t>Nem tartozik ide</t>
        </is>
      </c>
      <c r="F1791" s="17" t="inlineStr">
        <is>
          <t>az elmúlt 6 hónapban</t>
        </is>
      </c>
      <c r="G1791" s="17" t="inlineStr">
        <is>
          <t>Más főkategória terméke</t>
        </is>
      </c>
    </row>
    <row r="1792">
      <c r="A1792" s="17" t="inlineStr">
        <is>
          <t>GRO4441</t>
        </is>
      </c>
      <c r="B1792" s="17" t="inlineStr">
        <is>
          <t>Mikrozöld mag vörös mizuna 200 g</t>
        </is>
      </c>
      <c r="C1792" s="17" t="inlineStr">
        <is>
          <t>–</t>
        </is>
      </c>
      <c r="D1792" s="17" t="inlineStr"/>
      <c r="E1792" s="17" t="inlineStr">
        <is>
          <t>Nem tartozik ide</t>
        </is>
      </c>
      <c r="F1792" s="17" t="inlineStr">
        <is>
          <t>az elmúlt 30 napban</t>
        </is>
      </c>
      <c r="G1792" s="17" t="inlineStr">
        <is>
          <t>Más főkategória terméke</t>
        </is>
      </c>
    </row>
    <row r="1793">
      <c r="A1793" s="17" t="inlineStr">
        <is>
          <t>GRO4442</t>
        </is>
      </c>
      <c r="B1793" s="17" t="inlineStr">
        <is>
          <t>Mikrozöld mag mungóbab 200 g</t>
        </is>
      </c>
      <c r="C1793" s="17" t="inlineStr">
        <is>
          <t>–</t>
        </is>
      </c>
      <c r="D1793" s="17" t="inlineStr"/>
      <c r="E1793" s="17" t="inlineStr">
        <is>
          <t>Nem tartozik ide</t>
        </is>
      </c>
      <c r="F1793" s="17" t="inlineStr">
        <is>
          <t>az elmúlt 30 napban</t>
        </is>
      </c>
      <c r="G1793" s="17" t="inlineStr">
        <is>
          <t>Más főkategória terméke</t>
        </is>
      </c>
    </row>
    <row r="1794">
      <c r="A1794" s="17" t="inlineStr">
        <is>
          <t>GRO4443</t>
        </is>
      </c>
      <c r="B1794" s="17" t="inlineStr">
        <is>
          <t>Mikrozöld mag napraforgó 200 g</t>
        </is>
      </c>
      <c r="C1794" s="17" t="inlineStr">
        <is>
          <t>–</t>
        </is>
      </c>
      <c r="D1794" s="17" t="inlineStr"/>
      <c r="E1794" s="17" t="inlineStr">
        <is>
          <t>Nem tartozik ide</t>
        </is>
      </c>
      <c r="F1794" s="17" t="inlineStr">
        <is>
          <t>az elmúlt 30 napban</t>
        </is>
      </c>
      <c r="G1794" s="17" t="inlineStr">
        <is>
          <t>Más főkategória terméke</t>
        </is>
      </c>
    </row>
    <row r="1795">
      <c r="A1795" s="17" t="inlineStr">
        <is>
          <t>GRO4444</t>
        </is>
      </c>
      <c r="B1795" s="17" t="inlineStr">
        <is>
          <t>Mikrozöld mag petrezselyem 200 g</t>
        </is>
      </c>
      <c r="C1795" s="17" t="inlineStr">
        <is>
          <t>–</t>
        </is>
      </c>
      <c r="D1795" s="17" t="inlineStr"/>
      <c r="E1795" s="17" t="inlineStr">
        <is>
          <t>Nem tartozik ide</t>
        </is>
      </c>
      <c r="F1795" s="17" t="inlineStr">
        <is>
          <t>az elmúlt 30 napban</t>
        </is>
      </c>
      <c r="G1795" s="17" t="inlineStr">
        <is>
          <t>Más főkategória terméke</t>
        </is>
      </c>
    </row>
    <row r="1796">
      <c r="A1796" s="17" t="inlineStr">
        <is>
          <t>GRO4445</t>
        </is>
      </c>
      <c r="B1796" s="17" t="inlineStr">
        <is>
          <t>Mikrozöld mag repce 200 g</t>
        </is>
      </c>
      <c r="C1796" s="17" t="inlineStr">
        <is>
          <t>–</t>
        </is>
      </c>
      <c r="D1796" s="17" t="inlineStr"/>
      <c r="E1796" s="17" t="inlineStr">
        <is>
          <t>Nem tartozik ide</t>
        </is>
      </c>
      <c r="F1796" s="17" t="inlineStr">
        <is>
          <t>az elmúlt 30 napban</t>
        </is>
      </c>
      <c r="G1796" s="17" t="inlineStr">
        <is>
          <t>Más főkategória terméke</t>
        </is>
      </c>
    </row>
    <row r="1797">
      <c r="A1797" s="17" t="inlineStr">
        <is>
          <t>GRO4446</t>
        </is>
      </c>
      <c r="B1797" s="17" t="inlineStr">
        <is>
          <t>Mikrozöld mag retek 200 g</t>
        </is>
      </c>
      <c r="C1797" s="17" t="inlineStr">
        <is>
          <t>–</t>
        </is>
      </c>
      <c r="D1797" s="17" t="inlineStr"/>
      <c r="E1797" s="17" t="inlineStr">
        <is>
          <t>Nem tartozik ide</t>
        </is>
      </c>
      <c r="F1797" s="17" t="inlineStr">
        <is>
          <t>az elmúlt 30 napban</t>
        </is>
      </c>
      <c r="G1797" s="17" t="inlineStr">
        <is>
          <t>Más főkategória terméke</t>
        </is>
      </c>
    </row>
    <row r="1798">
      <c r="A1798" s="17" t="inlineStr">
        <is>
          <t>GRO4447</t>
        </is>
      </c>
      <c r="B1798" s="17" t="inlineStr">
        <is>
          <t>Mikrozöld mag fekete retek 200 g</t>
        </is>
      </c>
      <c r="C1798" s="17" t="inlineStr">
        <is>
          <t>–</t>
        </is>
      </c>
      <c r="D1798" s="17" t="inlineStr"/>
      <c r="E1798" s="17" t="inlineStr">
        <is>
          <t>Nem tartozik ide</t>
        </is>
      </c>
      <c r="F1798" s="17" t="inlineStr">
        <is>
          <t>az elmúlt 30 napban</t>
        </is>
      </c>
      <c r="G1798" s="17" t="inlineStr">
        <is>
          <t>Más főkategória terméke</t>
        </is>
      </c>
    </row>
    <row r="1799">
      <c r="A1799" s="17" t="inlineStr">
        <is>
          <t>GRO4448</t>
        </is>
      </c>
      <c r="B1799" s="17" t="inlineStr">
        <is>
          <t>Mikrozöld mag sango retek 200 g</t>
        </is>
      </c>
      <c r="C1799" s="17" t="inlineStr">
        <is>
          <t>–</t>
        </is>
      </c>
      <c r="D1799" s="17" t="inlineStr"/>
      <c r="E1799" s="17" t="inlineStr">
        <is>
          <t>Nem tartozik ide</t>
        </is>
      </c>
      <c r="F1799" s="17" t="inlineStr">
        <is>
          <t>az elmúlt 30 napban</t>
        </is>
      </c>
      <c r="G1799" s="17" t="inlineStr">
        <is>
          <t>Más főkategória terméke</t>
        </is>
      </c>
    </row>
    <row r="1800">
      <c r="A1800" s="17" t="inlineStr">
        <is>
          <t>GRO4449</t>
        </is>
      </c>
      <c r="B1800" s="17" t="inlineStr">
        <is>
          <t>Mikrozöld mag retek vörös korall 200 g</t>
        </is>
      </c>
      <c r="C1800" s="17" t="inlineStr">
        <is>
          <t>–</t>
        </is>
      </c>
      <c r="D1800" s="17" t="inlineStr"/>
      <c r="E1800" s="17" t="inlineStr">
        <is>
          <t>Nem tartozik ide</t>
        </is>
      </c>
      <c r="F1800" s="17" t="inlineStr">
        <is>
          <t>az elmúlt 30 napban</t>
        </is>
      </c>
      <c r="G1800" s="17" t="inlineStr">
        <is>
          <t>Más főkategória terméke</t>
        </is>
      </c>
    </row>
    <row r="1801">
      <c r="A1801" s="17" t="inlineStr">
        <is>
          <t>GRO4450</t>
        </is>
      </c>
      <c r="B1801" s="17" t="inlineStr">
        <is>
          <t>Mikrozöld mag rukkola 200 g</t>
        </is>
      </c>
      <c r="C1801" s="17" t="inlineStr">
        <is>
          <t>–</t>
        </is>
      </c>
      <c r="D1801" s="17" t="inlineStr"/>
      <c r="E1801" s="17" t="inlineStr">
        <is>
          <t>Nem tartozik ide</t>
        </is>
      </c>
      <c r="F1801" s="17" t="inlineStr">
        <is>
          <t>az elmúlt 30 napban</t>
        </is>
      </c>
      <c r="G1801" s="17" t="inlineStr">
        <is>
          <t>Más főkategória terméke</t>
        </is>
      </c>
    </row>
    <row r="1802">
      <c r="A1802" s="17" t="inlineStr">
        <is>
          <t>GRO4451</t>
        </is>
      </c>
      <c r="B1802" s="17" t="inlineStr">
        <is>
          <t>Mikrozöld mag vajrépa 200 g</t>
        </is>
      </c>
      <c r="C1802" s="17" t="inlineStr">
        <is>
          <t>–</t>
        </is>
      </c>
      <c r="D1802" s="17" t="inlineStr"/>
      <c r="E1802" s="17" t="inlineStr">
        <is>
          <t>Nem tartozik ide</t>
        </is>
      </c>
      <c r="F1802" s="17" t="inlineStr">
        <is>
          <t>az elmúlt 30 napban</t>
        </is>
      </c>
      <c r="G1802" s="17" t="inlineStr">
        <is>
          <t>Más főkategória terméke</t>
        </is>
      </c>
    </row>
    <row r="1803">
      <c r="A1803" s="17" t="inlineStr">
        <is>
          <t>GRO4452</t>
        </is>
      </c>
      <c r="B1803" s="17" t="inlineStr">
        <is>
          <t>Mikrozöld mag vöröshere 200 g</t>
        </is>
      </c>
      <c r="C1803" s="17" t="inlineStr">
        <is>
          <t>–</t>
        </is>
      </c>
      <c r="D1803" s="17" t="inlineStr"/>
      <c r="E1803" s="17" t="inlineStr">
        <is>
          <t>Nem tartozik ide</t>
        </is>
      </c>
      <c r="F1803" s="17" t="inlineStr">
        <is>
          <t>az elmúlt 30 napban</t>
        </is>
      </c>
      <c r="G1803" s="17" t="inlineStr">
        <is>
          <t>Más főkategória terméke</t>
        </is>
      </c>
    </row>
    <row r="1804">
      <c r="A1804" s="17" t="inlineStr">
        <is>
          <t>GRO4453</t>
        </is>
      </c>
      <c r="B1804" s="17" t="inlineStr">
        <is>
          <t>Mikrozöld mag vöröskáposzta 200 g</t>
        </is>
      </c>
      <c r="C1804" s="17" t="inlineStr">
        <is>
          <t>–</t>
        </is>
      </c>
      <c r="D1804" s="17" t="inlineStr"/>
      <c r="E1804" s="17" t="inlineStr">
        <is>
          <t>Nem tartozik ide</t>
        </is>
      </c>
      <c r="F1804" s="17" t="inlineStr">
        <is>
          <t>az elmúlt 30 napban</t>
        </is>
      </c>
      <c r="G1804" s="17" t="inlineStr">
        <is>
          <t>Más főkategória terméke</t>
        </is>
      </c>
    </row>
    <row r="1805">
      <c r="A1805" s="17" t="inlineStr">
        <is>
          <t>GRO4454</t>
        </is>
      </c>
      <c r="B1805" s="17" t="inlineStr">
        <is>
          <t>Mikrozöld mag vöröslencse 200 g</t>
        </is>
      </c>
      <c r="C1805" s="17" t="inlineStr">
        <is>
          <t>–</t>
        </is>
      </c>
      <c r="D1805" s="17" t="inlineStr"/>
      <c r="E1805" s="17" t="inlineStr">
        <is>
          <t>Nem tartozik ide</t>
        </is>
      </c>
      <c r="F1805" s="17" t="inlineStr">
        <is>
          <t>az elmúlt 30 napban</t>
        </is>
      </c>
      <c r="G1805" s="17" t="inlineStr">
        <is>
          <t>Más főkategória terméke</t>
        </is>
      </c>
    </row>
    <row r="1806">
      <c r="A1806" s="17" t="inlineStr">
        <is>
          <t>GRO4455</t>
        </is>
      </c>
      <c r="B1806" s="17" t="inlineStr">
        <is>
          <t>Mikrozöld mag zöld lencse 200 g</t>
        </is>
      </c>
      <c r="C1806" s="17" t="inlineStr">
        <is>
          <t>–</t>
        </is>
      </c>
      <c r="D1806" s="17" t="inlineStr"/>
      <c r="E1806" s="17" t="inlineStr">
        <is>
          <t>Nem tartozik ide</t>
        </is>
      </c>
      <c r="F1806" s="17" t="inlineStr">
        <is>
          <t>az elmúlt 6 hónapban</t>
        </is>
      </c>
      <c r="G1806" s="17" t="inlineStr">
        <is>
          <t>Más főkategória terméke</t>
        </is>
      </c>
    </row>
    <row r="1807">
      <c r="A1807" s="17" t="inlineStr">
        <is>
          <t>GRO4456</t>
        </is>
      </c>
      <c r="B1807" s="17" t="inlineStr">
        <is>
          <t>Mikrozöld mag zöldborsó 200 g</t>
        </is>
      </c>
      <c r="C1807" s="17" t="inlineStr">
        <is>
          <t>–</t>
        </is>
      </c>
      <c r="D1807" s="17" t="inlineStr"/>
      <c r="E1807" s="17" t="inlineStr">
        <is>
          <t>Nem tartozik ide</t>
        </is>
      </c>
      <c r="F1807" s="17" t="inlineStr">
        <is>
          <t>az elmúlt 6 hónapban</t>
        </is>
      </c>
      <c r="G1807" s="17" t="inlineStr">
        <is>
          <t>Más főkategória terméke</t>
        </is>
      </c>
    </row>
    <row r="1808">
      <c r="A1808" s="17" t="inlineStr">
        <is>
          <t>GRO4457</t>
        </is>
      </c>
      <c r="B1808" s="17" t="inlineStr">
        <is>
          <t>Mikrozöld mag zsázsa 200 g</t>
        </is>
      </c>
      <c r="C1808" s="17" t="inlineStr">
        <is>
          <t>–</t>
        </is>
      </c>
      <c r="D1808" s="17" t="inlineStr"/>
      <c r="E1808" s="17" t="inlineStr">
        <is>
          <t>Nem tartozik ide</t>
        </is>
      </c>
      <c r="F1808" s="17" t="inlineStr">
        <is>
          <t>az elmúlt 6 hónapban</t>
        </is>
      </c>
      <c r="G1808" s="17" t="inlineStr">
        <is>
          <t>Más főkategória terméke</t>
        </is>
      </c>
    </row>
    <row r="1809">
      <c r="A1809" s="17" t="inlineStr">
        <is>
          <t>GRO4460</t>
        </is>
      </c>
      <c r="B1809" s="17" t="inlineStr">
        <is>
          <t>Mikrozöld juta háló 60x60 cm</t>
        </is>
      </c>
      <c r="C1809" s="17" t="inlineStr">
        <is>
          <t>–</t>
        </is>
      </c>
      <c r="D1809" s="17" t="inlineStr"/>
      <c r="E1809" s="17" t="inlineStr">
        <is>
          <t>Nem tartozik ide</t>
        </is>
      </c>
      <c r="F1809" s="17" t="inlineStr">
        <is>
          <t>az elmúlt 30 napban</t>
        </is>
      </c>
      <c r="G1809" s="17" t="inlineStr">
        <is>
          <t>Más főkategória terméke</t>
        </is>
      </c>
    </row>
    <row r="1810">
      <c r="A1810" s="17" t="inlineStr">
        <is>
          <t>GRO4463/1</t>
        </is>
      </c>
      <c r="B1810" s="17" t="inlineStr">
        <is>
          <t>Mikrozöld kókuszrost szőnyeg 60x30 cm</t>
        </is>
      </c>
      <c r="C1810" s="17" t="inlineStr">
        <is>
          <t>–</t>
        </is>
      </c>
      <c r="D1810" s="17" t="inlineStr"/>
      <c r="E1810" s="17" t="inlineStr">
        <is>
          <t>Nem tartozik ide</t>
        </is>
      </c>
      <c r="F1810" s="17" t="inlineStr">
        <is>
          <t>az elmúlt 30 napban</t>
        </is>
      </c>
      <c r="G1810" s="17" t="inlineStr">
        <is>
          <t>Más főkategória terméke</t>
        </is>
      </c>
    </row>
    <row r="1811">
      <c r="A1811" s="17" t="inlineStr">
        <is>
          <t>GRO4464</t>
        </is>
      </c>
      <c r="B1811" s="17" t="inlineStr">
        <is>
          <t>Grodan Plantop Plug NG 2.0 tálcás kőzetgyapot 240 db</t>
        </is>
      </c>
      <c r="C1811" s="17" t="inlineStr">
        <is>
          <t>–</t>
        </is>
      </c>
      <c r="D1811" s="17" t="inlineStr"/>
      <c r="E1811" s="17" t="inlineStr">
        <is>
          <t>Nem tartozik ide</t>
        </is>
      </c>
      <c r="F1811" s="17" t="inlineStr">
        <is>
          <t>az elmúlt 30 napban</t>
        </is>
      </c>
      <c r="G1811" s="17" t="inlineStr">
        <is>
          <t>Más főkategória terméke</t>
        </is>
      </c>
    </row>
    <row r="1812">
      <c r="A1812" s="17" t="inlineStr">
        <is>
          <t>GRO4493</t>
        </is>
      </c>
      <c r="B1812" s="17" t="inlineStr">
        <is>
          <t>Urban Garden Propagátor fűtő lap digitális szabályzóval 25x53 cm 30 W</t>
        </is>
      </c>
      <c r="C1812" s="17" t="inlineStr">
        <is>
          <t>–</t>
        </is>
      </c>
      <c r="D1812" s="17" t="inlineStr"/>
      <c r="E1812" s="17" t="inlineStr">
        <is>
          <t>Nem tartozik ide</t>
        </is>
      </c>
      <c r="F1812" s="17" t="inlineStr">
        <is>
          <t>az elmúlt 30 napban</t>
        </is>
      </c>
      <c r="G1812" s="17" t="inlineStr">
        <is>
          <t>Más főkategória terméke</t>
        </is>
      </c>
    </row>
    <row r="1813">
      <c r="A1813" s="17" t="inlineStr">
        <is>
          <t>GRO4497</t>
        </is>
      </c>
      <c r="B1813" s="17" t="inlineStr">
        <is>
          <t>AC Infinity HYDRONE 5 növény páramentesítő 10 fokozat</t>
        </is>
      </c>
      <c r="C1813" s="17" t="inlineStr">
        <is>
          <t>–</t>
        </is>
      </c>
      <c r="D1813" s="17" t="inlineStr"/>
      <c r="E1813" s="17" t="inlineStr">
        <is>
          <t>Nem tartozik ide</t>
        </is>
      </c>
      <c r="F1813" s="17" t="inlineStr">
        <is>
          <t>az elmúlt 30 napban</t>
        </is>
      </c>
      <c r="G1813" s="17" t="inlineStr">
        <is>
          <t>Más főkategória terméke</t>
        </is>
      </c>
    </row>
    <row r="1814">
      <c r="A1814" s="17" t="inlineStr">
        <is>
          <t>GRO4501</t>
        </is>
      </c>
      <c r="B1814" s="17" t="inlineStr">
        <is>
          <t>Flexibilis alumínium légcsatorna cső AC Infinity 150 mm, 2,4 m, 2 bilinccsel</t>
        </is>
      </c>
      <c r="C1814" s="17" t="inlineStr">
        <is>
          <t>–</t>
        </is>
      </c>
      <c r="D1814" s="17" t="inlineStr"/>
      <c r="E1814" s="17" t="inlineStr">
        <is>
          <t>Nem tartozik ide</t>
        </is>
      </c>
      <c r="F1814" s="17" t="inlineStr">
        <is>
          <t>az elmúlt 30 napban</t>
        </is>
      </c>
      <c r="G1814" s="17" t="inlineStr">
        <is>
          <t>Más főkategória terméke</t>
        </is>
      </c>
    </row>
    <row r="1815">
      <c r="A1815" s="17" t="inlineStr">
        <is>
          <t>GRO4504</t>
        </is>
      </c>
      <c r="B1815" s="17" t="inlineStr">
        <is>
          <t>Mikrozöld szilikon háló 1mm</t>
        </is>
      </c>
      <c r="C1815" s="17" t="inlineStr">
        <is>
          <t>–</t>
        </is>
      </c>
      <c r="D1815" s="17" t="inlineStr"/>
      <c r="E1815" s="17" t="inlineStr">
        <is>
          <t>Nem tartozik ide</t>
        </is>
      </c>
      <c r="F1815" s="17" t="inlineStr">
        <is>
          <t>az elmúlt 30 napban</t>
        </is>
      </c>
      <c r="G1815" s="17" t="inlineStr">
        <is>
          <t>Más főkategória terméke</t>
        </is>
      </c>
    </row>
    <row r="1816">
      <c r="A1816" s="17" t="inlineStr">
        <is>
          <t>GRO4506</t>
        </is>
      </c>
      <c r="B1816" s="17" t="inlineStr">
        <is>
          <t>Milwaukee EC45 EC/TDS mérő</t>
        </is>
      </c>
      <c r="C1816" s="17" t="inlineStr">
        <is>
          <t>–</t>
        </is>
      </c>
      <c r="D1816" s="17" t="inlineStr"/>
      <c r="E1816" s="17" t="inlineStr">
        <is>
          <t>Nem tartozik ide</t>
        </is>
      </c>
      <c r="F1816" s="17" t="inlineStr">
        <is>
          <t>az elmúlt 30 napban</t>
        </is>
      </c>
      <c r="G1816" s="17" t="inlineStr">
        <is>
          <t>Más főkategória terméke</t>
        </is>
      </c>
    </row>
    <row r="1817">
      <c r="A1817" s="17" t="inlineStr">
        <is>
          <t>GRO4510</t>
        </is>
      </c>
      <c r="B1817" s="17" t="inlineStr">
        <is>
          <t>AC Infinity IONBEAM zöld LED dimmerrel és időzítővel 40,6 cm</t>
        </is>
      </c>
      <c r="C1817" s="17" t="inlineStr">
        <is>
          <t>–</t>
        </is>
      </c>
      <c r="D1817" s="17" t="inlineStr"/>
      <c r="E1817" s="17" t="inlineStr">
        <is>
          <t>Nem tartozik ide</t>
        </is>
      </c>
      <c r="F1817" s="17" t="inlineStr">
        <is>
          <t>az elmúlt 6 hónapban</t>
        </is>
      </c>
      <c r="G1817" s="17" t="inlineStr">
        <is>
          <t>Más főkategória terméke</t>
        </is>
      </c>
    </row>
    <row r="1818">
      <c r="A1818" s="17" t="inlineStr">
        <is>
          <t>GRO4512</t>
        </is>
      </c>
      <c r="B1818" s="17" t="inlineStr">
        <is>
          <t>Vezeték nélküli jeladó és vevő AC Infinity AC-WTA3 UIS eszközökhöz, 2 db</t>
        </is>
      </c>
      <c r="C1818" s="17" t="inlineStr">
        <is>
          <t>–</t>
        </is>
      </c>
      <c r="D1818" s="17" t="inlineStr"/>
      <c r="E1818" s="17" t="inlineStr">
        <is>
          <t>Nem tartozik ide</t>
        </is>
      </c>
      <c r="F1818" s="17" t="inlineStr">
        <is>
          <t>az elmúlt 30 napban</t>
        </is>
      </c>
      <c r="G1818" s="17" t="inlineStr">
        <is>
          <t>Más főkategória terméke</t>
        </is>
      </c>
    </row>
    <row r="1819">
      <c r="A1819" s="17" t="inlineStr">
        <is>
          <t>GRO4520</t>
        </is>
      </c>
      <c r="B1819" s="17" t="inlineStr">
        <is>
          <t>AC Infinity pH mérő szett</t>
        </is>
      </c>
      <c r="C1819" s="17" t="inlineStr">
        <is>
          <t>–</t>
        </is>
      </c>
      <c r="D1819" s="17" t="inlineStr"/>
      <c r="E1819" s="17" t="inlineStr">
        <is>
          <t>Nem tartozik ide</t>
        </is>
      </c>
      <c r="F1819" s="17" t="inlineStr">
        <is>
          <t>az elmúlt 6 hónapban</t>
        </is>
      </c>
      <c r="G1819" s="17" t="inlineStr">
        <is>
          <t>Más főkategória terméke</t>
        </is>
      </c>
    </row>
    <row r="1820">
      <c r="A1820" s="17" t="inlineStr">
        <is>
          <t>GRO4527</t>
        </is>
      </c>
      <c r="B1820" s="17" t="inlineStr">
        <is>
          <t>AC Infinity trimmelőgép tál manuális d: 48,3 cm</t>
        </is>
      </c>
      <c r="C1820" s="17" t="inlineStr">
        <is>
          <t>–</t>
        </is>
      </c>
      <c r="D1820" s="17" t="inlineStr"/>
      <c r="E1820" s="17" t="inlineStr">
        <is>
          <t>Nem tartozik ide</t>
        </is>
      </c>
      <c r="F1820" s="17" t="inlineStr">
        <is>
          <t>az elmúlt 6 hónapban</t>
        </is>
      </c>
      <c r="G1820" s="17" t="inlineStr">
        <is>
          <t>Más főkategória terméke</t>
        </is>
      </c>
    </row>
    <row r="1821">
      <c r="A1821" s="17" t="inlineStr">
        <is>
          <t>GRO4529</t>
        </is>
      </c>
      <c r="B1821" s="17" t="inlineStr">
        <is>
          <t>AC Infinity Aluflex négyrétegű flexibilis légcsatorna cső 200 mm, 7,6 m</t>
        </is>
      </c>
      <c r="C1821" s="17" t="inlineStr">
        <is>
          <t>–</t>
        </is>
      </c>
      <c r="D1821" s="17" t="inlineStr"/>
      <c r="E1821" s="17" t="inlineStr">
        <is>
          <t>Nem tartozik ide</t>
        </is>
      </c>
      <c r="F1821" s="17" t="inlineStr">
        <is>
          <t>az elmúlt 30 napban</t>
        </is>
      </c>
      <c r="G1821" s="17" t="inlineStr">
        <is>
          <t>Más főkategória terméke</t>
        </is>
      </c>
    </row>
    <row r="1822">
      <c r="A1822" s="17" t="inlineStr">
        <is>
          <t>GRO4535</t>
        </is>
      </c>
      <c r="B1822" s="17" t="inlineStr">
        <is>
          <t>SANlight LED lámpatest EVO 2C S1W 310W</t>
        </is>
      </c>
      <c r="C1822" s="17" t="inlineStr">
        <is>
          <t>–</t>
        </is>
      </c>
      <c r="D1822" s="17" t="inlineStr"/>
      <c r="E1822" s="17" t="inlineStr">
        <is>
          <t>Nem tartozik ide</t>
        </is>
      </c>
      <c r="F1822" s="17" t="inlineStr">
        <is>
          <t>az elmúlt 30 napban</t>
        </is>
      </c>
      <c r="G1822" s="17" t="inlineStr">
        <is>
          <t>Más főkategória terméke</t>
        </is>
      </c>
    </row>
    <row r="1823">
      <c r="A1823" s="17" t="inlineStr">
        <is>
          <t>GRO4536</t>
        </is>
      </c>
      <c r="B1823" s="17" t="inlineStr">
        <is>
          <t>SANlight LED lámpatest EVO 3C S1W 470W</t>
        </is>
      </c>
      <c r="C1823" s="17" t="inlineStr">
        <is>
          <t>–</t>
        </is>
      </c>
      <c r="D1823" s="17" t="inlineStr"/>
      <c r="E1823" s="17" t="inlineStr">
        <is>
          <t>Nem tartozik ide</t>
        </is>
      </c>
      <c r="F1823" s="17" t="inlineStr">
        <is>
          <t>az elmúlt 30 napban</t>
        </is>
      </c>
      <c r="G1823" s="17" t="inlineStr">
        <is>
          <t>Más főkategória terméke</t>
        </is>
      </c>
    </row>
    <row r="1824">
      <c r="A1824" s="17" t="inlineStr">
        <is>
          <t>GRO4537</t>
        </is>
      </c>
      <c r="B1824" s="17" t="inlineStr">
        <is>
          <t>SANlight LED lámpatest EVO 4C S1W 625W</t>
        </is>
      </c>
      <c r="C1824" s="17" t="inlineStr">
        <is>
          <t>–</t>
        </is>
      </c>
      <c r="D1824" s="17" t="inlineStr"/>
      <c r="E1824" s="17" t="inlineStr">
        <is>
          <t>Nem tartozik ide</t>
        </is>
      </c>
      <c r="F1824" s="17" t="inlineStr">
        <is>
          <t>az elmúlt 30 napban</t>
        </is>
      </c>
      <c r="G1824" s="17" t="inlineStr">
        <is>
          <t>Más főkategória terméke</t>
        </is>
      </c>
    </row>
    <row r="1825">
      <c r="A1825" s="17" t="inlineStr">
        <is>
          <t>GRO4540</t>
        </is>
      </c>
      <c r="B1825" s="17" t="inlineStr">
        <is>
          <t>Csomagolás palánta szállításhoz 38x50x18 mm</t>
        </is>
      </c>
      <c r="C1825" s="17" t="inlineStr">
        <is>
          <t>–</t>
        </is>
      </c>
      <c r="D1825" s="17" t="inlineStr"/>
      <c r="E1825" s="17" t="inlineStr">
        <is>
          <t>Nem tartozik ide</t>
        </is>
      </c>
      <c r="F1825" s="17" t="inlineStr">
        <is>
          <t>az elmúlt 30 napban</t>
        </is>
      </c>
      <c r="G1825" s="17" t="inlineStr">
        <is>
          <t>Más főkategória terméke</t>
        </is>
      </c>
    </row>
    <row r="1826">
      <c r="A1826" s="17" t="inlineStr">
        <is>
          <t>GRO4546</t>
        </is>
      </c>
      <c r="B1826" s="17" t="inlineStr">
        <is>
          <t>Milwaukee PH54 pH mérő</t>
        </is>
      </c>
      <c r="C1826" s="17" t="inlineStr">
        <is>
          <t>–</t>
        </is>
      </c>
      <c r="D1826" s="17" t="inlineStr"/>
      <c r="E1826" s="17" t="inlineStr">
        <is>
          <t>Nem tartozik ide</t>
        </is>
      </c>
      <c r="F1826" s="17" t="inlineStr">
        <is>
          <t>az elmúlt 30 napban</t>
        </is>
      </c>
      <c r="G1826" s="17" t="inlineStr">
        <is>
          <t>Más főkategória terméke</t>
        </is>
      </c>
    </row>
    <row r="1827">
      <c r="A1827" s="17" t="inlineStr">
        <is>
          <t>GRO4547</t>
        </is>
      </c>
      <c r="B1827" s="17" t="inlineStr">
        <is>
          <t>Milwaukee MA871 digitális refraktométer</t>
        </is>
      </c>
      <c r="C1827" s="17" t="inlineStr">
        <is>
          <t>–</t>
        </is>
      </c>
      <c r="D1827" s="17" t="inlineStr"/>
      <c r="E1827" s="17" t="inlineStr">
        <is>
          <t>Nem tartozik ide</t>
        </is>
      </c>
      <c r="F1827" s="17" t="inlineStr">
        <is>
          <t>az elmúlt 30 napban</t>
        </is>
      </c>
      <c r="G1827" s="17" t="inlineStr">
        <is>
          <t>Más főkategória terméke</t>
        </is>
      </c>
    </row>
    <row r="1828">
      <c r="A1828" s="17" t="inlineStr">
        <is>
          <t>GRO4548</t>
        </is>
      </c>
      <c r="B1828" s="17" t="inlineStr">
        <is>
          <t>Milwaukee TH300 digitális hőmérő</t>
        </is>
      </c>
      <c r="C1828" s="17" t="inlineStr">
        <is>
          <t>–</t>
        </is>
      </c>
      <c r="D1828" s="17" t="inlineStr"/>
      <c r="E1828" s="17" t="inlineStr">
        <is>
          <t>Nem tartozik ide</t>
        </is>
      </c>
      <c r="F1828" s="17" t="inlineStr">
        <is>
          <t>az elmúlt 30 napban</t>
        </is>
      </c>
      <c r="G1828" s="17" t="inlineStr">
        <is>
          <t>Más főkategória terméke</t>
        </is>
      </c>
    </row>
    <row r="1829">
      <c r="A1829" s="17" t="inlineStr">
        <is>
          <t>GRO4549</t>
        </is>
      </c>
      <c r="B1829" s="17" t="inlineStr">
        <is>
          <t>Milwaukee MW10 digitális szabadklór fotométer</t>
        </is>
      </c>
      <c r="C1829" s="17" t="inlineStr">
        <is>
          <t>–</t>
        </is>
      </c>
      <c r="D1829" s="17" t="inlineStr"/>
      <c r="E1829" s="17" t="inlineStr">
        <is>
          <t>Nem tartozik ide</t>
        </is>
      </c>
      <c r="F1829" s="17" t="inlineStr">
        <is>
          <t>az elmúlt 30 napban</t>
        </is>
      </c>
      <c r="G1829" s="17" t="inlineStr">
        <is>
          <t>Más főkategória terméke</t>
        </is>
      </c>
    </row>
    <row r="1830">
      <c r="A1830" s="17" t="inlineStr">
        <is>
          <t>GRO4550</t>
        </is>
      </c>
      <c r="B1830" s="17" t="inlineStr">
        <is>
          <t>Milwaukee MW102 FOOD PRO+ 2 az 1-ben pH- és hőmérsékletmérő élelmiszerekhez</t>
        </is>
      </c>
      <c r="C1830" s="17" t="inlineStr">
        <is>
          <t>–</t>
        </is>
      </c>
      <c r="D1830" s="17" t="inlineStr"/>
      <c r="E1830" s="17" t="inlineStr">
        <is>
          <t>Nem tartozik ide</t>
        </is>
      </c>
      <c r="F1830" s="17" t="inlineStr">
        <is>
          <t>az elmúlt 30 napban</t>
        </is>
      </c>
      <c r="G1830" s="17" t="inlineStr">
        <is>
          <t>Más főkategória terméke</t>
        </is>
      </c>
    </row>
    <row r="1831">
      <c r="A1831" s="17" t="inlineStr">
        <is>
          <t>GRO4551</t>
        </is>
      </c>
      <c r="B1831" s="17" t="inlineStr">
        <is>
          <t>Fekete-fehér fólia 70μm 2x100 m</t>
        </is>
      </c>
      <c r="C1831" s="17" t="inlineStr">
        <is>
          <t>–</t>
        </is>
      </c>
      <c r="D1831" s="17" t="inlineStr"/>
      <c r="E1831" s="17" t="inlineStr">
        <is>
          <t>Nem tartozik ide</t>
        </is>
      </c>
      <c r="F1831" s="17" t="inlineStr">
        <is>
          <t>az elmúlt 30 napban</t>
        </is>
      </c>
      <c r="G1831" s="17" t="inlineStr">
        <is>
          <t>Más főkategória terméke</t>
        </is>
      </c>
    </row>
    <row r="1832">
      <c r="A1832" s="17" t="inlineStr">
        <is>
          <t>GRO4552</t>
        </is>
      </c>
      <c r="B1832" s="17" t="inlineStr">
        <is>
          <t>Fekete-fehér fólia 70μm 2x10 m</t>
        </is>
      </c>
      <c r="C1832" s="17" t="inlineStr">
        <is>
          <t>–</t>
        </is>
      </c>
      <c r="D1832" s="17" t="inlineStr"/>
      <c r="E1832" s="17" t="inlineStr">
        <is>
          <t>Nem tartozik ide</t>
        </is>
      </c>
      <c r="F1832" s="17" t="inlineStr">
        <is>
          <t>az elmúlt 30 napban</t>
        </is>
      </c>
      <c r="G1832" s="17" t="inlineStr">
        <is>
          <t>Más főkategória terméke</t>
        </is>
      </c>
    </row>
    <row r="1833">
      <c r="A1833" s="17" t="inlineStr">
        <is>
          <t>GRO4553</t>
        </is>
      </c>
      <c r="B1833" s="17" t="inlineStr">
        <is>
          <t>Gyémánt mintás fólia 125μm 1,2x30 m</t>
        </is>
      </c>
      <c r="C1833" s="17" t="inlineStr">
        <is>
          <t>–</t>
        </is>
      </c>
      <c r="D1833" s="17" t="inlineStr"/>
      <c r="E1833" s="17" t="inlineStr">
        <is>
          <t>Nem tartozik ide</t>
        </is>
      </c>
      <c r="F1833" s="17" t="inlineStr">
        <is>
          <t>az elmúlt 30 napban</t>
        </is>
      </c>
      <c r="G1833" s="17" t="inlineStr">
        <is>
          <t>Más főkategória terméke</t>
        </is>
      </c>
    </row>
    <row r="1834">
      <c r="A1834" s="17" t="inlineStr">
        <is>
          <t>GRO4554</t>
        </is>
      </c>
      <c r="B1834" s="17" t="inlineStr">
        <is>
          <t>Gyémánt mintás fólia 125μm 1,2x100 m</t>
        </is>
      </c>
      <c r="C1834" s="17" t="inlineStr">
        <is>
          <t>–</t>
        </is>
      </c>
      <c r="D1834" s="17" t="inlineStr"/>
      <c r="E1834" s="17" t="inlineStr">
        <is>
          <t>Nem tartozik ide</t>
        </is>
      </c>
      <c r="F1834" s="17" t="inlineStr">
        <is>
          <t>az elmúlt 30 napban</t>
        </is>
      </c>
      <c r="G1834" s="17" t="inlineStr">
        <is>
          <t>Más főkategória terméke</t>
        </is>
      </c>
    </row>
    <row r="1835">
      <c r="A1835" s="17" t="inlineStr">
        <is>
          <t>GRO4555</t>
        </is>
      </c>
      <c r="B1835" s="17" t="inlineStr">
        <is>
          <t>Ezüst fólia 35μm 1,4x100 m</t>
        </is>
      </c>
      <c r="C1835" s="17" t="inlineStr">
        <is>
          <t>–</t>
        </is>
      </c>
      <c r="D1835" s="17" t="inlineStr"/>
      <c r="E1835" s="17" t="inlineStr">
        <is>
          <t>Nem tartozik ide</t>
        </is>
      </c>
      <c r="F1835" s="17" t="inlineStr">
        <is>
          <t>az elmúlt 30 napban</t>
        </is>
      </c>
      <c r="G1835" s="17" t="inlineStr">
        <is>
          <t>Más főkategória terméke</t>
        </is>
      </c>
    </row>
    <row r="1836">
      <c r="A1836" s="17" t="inlineStr">
        <is>
          <t>GRO4556</t>
        </is>
      </c>
      <c r="B1836" s="17" t="inlineStr">
        <is>
          <t>Ezüst fólia 35μm 1,4x10 m</t>
        </is>
      </c>
      <c r="C1836" s="17" t="inlineStr">
        <is>
          <t>–</t>
        </is>
      </c>
      <c r="D1836" s="17" t="inlineStr"/>
      <c r="E1836" s="17" t="inlineStr">
        <is>
          <t>Nem tartozik ide</t>
        </is>
      </c>
      <c r="F1836" s="17" t="inlineStr">
        <is>
          <t>az elmúlt 30 napban</t>
        </is>
      </c>
      <c r="G1836" s="17" t="inlineStr">
        <is>
          <t>Más főkategória terméke</t>
        </is>
      </c>
    </row>
    <row r="1837">
      <c r="A1837" s="17" t="inlineStr">
        <is>
          <t>GRO4557</t>
        </is>
      </c>
      <c r="B1837" s="17" t="inlineStr">
        <is>
          <t>Gumikesztyű vinyl M méret, kék - 100 db</t>
        </is>
      </c>
      <c r="C1837" s="17" t="inlineStr">
        <is>
          <t>–</t>
        </is>
      </c>
      <c r="D1837" s="17" t="inlineStr"/>
      <c r="E1837" s="17" t="inlineStr">
        <is>
          <t>Nem tartozik ide</t>
        </is>
      </c>
      <c r="F1837" s="17" t="inlineStr">
        <is>
          <t>az elmúlt 6 hónapban</t>
        </is>
      </c>
      <c r="G1837" s="17" t="inlineStr">
        <is>
          <t>Más főkategória terméke</t>
        </is>
      </c>
    </row>
    <row r="1838">
      <c r="A1838" s="17" t="inlineStr">
        <is>
          <t>GRO4558</t>
        </is>
      </c>
      <c r="B1838" s="17" t="inlineStr">
        <is>
          <t>Gumikesztyű vinyl L méret, kék - 100 db</t>
        </is>
      </c>
      <c r="C1838" s="17" t="inlineStr">
        <is>
          <t>–</t>
        </is>
      </c>
      <c r="D1838" s="17" t="inlineStr"/>
      <c r="E1838" s="17" t="inlineStr">
        <is>
          <t>Nem tartozik ide</t>
        </is>
      </c>
      <c r="F1838" s="17" t="inlineStr">
        <is>
          <t>az elmúlt 6 hónapban</t>
        </is>
      </c>
      <c r="G1838" s="17" t="inlineStr">
        <is>
          <t>Más főkategória terméke</t>
        </is>
      </c>
    </row>
    <row r="1839">
      <c r="A1839" s="17" t="inlineStr">
        <is>
          <t>GRO4559</t>
        </is>
      </c>
      <c r="B1839" s="17" t="inlineStr">
        <is>
          <t>Gumikesztyű vinyl XL méret, kék - 100 db</t>
        </is>
      </c>
      <c r="C1839" s="17" t="inlineStr">
        <is>
          <t>–</t>
        </is>
      </c>
      <c r="D1839" s="17" t="inlineStr"/>
      <c r="E1839" s="17" t="inlineStr">
        <is>
          <t>Nem tartozik ide</t>
        </is>
      </c>
      <c r="F1839" s="17" t="inlineStr">
        <is>
          <t>az elmúlt 30 napban</t>
        </is>
      </c>
      <c r="G1839" s="17" t="inlineStr">
        <is>
          <t>Más főkategória terméke</t>
        </is>
      </c>
    </row>
    <row r="1840">
      <c r="A1840" s="17" t="inlineStr">
        <is>
          <t>GRO4560</t>
        </is>
      </c>
      <c r="B1840" s="17" t="inlineStr">
        <is>
          <t>Gumikesztyű M méret, kék - 100 db</t>
        </is>
      </c>
      <c r="C1840" s="17" t="inlineStr">
        <is>
          <t>–</t>
        </is>
      </c>
      <c r="D1840" s="17" t="inlineStr"/>
      <c r="E1840" s="17" t="inlineStr">
        <is>
          <t>Nem tartozik ide</t>
        </is>
      </c>
      <c r="F1840" s="17" t="inlineStr">
        <is>
          <t>az elmúlt 6 hónapban</t>
        </is>
      </c>
      <c r="G1840" s="17" t="inlineStr">
        <is>
          <t>Más főkategória terméke</t>
        </is>
      </c>
    </row>
    <row r="1841">
      <c r="A1841" s="17" t="inlineStr">
        <is>
          <t>GRO4562</t>
        </is>
      </c>
      <c r="B1841" s="17" t="inlineStr">
        <is>
          <t>Gumikesztyű nitril XL méret, kék -100 db</t>
        </is>
      </c>
      <c r="C1841" s="17" t="inlineStr">
        <is>
          <t>–</t>
        </is>
      </c>
      <c r="D1841" s="17" t="inlineStr"/>
      <c r="E1841" s="17" t="inlineStr">
        <is>
          <t>Nem tartozik ide</t>
        </is>
      </c>
      <c r="F1841" s="17" t="inlineStr">
        <is>
          <t>az elmúlt 6 hónapban</t>
        </is>
      </c>
      <c r="G1841" s="17" t="inlineStr">
        <is>
          <t>Más főkategória terméke</t>
        </is>
      </c>
    </row>
    <row r="1842">
      <c r="A1842" s="17" t="inlineStr">
        <is>
          <t>GRO4563</t>
        </is>
      </c>
      <c r="B1842" s="17" t="inlineStr">
        <is>
          <t>Easy Grow scrog elasztikus növénytartó háló 60-120cm</t>
        </is>
      </c>
      <c r="C1842" s="17" t="inlineStr">
        <is>
          <t>–</t>
        </is>
      </c>
      <c r="D1842" s="17" t="inlineStr"/>
      <c r="E1842" s="17" t="inlineStr">
        <is>
          <t>Nem tartozik ide</t>
        </is>
      </c>
      <c r="F1842" s="17" t="inlineStr">
        <is>
          <t>az elmúlt 30 napban</t>
        </is>
      </c>
      <c r="G1842" s="17" t="inlineStr">
        <is>
          <t>Más főkategória terméke</t>
        </is>
      </c>
    </row>
    <row r="1843">
      <c r="A1843" s="17" t="inlineStr">
        <is>
          <t>GRO4565</t>
        </is>
      </c>
      <c r="B1843" s="17" t="inlineStr">
        <is>
          <t>Neu Bag Candy Gas terpénes aromatasak 5 g</t>
        </is>
      </c>
      <c r="C1843" s="17" t="inlineStr">
        <is>
          <t>–</t>
        </is>
      </c>
      <c r="D1843" s="17" t="inlineStr"/>
      <c r="E1843" s="17" t="inlineStr">
        <is>
          <t>Nem tartozik ide</t>
        </is>
      </c>
      <c r="F1843" s="17" t="inlineStr">
        <is>
          <t>az elmúlt 30 napban</t>
        </is>
      </c>
      <c r="G1843" s="17" t="inlineStr">
        <is>
          <t>Más főkategória terméke</t>
        </is>
      </c>
    </row>
    <row r="1844">
      <c r="A1844" s="17" t="inlineStr">
        <is>
          <t>GRO4566</t>
        </is>
      </c>
      <c r="B1844" s="17" t="inlineStr">
        <is>
          <t>Neu Bag Dessert terpénes aromatasak 5 g</t>
        </is>
      </c>
      <c r="C1844" s="17" t="inlineStr">
        <is>
          <t>–</t>
        </is>
      </c>
      <c r="D1844" s="17" t="inlineStr"/>
      <c r="E1844" s="17" t="inlineStr">
        <is>
          <t>Nem tartozik ide</t>
        </is>
      </c>
      <c r="F1844" s="17" t="inlineStr">
        <is>
          <t>az elmúlt 30 napban</t>
        </is>
      </c>
      <c r="G1844" s="17" t="inlineStr">
        <is>
          <t>Más főkategória terméke</t>
        </is>
      </c>
    </row>
    <row r="1845">
      <c r="A1845" s="17" t="inlineStr">
        <is>
          <t>GRO4567</t>
        </is>
      </c>
      <c r="B1845" s="17" t="inlineStr">
        <is>
          <t>Neu Bag Purple terpénes aromatasak 5 g</t>
        </is>
      </c>
      <c r="C1845" s="17" t="inlineStr">
        <is>
          <t>–</t>
        </is>
      </c>
      <c r="D1845" s="17" t="inlineStr"/>
      <c r="E1845" s="17" t="inlineStr">
        <is>
          <t>Nem tartozik ide</t>
        </is>
      </c>
      <c r="F1845" s="17" t="inlineStr">
        <is>
          <t>az elmúlt 30 napban</t>
        </is>
      </c>
      <c r="G1845" s="17" t="inlineStr">
        <is>
          <t>Más főkategória terméke</t>
        </is>
      </c>
    </row>
    <row r="1846">
      <c r="A1846" s="17" t="inlineStr">
        <is>
          <t>GRO4568</t>
        </is>
      </c>
      <c r="B1846" s="17" t="inlineStr">
        <is>
          <t>Neu Bag Sour terpénes aromatasak 5 g</t>
        </is>
      </c>
      <c r="C1846" s="17" t="inlineStr">
        <is>
          <t>–</t>
        </is>
      </c>
      <c r="D1846" s="17" t="inlineStr"/>
      <c r="E1846" s="17" t="inlineStr">
        <is>
          <t>Nem tartozik ide</t>
        </is>
      </c>
      <c r="F1846" s="17" t="inlineStr">
        <is>
          <t>az elmúlt 30 napban</t>
        </is>
      </c>
      <c r="G1846" s="17" t="inlineStr">
        <is>
          <t>Más főkategória terméke</t>
        </is>
      </c>
    </row>
    <row r="1847">
      <c r="A1847" s="17" t="inlineStr">
        <is>
          <t>GRO4569</t>
        </is>
      </c>
      <c r="B1847" s="17" t="inlineStr">
        <is>
          <t>Szárító háló normál 4 szintes d: 30 cm H: 40 cm</t>
        </is>
      </c>
      <c r="C1847" s="17" t="inlineStr">
        <is>
          <t>–</t>
        </is>
      </c>
      <c r="D1847" s="17" t="inlineStr"/>
      <c r="E1847" s="17" t="inlineStr">
        <is>
          <t>Nem tartozik ide</t>
        </is>
      </c>
      <c r="F1847" s="17" t="inlineStr">
        <is>
          <t>az elmúlt 30 napban</t>
        </is>
      </c>
      <c r="G1847" s="17" t="inlineStr">
        <is>
          <t>Más főkategória terméke</t>
        </is>
      </c>
    </row>
    <row r="1848">
      <c r="A1848" s="17" t="inlineStr">
        <is>
          <t>GRO4570</t>
        </is>
      </c>
      <c r="B1848" s="17" t="inlineStr">
        <is>
          <t>Szárító háló XL 5 szintes d: 60 cm H: 60 cm</t>
        </is>
      </c>
      <c r="C1848" s="17" t="inlineStr">
        <is>
          <t>–</t>
        </is>
      </c>
      <c r="D1848" s="17" t="inlineStr"/>
      <c r="E1848" s="17" t="inlineStr">
        <is>
          <t>Nem tartozik ide</t>
        </is>
      </c>
      <c r="F1848" s="17" t="inlineStr">
        <is>
          <t>az elmúlt 6 hónapban</t>
        </is>
      </c>
      <c r="G1848" s="17" t="inlineStr">
        <is>
          <t>Más főkategória terméke</t>
        </is>
      </c>
    </row>
    <row r="1849">
      <c r="A1849" s="17" t="inlineStr">
        <is>
          <t>GRO4571</t>
        </is>
      </c>
      <c r="B1849" s="17" t="inlineStr">
        <is>
          <t>Szárító háló szűrő normál 120 mm x 120 mm x 25 mm</t>
        </is>
      </c>
      <c r="C1849" s="17" t="inlineStr">
        <is>
          <t>–</t>
        </is>
      </c>
      <c r="D1849" s="17" t="inlineStr"/>
      <c r="E1849" s="17" t="inlineStr">
        <is>
          <t>Nem tartozik ide</t>
        </is>
      </c>
      <c r="F1849" s="17" t="inlineStr">
        <is>
          <t>az elmúlt 6 hónapban</t>
        </is>
      </c>
      <c r="G1849" s="17" t="inlineStr">
        <is>
          <t>Más főkategória terméke</t>
        </is>
      </c>
    </row>
    <row r="1850">
      <c r="A1850" s="17" t="inlineStr">
        <is>
          <t>GRO4572</t>
        </is>
      </c>
      <c r="B1850" s="17" t="inlineStr">
        <is>
          <t>Szárító háló szűrő XL 120 mm x 120 mm x 50 mm</t>
        </is>
      </c>
      <c r="C1850" s="17" t="inlineStr">
        <is>
          <t>–</t>
        </is>
      </c>
      <c r="D1850" s="17" t="inlineStr"/>
      <c r="E1850" s="17" t="inlineStr">
        <is>
          <t>Nem tartozik ide</t>
        </is>
      </c>
      <c r="F1850" s="17" t="inlineStr">
        <is>
          <t>az elmúlt 30 napban</t>
        </is>
      </c>
      <c r="G1850" s="17" t="inlineStr">
        <is>
          <t>Más főkategória terméke</t>
        </is>
      </c>
    </row>
    <row r="1851">
      <c r="A1851" s="17" t="inlineStr">
        <is>
          <t>GRO4573</t>
        </is>
      </c>
      <c r="B1851" s="17" t="inlineStr">
        <is>
          <t>Aqua Master E300 pro2 talaj EC mérő</t>
        </is>
      </c>
      <c r="C1851" s="17" t="inlineStr">
        <is>
          <t>–</t>
        </is>
      </c>
      <c r="D1851" s="17" t="inlineStr"/>
      <c r="E1851" s="17" t="inlineStr">
        <is>
          <t>Nem tartozik ide</t>
        </is>
      </c>
      <c r="F1851" s="17" t="inlineStr">
        <is>
          <t>az elmúlt 30 napban</t>
        </is>
      </c>
      <c r="G1851" s="17" t="inlineStr">
        <is>
          <t>Más főkategória terméke</t>
        </is>
      </c>
    </row>
    <row r="1852">
      <c r="A1852" s="17" t="inlineStr">
        <is>
          <t>GRO4575</t>
        </is>
      </c>
      <c r="B1852" s="17" t="inlineStr">
        <is>
          <t>Neptune Hydroponics Dark Fogger párásító</t>
        </is>
      </c>
      <c r="C1852" s="17" t="inlineStr">
        <is>
          <t>–</t>
        </is>
      </c>
      <c r="D1852" s="17" t="inlineStr"/>
      <c r="E1852" s="17" t="inlineStr">
        <is>
          <t>Nem tartozik ide</t>
        </is>
      </c>
      <c r="F1852" s="17" t="inlineStr">
        <is>
          <t>az elmúlt 30 napban</t>
        </is>
      </c>
      <c r="G1852" s="17" t="inlineStr">
        <is>
          <t>Más főkategória terméke</t>
        </is>
      </c>
    </row>
    <row r="1853">
      <c r="A1853" s="17" t="inlineStr">
        <is>
          <t>GRO4576</t>
        </is>
      </c>
      <c r="B1853" s="17" t="inlineStr">
        <is>
          <t>Neptune Hydroponics elektromos porlasztófej Spray GO 16L permetezőhöz, 80 W</t>
        </is>
      </c>
      <c r="C1853" s="17" t="inlineStr">
        <is>
          <t>–</t>
        </is>
      </c>
      <c r="D1853" s="17" t="inlineStr"/>
      <c r="E1853" s="17" t="inlineStr">
        <is>
          <t>Nem tartozik ide</t>
        </is>
      </c>
      <c r="F1853" s="17" t="inlineStr">
        <is>
          <t>az elmúlt 30 napban</t>
        </is>
      </c>
      <c r="G1853" s="17" t="inlineStr">
        <is>
          <t>Más főkategória terméke</t>
        </is>
      </c>
    </row>
    <row r="1854">
      <c r="A1854" s="17" t="inlineStr">
        <is>
          <t>GRO4577</t>
        </is>
      </c>
      <c r="B1854" s="17" t="inlineStr">
        <is>
          <t>Probox MushPro S Gombatermesztő sátor GHP 45x30x20cm</t>
        </is>
      </c>
      <c r="C1854" s="17" t="inlineStr">
        <is>
          <t>–</t>
        </is>
      </c>
      <c r="D1854" s="17" t="inlineStr"/>
      <c r="E1854" s="17" t="inlineStr">
        <is>
          <t>Nem tartozik ide</t>
        </is>
      </c>
      <c r="F1854" s="17" t="inlineStr">
        <is>
          <t>az elmúlt 30 napban</t>
        </is>
      </c>
      <c r="G1854" s="17" t="inlineStr">
        <is>
          <t>Más főkategória terméke</t>
        </is>
      </c>
    </row>
    <row r="1855">
      <c r="A1855" s="17" t="inlineStr">
        <is>
          <t>GRO4579</t>
        </is>
      </c>
      <c r="B1855" s="17" t="inlineStr">
        <is>
          <t>Agrolite LED AgroBell 200 W 2.6</t>
        </is>
      </c>
      <c r="C1855" s="17" t="inlineStr">
        <is>
          <t>–</t>
        </is>
      </c>
      <c r="D1855" s="17" t="inlineStr"/>
      <c r="E1855" s="17" t="inlineStr">
        <is>
          <t>Nem tartozik ide</t>
        </is>
      </c>
      <c r="F1855" s="17" t="inlineStr">
        <is>
          <t>az elmúlt 30 napban</t>
        </is>
      </c>
      <c r="G1855" s="17" t="inlineStr">
        <is>
          <t>Más főkategória terméke</t>
        </is>
      </c>
    </row>
    <row r="1856">
      <c r="A1856" s="17" t="inlineStr">
        <is>
          <t>GRO4583</t>
        </is>
      </c>
      <c r="B1856" s="17" t="inlineStr">
        <is>
          <t>AC Infinity Advanced sátor szett PRO 4 növényes, 120x120x200 cm</t>
        </is>
      </c>
      <c r="C1856" s="17" t="inlineStr">
        <is>
          <t>–</t>
        </is>
      </c>
      <c r="D1856" s="17" t="inlineStr"/>
      <c r="E1856" s="17" t="inlineStr">
        <is>
          <t>Nem tartozik ide</t>
        </is>
      </c>
      <c r="F1856" s="17" t="inlineStr">
        <is>
          <t>az elmúlt 30 napban</t>
        </is>
      </c>
      <c r="G1856" s="17" t="inlineStr">
        <is>
          <t>Más főkategória terméke</t>
        </is>
      </c>
    </row>
    <row r="1857">
      <c r="A1857" s="17" t="inlineStr">
        <is>
          <t>GRO4585</t>
        </is>
      </c>
      <c r="B1857" s="17" t="inlineStr">
        <is>
          <t>Sansi LED E27 36W</t>
        </is>
      </c>
      <c r="C1857" s="17" t="inlineStr">
        <is>
          <t>–</t>
        </is>
      </c>
      <c r="D1857" s="17" t="inlineStr"/>
      <c r="E1857" s="17" t="inlineStr">
        <is>
          <t>Nem tartozik ide</t>
        </is>
      </c>
      <c r="F1857" s="17" t="inlineStr">
        <is>
          <t>az elmúlt 30 napban</t>
        </is>
      </c>
      <c r="G1857" s="17" t="inlineStr">
        <is>
          <t>Más főkategória terméke</t>
        </is>
      </c>
    </row>
    <row r="1858">
      <c r="A1858" s="17" t="inlineStr">
        <is>
          <t>GRO4586</t>
        </is>
      </c>
      <c r="B1858" s="17" t="inlineStr">
        <is>
          <t>Sansi LED E27 24W</t>
        </is>
      </c>
      <c r="C1858" s="17" t="inlineStr">
        <is>
          <t>–</t>
        </is>
      </c>
      <c r="D1858" s="17" t="inlineStr"/>
      <c r="E1858" s="17" t="inlineStr">
        <is>
          <t>Nem tartozik ide</t>
        </is>
      </c>
      <c r="F1858" s="17" t="inlineStr">
        <is>
          <t>az elmúlt 30 napban</t>
        </is>
      </c>
      <c r="G1858" s="17" t="inlineStr">
        <is>
          <t>Más főkategória terméke</t>
        </is>
      </c>
    </row>
    <row r="1859">
      <c r="A1859" s="17" t="inlineStr">
        <is>
          <t>GRO4587</t>
        </is>
      </c>
      <c r="B1859" s="17" t="inlineStr">
        <is>
          <t>Sansi LED E27 10W</t>
        </is>
      </c>
      <c r="C1859" s="17" t="inlineStr">
        <is>
          <t>–</t>
        </is>
      </c>
      <c r="D1859" s="17" t="inlineStr"/>
      <c r="E1859" s="17" t="inlineStr">
        <is>
          <t>Nem tartozik ide</t>
        </is>
      </c>
      <c r="F1859" s="17" t="inlineStr">
        <is>
          <t>az elmúlt 30 napban</t>
        </is>
      </c>
      <c r="G1859" s="17" t="inlineStr">
        <is>
          <t>Más főkategória terméke</t>
        </is>
      </c>
    </row>
    <row r="1860">
      <c r="A1860" s="17" t="inlineStr">
        <is>
          <t>GRO4588</t>
        </is>
      </c>
      <c r="B1860" s="17" t="inlineStr">
        <is>
          <t>Sansi LED növénynevelő izzó E27 15W teljes spektrumú</t>
        </is>
      </c>
      <c r="C1860" s="17" t="inlineStr">
        <is>
          <t>–</t>
        </is>
      </c>
      <c r="D1860" s="17" t="inlineStr"/>
      <c r="E1860" s="17" t="inlineStr">
        <is>
          <t>Nem tartozik ide</t>
        </is>
      </c>
      <c r="F1860" s="17" t="inlineStr">
        <is>
          <t>az elmúlt 6 hónapban</t>
        </is>
      </c>
      <c r="G1860" s="17" t="inlineStr">
        <is>
          <t>Más főkategória terméke</t>
        </is>
      </c>
    </row>
    <row r="1861">
      <c r="A1861" s="17" t="inlineStr">
        <is>
          <t>GRO4589</t>
        </is>
      </c>
      <c r="B1861" s="17" t="inlineStr">
        <is>
          <t>Sansi LED E27 állítható 2x30W</t>
        </is>
      </c>
      <c r="C1861" s="17" t="inlineStr">
        <is>
          <t>–</t>
        </is>
      </c>
      <c r="D1861" s="17" t="inlineStr"/>
      <c r="E1861" s="17" t="inlineStr">
        <is>
          <t>Nem tartozik ide</t>
        </is>
      </c>
      <c r="F1861" s="17" t="inlineStr">
        <is>
          <t>az elmúlt 30 napban</t>
        </is>
      </c>
      <c r="G1861" s="17" t="inlineStr">
        <is>
          <t>Más főkategória terméke</t>
        </is>
      </c>
    </row>
    <row r="1862">
      <c r="A1862" s="17" t="inlineStr">
        <is>
          <t>GRO4590</t>
        </is>
      </c>
      <c r="B1862" s="17" t="inlineStr">
        <is>
          <t>Sansi LED E27 csíptethető 2x10W</t>
        </is>
      </c>
      <c r="C1862" s="17" t="inlineStr">
        <is>
          <t>–</t>
        </is>
      </c>
      <c r="D1862" s="17" t="inlineStr"/>
      <c r="E1862" s="17" t="inlineStr">
        <is>
          <t>Nem tartozik ide</t>
        </is>
      </c>
      <c r="F1862" s="17" t="inlineStr">
        <is>
          <t>az elmúlt 30 napban</t>
        </is>
      </c>
      <c r="G1862" s="17" t="inlineStr">
        <is>
          <t>Más főkategória terméke</t>
        </is>
      </c>
    </row>
    <row r="1863">
      <c r="A1863" s="17" t="inlineStr">
        <is>
          <t>GRO4591</t>
        </is>
      </c>
      <c r="B1863" s="17" t="inlineStr">
        <is>
          <t>Sansi LED E27 csíptethető 3x10W</t>
        </is>
      </c>
      <c r="C1863" s="17" t="inlineStr">
        <is>
          <t>–</t>
        </is>
      </c>
      <c r="D1863" s="17" t="inlineStr"/>
      <c r="E1863" s="17" t="inlineStr">
        <is>
          <t>Nem tartozik ide</t>
        </is>
      </c>
      <c r="F1863" s="17" t="inlineStr">
        <is>
          <t>az elmúlt 30 napban</t>
        </is>
      </c>
      <c r="G1863" s="17" t="inlineStr">
        <is>
          <t>Más főkategória terméke</t>
        </is>
      </c>
    </row>
    <row r="1864">
      <c r="A1864" s="17" t="inlineStr">
        <is>
          <t>GRO4592</t>
        </is>
      </c>
      <c r="B1864" s="17" t="inlineStr">
        <is>
          <t>Sansi LED E27 csíptethető 4x10W</t>
        </is>
      </c>
      <c r="C1864" s="17" t="inlineStr">
        <is>
          <t>–</t>
        </is>
      </c>
      <c r="D1864" s="17" t="inlineStr"/>
      <c r="E1864" s="17" t="inlineStr">
        <is>
          <t>Nem tartozik ide</t>
        </is>
      </c>
      <c r="F1864" s="17" t="inlineStr">
        <is>
          <t>az elmúlt 30 napban</t>
        </is>
      </c>
      <c r="G1864" s="17" t="inlineStr">
        <is>
          <t>Más főkategória terméke</t>
        </is>
      </c>
    </row>
    <row r="1865">
      <c r="A1865" s="17" t="inlineStr">
        <is>
          <t>GRO4593</t>
        </is>
      </c>
      <c r="B1865" s="17" t="inlineStr">
        <is>
          <t>Sansi LED E27 álló 3x30W</t>
        </is>
      </c>
      <c r="C1865" s="17" t="inlineStr">
        <is>
          <t>–</t>
        </is>
      </c>
      <c r="D1865" s="17" t="inlineStr"/>
      <c r="E1865" s="17" t="inlineStr">
        <is>
          <t>Nem tartozik ide</t>
        </is>
      </c>
      <c r="F1865" s="17" t="inlineStr">
        <is>
          <t>az elmúlt 30 napban</t>
        </is>
      </c>
      <c r="G1865" s="17" t="inlineStr">
        <is>
          <t>Más főkategória terméke</t>
        </is>
      </c>
    </row>
    <row r="1866">
      <c r="A1866" s="17" t="inlineStr">
        <is>
          <t>GRO4594</t>
        </is>
      </c>
      <c r="B1866" s="17" t="inlineStr">
        <is>
          <t>Sansi LED E27 álló 4x30W</t>
        </is>
      </c>
      <c r="C1866" s="17" t="inlineStr">
        <is>
          <t>–</t>
        </is>
      </c>
      <c r="D1866" s="17" t="inlineStr"/>
      <c r="E1866" s="17" t="inlineStr">
        <is>
          <t>Nem tartozik ide</t>
        </is>
      </c>
      <c r="F1866" s="17" t="inlineStr">
        <is>
          <t>az elmúlt 30 napban</t>
        </is>
      </c>
      <c r="G1866" s="17" t="inlineStr">
        <is>
          <t>Más főkategória terméke</t>
        </is>
      </c>
    </row>
    <row r="1867">
      <c r="A1867" s="17" t="inlineStr">
        <is>
          <t>GRO4595</t>
        </is>
      </c>
      <c r="B1867" s="17" t="inlineStr">
        <is>
          <t>Sansi LED E27 távirányítóval 40W</t>
        </is>
      </c>
      <c r="C1867" s="17" t="inlineStr">
        <is>
          <t>–</t>
        </is>
      </c>
      <c r="D1867" s="17" t="inlineStr"/>
      <c r="E1867" s="17" t="inlineStr">
        <is>
          <t>Nem tartozik ide</t>
        </is>
      </c>
      <c r="F1867" s="17" t="inlineStr">
        <is>
          <t>az elmúlt 30 napban</t>
        </is>
      </c>
      <c r="G1867" s="17" t="inlineStr">
        <is>
          <t>Más főkategória terméke</t>
        </is>
      </c>
    </row>
    <row r="1868">
      <c r="A1868" s="17" t="inlineStr">
        <is>
          <t>GRO4596</t>
        </is>
      </c>
      <c r="B1868" s="17" t="inlineStr">
        <is>
          <t>Sansi LED szett E27 izzó és állvány 40W</t>
        </is>
      </c>
      <c r="C1868" s="17" t="inlineStr">
        <is>
          <t>–</t>
        </is>
      </c>
      <c r="D1868" s="17" t="inlineStr"/>
      <c r="E1868" s="17" t="inlineStr">
        <is>
          <t>Nem tartozik ide</t>
        </is>
      </c>
      <c r="F1868" s="17" t="inlineStr">
        <is>
          <t>az elmúlt 30 napban</t>
        </is>
      </c>
      <c r="G1868" s="17" t="inlineStr">
        <is>
          <t>Más főkategória terméke</t>
        </is>
      </c>
    </row>
    <row r="1869">
      <c r="A1869" s="17" t="inlineStr">
        <is>
          <t>GRO4597</t>
        </is>
      </c>
      <c r="B1869" s="17" t="inlineStr">
        <is>
          <t>Sansi LED cső 60 cm 15W foglalat és tápkábel nélkül</t>
        </is>
      </c>
      <c r="C1869" s="17" t="inlineStr">
        <is>
          <t>–</t>
        </is>
      </c>
      <c r="D1869" s="17" t="inlineStr"/>
      <c r="E1869" s="17" t="inlineStr">
        <is>
          <t>Nem tartozik ide</t>
        </is>
      </c>
      <c r="F1869" s="17" t="inlineStr">
        <is>
          <t>az elmúlt 30 napban</t>
        </is>
      </c>
      <c r="G1869" s="17" t="inlineStr">
        <is>
          <t>Más főkategória terméke</t>
        </is>
      </c>
    </row>
    <row r="1870">
      <c r="A1870" s="17" t="inlineStr">
        <is>
          <t>GRO4598</t>
        </is>
      </c>
      <c r="B1870" s="17" t="inlineStr">
        <is>
          <t>Sansi LED cső 90 cm 20W foglalat és tápkábel nélkül</t>
        </is>
      </c>
      <c r="C1870" s="17" t="inlineStr">
        <is>
          <t>–</t>
        </is>
      </c>
      <c r="D1870" s="17" t="inlineStr"/>
      <c r="E1870" s="17" t="inlineStr">
        <is>
          <t>Nem tartozik ide</t>
        </is>
      </c>
      <c r="F1870" s="17" t="inlineStr">
        <is>
          <t>az elmúlt 30 napban</t>
        </is>
      </c>
      <c r="G1870" s="17" t="inlineStr">
        <is>
          <t>Más főkategória terméke</t>
        </is>
      </c>
    </row>
    <row r="1871">
      <c r="A1871" s="17" t="inlineStr">
        <is>
          <t>GRO4599</t>
        </is>
      </c>
      <c r="B1871" s="17" t="inlineStr">
        <is>
          <t>Sansi LED E27 csíptethető,vezérlővel 10W</t>
        </is>
      </c>
      <c r="C1871" s="17" t="inlineStr">
        <is>
          <t>–</t>
        </is>
      </c>
      <c r="D1871" s="17" t="inlineStr"/>
      <c r="E1871" s="17" t="inlineStr">
        <is>
          <t>Nem tartozik ide</t>
        </is>
      </c>
      <c r="F1871" s="17" t="inlineStr">
        <is>
          <t>az elmúlt 30 napban</t>
        </is>
      </c>
      <c r="G1871" s="17" t="inlineStr">
        <is>
          <t>Más főkategória terméke</t>
        </is>
      </c>
    </row>
    <row r="1872">
      <c r="A1872" s="17" t="inlineStr">
        <is>
          <t>GRO4600</t>
        </is>
      </c>
      <c r="B1872" s="17" t="inlineStr">
        <is>
          <t>Vents TT 100 EC eco csőventilátor 100 mm, 210 m3/h, fekete</t>
        </is>
      </c>
      <c r="C1872" s="17" t="inlineStr">
        <is>
          <t>–</t>
        </is>
      </c>
      <c r="D1872" s="17" t="inlineStr"/>
      <c r="E1872" s="17" t="inlineStr">
        <is>
          <t>Nem tartozik ide</t>
        </is>
      </c>
      <c r="F1872" s="17" t="inlineStr">
        <is>
          <t>az elmúlt 30 napban</t>
        </is>
      </c>
      <c r="G1872" s="17" t="inlineStr">
        <is>
          <t>Más főkategória terméke</t>
        </is>
      </c>
    </row>
    <row r="1873">
      <c r="A1873" s="17" t="inlineStr">
        <is>
          <t>GRO4601</t>
        </is>
      </c>
      <c r="B1873" s="17" t="inlineStr">
        <is>
          <t>Vents TT 125 EC Eco csőventilátor 125 mm, 275 m3/h</t>
        </is>
      </c>
      <c r="C1873" s="17" t="inlineStr">
        <is>
          <t>–</t>
        </is>
      </c>
      <c r="D1873" s="17" t="inlineStr"/>
      <c r="E1873" s="17" t="inlineStr">
        <is>
          <t>Nem tartozik ide</t>
        </is>
      </c>
      <c r="F1873" s="17" t="inlineStr">
        <is>
          <t>az elmúlt 30 napban</t>
        </is>
      </c>
      <c r="G1873" s="17" t="inlineStr">
        <is>
          <t>Más főkategória terméke</t>
        </is>
      </c>
    </row>
    <row r="1874">
      <c r="A1874" s="17" t="inlineStr">
        <is>
          <t>GRO4602</t>
        </is>
      </c>
      <c r="B1874" s="17" t="inlineStr">
        <is>
          <t>Saboten precíziós trimmelőolló, 10 cm, rugós karral</t>
        </is>
      </c>
      <c r="C1874" s="17" t="inlineStr">
        <is>
          <t>–</t>
        </is>
      </c>
      <c r="D1874" s="17" t="inlineStr"/>
      <c r="E1874" s="17" t="inlineStr">
        <is>
          <t>Nem tartozik ide</t>
        </is>
      </c>
      <c r="F1874" s="17" t="inlineStr">
        <is>
          <t>az elmúlt 30 napban</t>
        </is>
      </c>
      <c r="G1874" s="17" t="inlineStr">
        <is>
          <t>Más főkategória terméke</t>
        </is>
      </c>
    </row>
    <row r="1875">
      <c r="A1875" s="17" t="inlineStr">
        <is>
          <t>GRO4603</t>
        </is>
      </c>
      <c r="B1875" s="17" t="inlineStr">
        <is>
          <t>Saboten PT-6 metsző- és trimmelőolló 48 mm</t>
        </is>
      </c>
      <c r="C1875" s="17" t="inlineStr">
        <is>
          <t>–</t>
        </is>
      </c>
      <c r="D1875" s="17" t="inlineStr"/>
      <c r="E1875" s="17" t="inlineStr">
        <is>
          <t>Nem tartozik ide</t>
        </is>
      </c>
      <c r="F1875" s="17" t="inlineStr">
        <is>
          <t>az elmúlt 30 napban</t>
        </is>
      </c>
      <c r="G1875" s="17" t="inlineStr">
        <is>
          <t>Más főkategória terméke</t>
        </is>
      </c>
    </row>
    <row r="1876">
      <c r="A1876" s="17" t="inlineStr">
        <is>
          <t>GRO4604</t>
        </is>
      </c>
      <c r="B1876" s="17" t="inlineStr">
        <is>
          <t>Saboten PT-8 tungsten élező ollóhoz és késhez</t>
        </is>
      </c>
      <c r="C1876" s="17" t="inlineStr">
        <is>
          <t>–</t>
        </is>
      </c>
      <c r="D1876" s="17" t="inlineStr"/>
      <c r="E1876" s="17" t="inlineStr">
        <is>
          <t>Nem tartozik ide</t>
        </is>
      </c>
      <c r="F1876" s="17" t="inlineStr">
        <is>
          <t>az elmúlt 30 napban</t>
        </is>
      </c>
      <c r="G1876" s="17" t="inlineStr">
        <is>
          <t>Más főkategória terméke</t>
        </is>
      </c>
    </row>
    <row r="1877">
      <c r="A1877" s="17" t="inlineStr">
        <is>
          <t>GRO4605</t>
        </is>
      </c>
      <c r="B1877" s="17" t="inlineStr">
        <is>
          <t>Saboten mágneses trimmelőolló egyenes, extra vékony rozsdamentes pengével</t>
        </is>
      </c>
      <c r="C1877" s="17" t="inlineStr">
        <is>
          <t>–</t>
        </is>
      </c>
      <c r="D1877" s="17" t="inlineStr"/>
      <c r="E1877" s="17" t="inlineStr">
        <is>
          <t>Nem tartozik ide</t>
        </is>
      </c>
      <c r="F1877" s="17" t="inlineStr">
        <is>
          <t>az elmúlt 30 napban</t>
        </is>
      </c>
      <c r="G1877" s="17" t="inlineStr">
        <is>
          <t>Más főkategória terméke</t>
        </is>
      </c>
    </row>
    <row r="1878">
      <c r="A1878" s="17" t="inlineStr">
        <is>
          <t>GRO4606</t>
        </is>
      </c>
      <c r="B1878" s="17" t="inlineStr">
        <is>
          <t>Trimmelő olló Saboten PT-16 mágneses, ívelt pengével</t>
        </is>
      </c>
      <c r="C1878" s="17" t="inlineStr">
        <is>
          <t>–</t>
        </is>
      </c>
      <c r="D1878" s="17" t="inlineStr"/>
      <c r="E1878" s="17" t="inlineStr">
        <is>
          <t>Nem tartozik ide</t>
        </is>
      </c>
      <c r="F1878" s="17" t="inlineStr">
        <is>
          <t>az elmúlt 30 napban</t>
        </is>
      </c>
      <c r="G1878" s="17" t="inlineStr">
        <is>
          <t>Más főkategória terméke</t>
        </is>
      </c>
    </row>
    <row r="1879">
      <c r="A1879" s="17" t="inlineStr">
        <is>
          <t>GRO4609</t>
        </is>
      </c>
      <c r="B1879" s="17" t="inlineStr">
        <is>
          <t>Garland propagátor fedél 37,5x24x8,5 cm</t>
        </is>
      </c>
      <c r="C1879" s="17" t="inlineStr">
        <is>
          <t>–</t>
        </is>
      </c>
      <c r="D1879" s="17" t="inlineStr"/>
      <c r="E1879" s="17" t="inlineStr">
        <is>
          <t>Nem tartozik ide</t>
        </is>
      </c>
      <c r="F1879" s="17" t="inlineStr">
        <is>
          <t>az elmúlt 30 napban</t>
        </is>
      </c>
      <c r="G1879" s="17" t="inlineStr">
        <is>
          <t>Más főkategória terméke</t>
        </is>
      </c>
    </row>
    <row r="1880">
      <c r="A1880" s="17" t="inlineStr">
        <is>
          <t>GRO4611</t>
        </is>
      </c>
      <c r="B1880" s="17" t="inlineStr">
        <is>
          <t>Garland kapilláris szőnyeg 2 db</t>
        </is>
      </c>
      <c r="C1880" s="17" t="inlineStr">
        <is>
          <t>–</t>
        </is>
      </c>
      <c r="D1880" s="17" t="inlineStr"/>
      <c r="E1880" s="17" t="inlineStr">
        <is>
          <t>Nem tartozik ide</t>
        </is>
      </c>
      <c r="F1880" s="17" t="inlineStr">
        <is>
          <t>az elmúlt 30 napban</t>
        </is>
      </c>
      <c r="G1880" s="17" t="inlineStr">
        <is>
          <t>Más főkategória terméke</t>
        </is>
      </c>
    </row>
    <row r="1881">
      <c r="A1881" s="17" t="inlineStr">
        <is>
          <t>GRO4614</t>
        </is>
      </c>
      <c r="B1881" s="17" t="inlineStr">
        <is>
          <t>Garland propagátor fedél 56x28x8 cm</t>
        </is>
      </c>
      <c r="C1881" s="17" t="inlineStr">
        <is>
          <t>–</t>
        </is>
      </c>
      <c r="D1881" s="17" t="inlineStr"/>
      <c r="E1881" s="17" t="inlineStr">
        <is>
          <t>Nem tartozik ide</t>
        </is>
      </c>
      <c r="F1881" s="17" t="inlineStr">
        <is>
          <t>az elmúlt 30 napban</t>
        </is>
      </c>
      <c r="G1881" s="17" t="inlineStr">
        <is>
          <t>Más főkategória terméke</t>
        </is>
      </c>
    </row>
    <row r="1882">
      <c r="A1882" s="17" t="inlineStr">
        <is>
          <t>GRO4617</t>
        </is>
      </c>
      <c r="B1882" s="17" t="inlineStr">
        <is>
          <t>Garland propagátor Small fedél 23x17x6,5 cm</t>
        </is>
      </c>
      <c r="C1882" s="17" t="inlineStr">
        <is>
          <t>–</t>
        </is>
      </c>
      <c r="D1882" s="17" t="inlineStr"/>
      <c r="E1882" s="17" t="inlineStr">
        <is>
          <t>Nem tartozik ide</t>
        </is>
      </c>
      <c r="F1882" s="17" t="inlineStr">
        <is>
          <t>az elmúlt 6 hónapban</t>
        </is>
      </c>
      <c r="G1882" s="17" t="inlineStr">
        <is>
          <t>Más főkategória terméke</t>
        </is>
      </c>
    </row>
    <row r="1883">
      <c r="A1883" s="17" t="inlineStr">
        <is>
          <t>GRO4618</t>
        </is>
      </c>
      <c r="B1883" s="17" t="inlineStr">
        <is>
          <t>Garland propagátor Large fedél 37,5x23x6,5 cm</t>
        </is>
      </c>
      <c r="C1883" s="17" t="inlineStr">
        <is>
          <t>–</t>
        </is>
      </c>
      <c r="D1883" s="17" t="inlineStr"/>
      <c r="E1883" s="17" t="inlineStr">
        <is>
          <t>Nem tartozik ide</t>
        </is>
      </c>
      <c r="F1883" s="17" t="inlineStr">
        <is>
          <t>az elmúlt 30 napban</t>
        </is>
      </c>
      <c r="G1883" s="17" t="inlineStr">
        <is>
          <t>Más főkategória terméke</t>
        </is>
      </c>
    </row>
    <row r="1884">
      <c r="A1884" s="17" t="inlineStr">
        <is>
          <t>GRO4619</t>
        </is>
      </c>
      <c r="B1884" s="17" t="inlineStr">
        <is>
          <t>Garland propagátor keskeny fedél 37x13,5x6,5 cm</t>
        </is>
      </c>
      <c r="C1884" s="17" t="inlineStr">
        <is>
          <t>–</t>
        </is>
      </c>
      <c r="D1884" s="17" t="inlineStr"/>
      <c r="E1884" s="17" t="inlineStr">
        <is>
          <t>Nem tartozik ide</t>
        </is>
      </c>
      <c r="F1884" s="17" t="inlineStr">
        <is>
          <t>az elmúlt 30 napban</t>
        </is>
      </c>
      <c r="G1884" s="17" t="inlineStr">
        <is>
          <t>Más főkategória terméke</t>
        </is>
      </c>
    </row>
    <row r="1885">
      <c r="A1885" s="17" t="inlineStr">
        <is>
          <t>GRO4620</t>
        </is>
      </c>
      <c r="B1885" s="17" t="inlineStr">
        <is>
          <t>Garland propagátor Large fedél szellőzővel 37,5x23x8 cm</t>
        </is>
      </c>
      <c r="C1885" s="17" t="inlineStr">
        <is>
          <t>–</t>
        </is>
      </c>
      <c r="D1885" s="17" t="inlineStr"/>
      <c r="E1885" s="17" t="inlineStr">
        <is>
          <t>Nem tartozik ide</t>
        </is>
      </c>
      <c r="F1885" s="17" t="inlineStr">
        <is>
          <t>az elmúlt 30 napban</t>
        </is>
      </c>
      <c r="G1885" s="17" t="inlineStr">
        <is>
          <t>Más főkategória terméke</t>
        </is>
      </c>
    </row>
    <row r="1886">
      <c r="A1886" s="17" t="inlineStr">
        <is>
          <t>GRO4627</t>
        </is>
      </c>
      <c r="B1886" s="17" t="inlineStr">
        <is>
          <t>Kertészeti jelölő pálca</t>
        </is>
      </c>
      <c r="C1886" s="17" t="inlineStr">
        <is>
          <t>–</t>
        </is>
      </c>
      <c r="D1886" s="17" t="inlineStr"/>
      <c r="E1886" s="17" t="inlineStr">
        <is>
          <t>Nem tartozik ide</t>
        </is>
      </c>
      <c r="F1886" s="17" t="inlineStr">
        <is>
          <t>az elmúlt 6 hónapban</t>
        </is>
      </c>
      <c r="G1886" s="17" t="inlineStr">
        <is>
          <t>Más főkategória terméke</t>
        </is>
      </c>
    </row>
    <row r="1887">
      <c r="A1887" s="17" t="inlineStr">
        <is>
          <t>GRO4628</t>
        </is>
      </c>
      <c r="B1887" s="17" t="inlineStr">
        <is>
          <t>Kertészeti jelölő műanyagtábla kicsi</t>
        </is>
      </c>
      <c r="C1887" s="17" t="inlineStr">
        <is>
          <t>–</t>
        </is>
      </c>
      <c r="D1887" s="17" t="inlineStr"/>
      <c r="E1887" s="17" t="inlineStr">
        <is>
          <t>Nem tartozik ide</t>
        </is>
      </c>
      <c r="F1887" s="17" t="inlineStr">
        <is>
          <t>az elmúlt 6 hónapban</t>
        </is>
      </c>
      <c r="G1887" s="17" t="inlineStr">
        <is>
          <t>Más főkategória terméke</t>
        </is>
      </c>
    </row>
    <row r="1888">
      <c r="A1888" s="17" t="inlineStr">
        <is>
          <t>GRO4629</t>
        </is>
      </c>
      <c r="B1888" s="17" t="inlineStr">
        <is>
          <t>Kertészeti jelölő műanyagtábla közepes</t>
        </is>
      </c>
      <c r="C1888" s="17" t="inlineStr">
        <is>
          <t>–</t>
        </is>
      </c>
      <c r="D1888" s="17" t="inlineStr"/>
      <c r="E1888" s="17" t="inlineStr">
        <is>
          <t>Nem tartozik ide</t>
        </is>
      </c>
      <c r="F1888" s="17" t="inlineStr">
        <is>
          <t>az elmúlt 6 hónapban</t>
        </is>
      </c>
      <c r="G1888" s="17" t="inlineStr">
        <is>
          <t>Más főkategória terméke</t>
        </is>
      </c>
    </row>
    <row r="1889">
      <c r="A1889" s="17" t="inlineStr">
        <is>
          <t>GRO4630</t>
        </is>
      </c>
      <c r="B1889" s="17" t="inlineStr">
        <is>
          <t>Kertészeti jelölő műanyagtábla nagy 1 db</t>
        </is>
      </c>
      <c r="C1889" s="17" t="inlineStr">
        <is>
          <t>–</t>
        </is>
      </c>
      <c r="D1889" s="17" t="inlineStr"/>
      <c r="E1889" s="17" t="inlineStr">
        <is>
          <t>Nem tartozik ide</t>
        </is>
      </c>
      <c r="F1889" s="17" t="inlineStr">
        <is>
          <t>az elmúlt 30 napban</t>
        </is>
      </c>
      <c r="G1889" s="17" t="inlineStr">
        <is>
          <t>Más főkategória terméke</t>
        </is>
      </c>
    </row>
    <row r="1890">
      <c r="A1890" s="17" t="inlineStr">
        <is>
          <t>GRO4631</t>
        </is>
      </c>
      <c r="B1890" s="17" t="inlineStr">
        <is>
          <t>Kertészeti jelölő krétatábla kicsi 1 db</t>
        </is>
      </c>
      <c r="C1890" s="17" t="inlineStr">
        <is>
          <t>–</t>
        </is>
      </c>
      <c r="D1890" s="17" t="inlineStr"/>
      <c r="E1890" s="17" t="inlineStr">
        <is>
          <t>Nem tartozik ide</t>
        </is>
      </c>
      <c r="F1890" s="17" t="inlineStr">
        <is>
          <t>az elmúlt 30 napban</t>
        </is>
      </c>
      <c r="G1890" s="17" t="inlineStr">
        <is>
          <t>Más főkategória terméke</t>
        </is>
      </c>
    </row>
    <row r="1891">
      <c r="A1891" s="17" t="inlineStr">
        <is>
          <t>GRO4632</t>
        </is>
      </c>
      <c r="B1891" s="17" t="inlineStr">
        <is>
          <t>Kertészeti jelölő krétatábla közepes 1 db</t>
        </is>
      </c>
      <c r="C1891" s="17" t="inlineStr">
        <is>
          <t>–</t>
        </is>
      </c>
      <c r="D1891" s="17" t="inlineStr"/>
      <c r="E1891" s="17" t="inlineStr">
        <is>
          <t>Nem tartozik ide</t>
        </is>
      </c>
      <c r="F1891" s="17" t="inlineStr">
        <is>
          <t>az elmúlt 30 napban</t>
        </is>
      </c>
      <c r="G1891" s="17" t="inlineStr">
        <is>
          <t>Más főkategória terméke</t>
        </is>
      </c>
    </row>
    <row r="1892">
      <c r="A1892" s="17" t="inlineStr">
        <is>
          <t>GRO4641</t>
        </is>
      </c>
      <c r="B1892" s="17" t="inlineStr">
        <is>
          <t>Nitril gumikesztyű púdermentes, S méret, 100 db</t>
        </is>
      </c>
      <c r="C1892" s="17" t="inlineStr">
        <is>
          <t>–</t>
        </is>
      </c>
      <c r="D1892" s="17" t="inlineStr"/>
      <c r="E1892" s="17" t="inlineStr">
        <is>
          <t>Nem tartozik ide</t>
        </is>
      </c>
      <c r="F1892" s="17" t="inlineStr">
        <is>
          <t>az elmúlt 30 napban</t>
        </is>
      </c>
      <c r="G1892" s="17" t="inlineStr">
        <is>
          <t>Más főkategória terméke</t>
        </is>
      </c>
    </row>
    <row r="1893">
      <c r="A1893" s="17" t="inlineStr">
        <is>
          <t>GRO4658</t>
        </is>
      </c>
      <c r="B1893" s="17" t="inlineStr">
        <is>
          <t>AC Infinity Cloudforge T5 intelligens párásító, VPD-vezérléssel, 9 L</t>
        </is>
      </c>
      <c r="C1893" s="17" t="inlineStr">
        <is>
          <t>–</t>
        </is>
      </c>
      <c r="D1893" s="17" t="inlineStr"/>
      <c r="E1893" s="17" t="inlineStr">
        <is>
          <t>Nem tartozik ide</t>
        </is>
      </c>
      <c r="F1893" s="17" t="inlineStr">
        <is>
          <t>az elmúlt 30 napban</t>
        </is>
      </c>
      <c r="G1893" s="17" t="inlineStr">
        <is>
          <t>Más főkategória terméke</t>
        </is>
      </c>
    </row>
    <row r="1894">
      <c r="A1894" s="17" t="inlineStr">
        <is>
          <t>GRO4675</t>
        </is>
      </c>
      <c r="B1894" s="17" t="inlineStr">
        <is>
          <t>Jiffy-7 kókuszrost szaporítólap mikrozöldhöz, 400 vetőhely, 24x24,7 cm</t>
        </is>
      </c>
      <c r="C1894" s="17" t="inlineStr">
        <is>
          <t>–</t>
        </is>
      </c>
      <c r="D1894" s="17" t="inlineStr"/>
      <c r="E1894" s="17" t="inlineStr">
        <is>
          <t>Nem tartozik ide</t>
        </is>
      </c>
      <c r="F1894" s="17" t="inlineStr">
        <is>
          <t>az elmúlt 30 napban</t>
        </is>
      </c>
      <c r="G1894" s="17" t="inlineStr">
        <is>
          <t>Más főkategória terméke</t>
        </is>
      </c>
    </row>
    <row r="1895">
      <c r="A1895" s="17" t="inlineStr">
        <is>
          <t>GRO4680</t>
        </is>
      </c>
      <c r="B1895" s="17" t="inlineStr">
        <is>
          <t>Palántaszállító csomagolás 6 db plántához, 38x50 mm (250db/doboz)</t>
        </is>
      </c>
      <c r="C1895" s="17" t="inlineStr">
        <is>
          <t>–</t>
        </is>
      </c>
      <c r="D1895" s="17" t="inlineStr"/>
      <c r="E1895" s="17" t="inlineStr">
        <is>
          <t>Nem tartozik ide</t>
        </is>
      </c>
      <c r="F1895" s="17" t="inlineStr">
        <is>
          <t>az elmúlt 30 napban</t>
        </is>
      </c>
      <c r="G1895" s="17" t="inlineStr">
        <is>
          <t>Más főkategória terméke</t>
        </is>
      </c>
    </row>
    <row r="1896">
      <c r="A1896" s="17" t="inlineStr">
        <is>
          <t>GRO4681</t>
        </is>
      </c>
      <c r="B1896" s="17" t="inlineStr">
        <is>
          <t>Palántacsomagoló doboz 3 részes, 3,8x5x18 cm (450db/doboz)</t>
        </is>
      </c>
      <c r="C1896" s="17" t="inlineStr">
        <is>
          <t>–</t>
        </is>
      </c>
      <c r="D1896" s="17" t="inlineStr"/>
      <c r="E1896" s="17" t="inlineStr">
        <is>
          <t>Nem tartozik ide</t>
        </is>
      </c>
      <c r="F1896" s="17" t="inlineStr">
        <is>
          <t>az elmúlt 30 napban</t>
        </is>
      </c>
      <c r="G1896" s="17" t="inlineStr">
        <is>
          <t>Más főkategória terméke</t>
        </is>
      </c>
    </row>
    <row r="1897">
      <c r="A1897" s="17" t="inlineStr">
        <is>
          <t>GRO4682</t>
        </is>
      </c>
      <c r="B1897" s="17" t="inlineStr">
        <is>
          <t>Palántaszállító csomagolás 3 db palántához, 7,5x7,5x39 cm (100db/doboz)</t>
        </is>
      </c>
      <c r="C1897" s="17" t="inlineStr">
        <is>
          <t>–</t>
        </is>
      </c>
      <c r="D1897" s="17" t="inlineStr"/>
      <c r="E1897" s="17" t="inlineStr">
        <is>
          <t>Nem tartozik ide</t>
        </is>
      </c>
      <c r="F1897" s="17" t="inlineStr">
        <is>
          <t>az elmúlt 30 napban</t>
        </is>
      </c>
      <c r="G1897" s="17" t="inlineStr">
        <is>
          <t>Más főkategória terméke</t>
        </is>
      </c>
    </row>
    <row r="1898">
      <c r="A1898" s="17" t="inlineStr">
        <is>
          <t>GRO4683</t>
        </is>
      </c>
      <c r="B1898" s="17" t="inlineStr">
        <is>
          <t>Palántaszállító csomagolás 3 db palántához (200db/doboz)</t>
        </is>
      </c>
      <c r="C1898" s="17" t="inlineStr">
        <is>
          <t>–</t>
        </is>
      </c>
      <c r="D1898" s="17" t="inlineStr"/>
      <c r="E1898" s="17" t="inlineStr">
        <is>
          <t>Nem tartozik ide</t>
        </is>
      </c>
      <c r="F1898" s="17" t="inlineStr">
        <is>
          <t>az elmúlt 30 napban</t>
        </is>
      </c>
      <c r="G1898" s="17" t="inlineStr">
        <is>
          <t>Más főkategória terméke</t>
        </is>
      </c>
    </row>
    <row r="1899">
      <c r="A1899" s="17" t="inlineStr">
        <is>
          <t>GRO4685</t>
        </is>
      </c>
      <c r="B1899" s="17" t="inlineStr">
        <is>
          <t>Propagátor tető 43x32,5 cm GRO4684 magpalántázó tálcához</t>
        </is>
      </c>
      <c r="C1899" s="17" t="inlineStr">
        <is>
          <t>–</t>
        </is>
      </c>
      <c r="D1899" s="17" t="inlineStr"/>
      <c r="E1899" s="17" t="inlineStr">
        <is>
          <t>Nem tartozik ide</t>
        </is>
      </c>
      <c r="F1899" s="17" t="inlineStr">
        <is>
          <t>az elmúlt 6 hónapban</t>
        </is>
      </c>
      <c r="G1899" s="17" t="inlineStr">
        <is>
          <t>Más főkategória terméke</t>
        </is>
      </c>
    </row>
    <row r="1900">
      <c r="A1900" s="17" t="inlineStr">
        <is>
          <t>GRO4687</t>
        </is>
      </c>
      <c r="B1900" s="17" t="inlineStr">
        <is>
          <t>Propagátor tető 31,3x21,3 cm, áttetsző</t>
        </is>
      </c>
      <c r="C1900" s="17" t="inlineStr">
        <is>
          <t>–</t>
        </is>
      </c>
      <c r="D1900" s="17" t="inlineStr"/>
      <c r="E1900" s="17" t="inlineStr">
        <is>
          <t>Nem tartozik ide</t>
        </is>
      </c>
      <c r="F1900" s="17" t="inlineStr">
        <is>
          <t>az elmúlt 30 napban</t>
        </is>
      </c>
      <c r="G1900" s="17" t="inlineStr">
        <is>
          <t>Más főkategória terméke</t>
        </is>
      </c>
    </row>
    <row r="1901">
      <c r="A1901" s="17" t="inlineStr">
        <is>
          <t>GRO4689</t>
        </is>
      </c>
      <c r="B1901" s="17" t="inlineStr">
        <is>
          <t>UGro Basic XL kókuszrost préselt kókuszblokk 70 L</t>
        </is>
      </c>
      <c r="C1901" s="17" t="inlineStr">
        <is>
          <t>–</t>
        </is>
      </c>
      <c r="D1901" s="17" t="inlineStr"/>
      <c r="E1901" s="17" t="inlineStr">
        <is>
          <t>Nem tartozik ide</t>
        </is>
      </c>
      <c r="F1901" s="17" t="inlineStr">
        <is>
          <t>az elmúlt 6 hónapban</t>
        </is>
      </c>
      <c r="G1901" s="17" t="inlineStr">
        <is>
          <t>Más főkategória terméke</t>
        </is>
      </c>
    </row>
    <row r="1902">
      <c r="A1902" s="17" t="inlineStr">
        <is>
          <t>GRO4693</t>
        </is>
      </c>
      <c r="B1902" s="17" t="inlineStr">
        <is>
          <t>Kókuszrost perlittel UGro Coco Pure Perlite 50 L</t>
        </is>
      </c>
      <c r="C1902" s="17" t="inlineStr">
        <is>
          <t>–</t>
        </is>
      </c>
      <c r="D1902" s="17" t="inlineStr"/>
      <c r="E1902" s="17" t="inlineStr">
        <is>
          <t>Nem tartozik ide</t>
        </is>
      </c>
      <c r="F1902" s="17" t="inlineStr">
        <is>
          <t>az elmúlt 6 hónapban</t>
        </is>
      </c>
      <c r="G1902" s="17" t="inlineStr">
        <is>
          <t>Más főkategória terméke</t>
        </is>
      </c>
    </row>
    <row r="1903">
      <c r="A1903" s="17" t="inlineStr">
        <is>
          <t>GRO4694</t>
        </is>
      </c>
      <c r="B1903" s="17" t="inlineStr">
        <is>
          <t>Préselt kókuszrost UGro Small Basic 11 L, kókusz táptalaj tömb</t>
        </is>
      </c>
      <c r="C1903" s="17" t="inlineStr">
        <is>
          <t>–</t>
        </is>
      </c>
      <c r="D1903" s="17" t="inlineStr"/>
      <c r="E1903" s="17" t="inlineStr">
        <is>
          <t>Nem tartozik ide</t>
        </is>
      </c>
      <c r="F1903" s="17" t="inlineStr">
        <is>
          <t>az elmúlt 6 hónapban</t>
        </is>
      </c>
      <c r="G1903" s="17" t="inlineStr">
        <is>
          <t>Más főkategória terméke</t>
        </is>
      </c>
    </row>
    <row r="1904">
      <c r="A1904" s="17" t="inlineStr">
        <is>
          <t>GRO4701</t>
        </is>
      </c>
      <c r="B1904" s="17" t="inlineStr">
        <is>
          <t>UGro Slab Professional kókuszpaplan 15 L, 100x15x3 cm</t>
        </is>
      </c>
      <c r="C1904" s="17" t="inlineStr">
        <is>
          <t>–</t>
        </is>
      </c>
      <c r="D1904" s="17" t="inlineStr"/>
      <c r="E1904" s="17" t="inlineStr">
        <is>
          <t>Nem tartozik ide</t>
        </is>
      </c>
      <c r="F1904" s="17" t="inlineStr">
        <is>
          <t>az elmúlt 6 hónapban</t>
        </is>
      </c>
      <c r="G1904" s="17" t="inlineStr">
        <is>
          <t>Más főkategória terméke</t>
        </is>
      </c>
    </row>
    <row r="1905">
      <c r="A1905" s="17" t="inlineStr">
        <is>
          <t>GRO4703</t>
        </is>
      </c>
      <c r="B1905" s="17" t="inlineStr">
        <is>
          <t>Aluflex flexibilis légcső 102 mm, 3 m</t>
        </is>
      </c>
      <c r="C1905" s="17" t="inlineStr">
        <is>
          <t>–</t>
        </is>
      </c>
      <c r="D1905" s="17" t="inlineStr"/>
      <c r="E1905" s="17" t="inlineStr">
        <is>
          <t>Nem tartozik ide</t>
        </is>
      </c>
      <c r="F1905" s="17" t="inlineStr">
        <is>
          <t>az elmúlt 30 napban</t>
        </is>
      </c>
      <c r="G1905" s="17" t="inlineStr">
        <is>
          <t>Más főkategória terméke</t>
        </is>
      </c>
    </row>
    <row r="1906">
      <c r="A1906" s="17" t="inlineStr">
        <is>
          <t>GRO4704</t>
        </is>
      </c>
      <c r="B1906" s="17" t="inlineStr">
        <is>
          <t>Aluflex flexibilis légcső 127 mm átmérő, 3 m</t>
        </is>
      </c>
      <c r="C1906" s="17" t="inlineStr">
        <is>
          <t>–</t>
        </is>
      </c>
      <c r="D1906" s="17" t="inlineStr"/>
      <c r="E1906" s="17" t="inlineStr">
        <is>
          <t>Nem tartozik ide</t>
        </is>
      </c>
      <c r="F1906" s="17" t="inlineStr">
        <is>
          <t>az elmúlt 30 napban</t>
        </is>
      </c>
      <c r="G1906" s="17" t="inlineStr">
        <is>
          <t>Más főkategória terméke</t>
        </is>
      </c>
    </row>
    <row r="1907">
      <c r="A1907" s="17" t="inlineStr">
        <is>
          <t>GRO4705</t>
        </is>
      </c>
      <c r="B1907" s="17" t="inlineStr">
        <is>
          <t>Aluflex flexibilis légcső 152 mm, 3 m</t>
        </is>
      </c>
      <c r="C1907" s="17" t="inlineStr">
        <is>
          <t>–</t>
        </is>
      </c>
      <c r="D1907" s="17" t="inlineStr"/>
      <c r="E1907" s="17" t="inlineStr">
        <is>
          <t>Nem tartozik ide</t>
        </is>
      </c>
      <c r="F1907" s="17" t="inlineStr">
        <is>
          <t>az elmúlt 30 napban</t>
        </is>
      </c>
      <c r="G1907" s="17" t="inlineStr">
        <is>
          <t>Más főkategória terméke</t>
        </is>
      </c>
    </row>
    <row r="1908">
      <c r="A1908" s="17" t="inlineStr">
        <is>
          <t>GRO4706</t>
        </is>
      </c>
      <c r="B1908" s="17" t="inlineStr">
        <is>
          <t>Tápegység SANlight FLEX II 30 W adapterkábellel</t>
        </is>
      </c>
      <c r="C1908" s="17" t="inlineStr">
        <is>
          <t>–</t>
        </is>
      </c>
      <c r="D1908" s="17" t="inlineStr"/>
      <c r="E1908" s="17" t="inlineStr">
        <is>
          <t>Nem tartozik ide</t>
        </is>
      </c>
      <c r="F1908" s="17" t="inlineStr">
        <is>
          <t>az elmúlt 30 napban</t>
        </is>
      </c>
      <c r="G1908" s="17" t="inlineStr">
        <is>
          <t>Más főkategória terméke</t>
        </is>
      </c>
    </row>
    <row r="1909">
      <c r="A1909" s="17" t="inlineStr">
        <is>
          <t>GRO4707</t>
        </is>
      </c>
      <c r="B1909" s="17" t="inlineStr">
        <is>
          <t>LED növénylámpa Sanlight Stixx 2-60 47W teljes spektrumú</t>
        </is>
      </c>
      <c r="C1909" s="17" t="inlineStr">
        <is>
          <t>–</t>
        </is>
      </c>
      <c r="D1909" s="17" t="inlineStr"/>
      <c r="E1909" s="17" t="inlineStr">
        <is>
          <t>Nem tartozik ide</t>
        </is>
      </c>
      <c r="F1909" s="17" t="inlineStr">
        <is>
          <t>az elmúlt 30 napban</t>
        </is>
      </c>
      <c r="G1909" s="17" t="inlineStr">
        <is>
          <t>Más főkategória terméke</t>
        </is>
      </c>
    </row>
    <row r="1910">
      <c r="A1910" s="17" t="inlineStr">
        <is>
          <t>GRO4708</t>
        </is>
      </c>
      <c r="B1910" s="17" t="inlineStr">
        <is>
          <t>Sanlight Stixx 3-80 LED növénylámpa 70W, teljes spektrumú</t>
        </is>
      </c>
      <c r="C1910" s="17" t="inlineStr">
        <is>
          <t>–</t>
        </is>
      </c>
      <c r="D1910" s="17" t="inlineStr"/>
      <c r="E1910" s="17" t="inlineStr">
        <is>
          <t>Nem tartozik ide</t>
        </is>
      </c>
      <c r="F1910" s="17" t="inlineStr">
        <is>
          <t>az elmúlt 30 napban</t>
        </is>
      </c>
      <c r="G1910" s="17" t="inlineStr">
        <is>
          <t>Más főkategória terméke</t>
        </is>
      </c>
    </row>
    <row r="1911">
      <c r="A1911" s="17" t="inlineStr">
        <is>
          <t>GRO4709</t>
        </is>
      </c>
      <c r="B1911" s="17" t="inlineStr">
        <is>
          <t>Sanlight Stixx 4-100 LED növénylámpa 94 W, teljes spektrumú</t>
        </is>
      </c>
      <c r="C1911" s="17" t="inlineStr">
        <is>
          <t>–</t>
        </is>
      </c>
      <c r="D1911" s="17" t="inlineStr"/>
      <c r="E1911" s="17" t="inlineStr">
        <is>
          <t>Nem tartozik ide</t>
        </is>
      </c>
      <c r="F1911" s="17" t="inlineStr">
        <is>
          <t>az elmúlt 30 napban</t>
        </is>
      </c>
      <c r="G1911" s="17" t="inlineStr">
        <is>
          <t>Más főkategória terméke</t>
        </is>
      </c>
    </row>
    <row r="1912">
      <c r="A1912" s="17" t="inlineStr">
        <is>
          <t>GRO4710</t>
        </is>
      </c>
      <c r="B1912" s="17" t="inlineStr">
        <is>
          <t>SANlight Stixx 6-150 LED növénylámpa 141 W, teljes spektrumú, IP68</t>
        </is>
      </c>
      <c r="C1912" s="17" t="inlineStr">
        <is>
          <t>–</t>
        </is>
      </c>
      <c r="D1912" s="17" t="inlineStr"/>
      <c r="E1912" s="17" t="inlineStr">
        <is>
          <t>Nem tartozik ide</t>
        </is>
      </c>
      <c r="F1912" s="17" t="inlineStr">
        <is>
          <t>az elmúlt 30 napban</t>
        </is>
      </c>
      <c r="G1912" s="17" t="inlineStr">
        <is>
          <t>Más főkategória terméke</t>
        </is>
      </c>
    </row>
    <row r="1913">
      <c r="A1913" s="17" t="inlineStr">
        <is>
          <t>GRO4711</t>
        </is>
      </c>
      <c r="B1913" s="17" t="inlineStr">
        <is>
          <t>LED tápegység növénylámpához SANlight Driver Set STIXX 2, 160 W</t>
        </is>
      </c>
      <c r="C1913" s="17" t="inlineStr">
        <is>
          <t>–</t>
        </is>
      </c>
      <c r="D1913" s="17" t="inlineStr"/>
      <c r="E1913" s="17" t="inlineStr">
        <is>
          <t>Nem tartozik ide</t>
        </is>
      </c>
      <c r="F1913" s="17" t="inlineStr">
        <is>
          <t>az elmúlt 30 napban</t>
        </is>
      </c>
      <c r="G1913" s="17" t="inlineStr">
        <is>
          <t>Más főkategória terméke</t>
        </is>
      </c>
    </row>
    <row r="1914">
      <c r="A1914" s="17" t="inlineStr">
        <is>
          <t>GRO4712</t>
        </is>
      </c>
      <c r="B1914" s="17" t="inlineStr">
        <is>
          <t>LED tápegység SANlight STIXX 3/6 növénylámpához, 200 W</t>
        </is>
      </c>
      <c r="C1914" s="17" t="inlineStr">
        <is>
          <t>–</t>
        </is>
      </c>
      <c r="D1914" s="17" t="inlineStr"/>
      <c r="E1914" s="17" t="inlineStr">
        <is>
          <t>Nem tartozik ide</t>
        </is>
      </c>
      <c r="F1914" s="17" t="inlineStr">
        <is>
          <t>az elmúlt 30 napban</t>
        </is>
      </c>
      <c r="G1914" s="17" t="inlineStr">
        <is>
          <t>Más főkategória terméke</t>
        </is>
      </c>
    </row>
    <row r="1915">
      <c r="A1915" s="17" t="inlineStr">
        <is>
          <t>GRO4746</t>
        </is>
      </c>
      <c r="B1915" s="17" t="inlineStr">
        <is>
          <t>Kenderrost termesztőlap mikrozöldekhez, 56x28 cm, 400 g/m2</t>
        </is>
      </c>
      <c r="C1915" s="17" t="inlineStr">
        <is>
          <t>–</t>
        </is>
      </c>
      <c r="D1915" s="17" t="inlineStr"/>
      <c r="E1915" s="17" t="inlineStr">
        <is>
          <t>Nem tartozik ide</t>
        </is>
      </c>
      <c r="F1915" s="17" t="inlineStr">
        <is>
          <t>az elmúlt 30 napban</t>
        </is>
      </c>
      <c r="G1915" s="17" t="inlineStr">
        <is>
          <t>Más főkategória terméke</t>
        </is>
      </c>
    </row>
    <row r="1916">
      <c r="A1916" s="17" t="inlineStr">
        <is>
          <t>GRO4751</t>
        </is>
      </c>
      <c r="B1916" s="17" t="inlineStr">
        <is>
          <t>Agra-Wool Speedgrow Kőzetgyapot palántázó kocka 7,5x7,5x6,5 cm, 38x35 mm lyukkal</t>
        </is>
      </c>
      <c r="C1916" s="17" t="inlineStr">
        <is>
          <t>–</t>
        </is>
      </c>
      <c r="D1916" s="17" t="inlineStr"/>
      <c r="E1916" s="17" t="inlineStr">
        <is>
          <t>Nem tartozik ide</t>
        </is>
      </c>
      <c r="F1916" s="17" t="inlineStr">
        <is>
          <t>az elmúlt 30 napban</t>
        </is>
      </c>
      <c r="G1916" s="17" t="inlineStr">
        <is>
          <t>Más főkategória terméke</t>
        </is>
      </c>
    </row>
    <row r="1917">
      <c r="A1917" s="17" t="inlineStr">
        <is>
          <t>GRO4752</t>
        </is>
      </c>
      <c r="B1917" s="17" t="inlineStr">
        <is>
          <t>Agra-Wool Speedgrow Kőzetgyapot kocka 10x10x6,5 cm, 38x35 mm lyukkal</t>
        </is>
      </c>
      <c r="C1917" s="17" t="inlineStr">
        <is>
          <t>–</t>
        </is>
      </c>
      <c r="D1917" s="17" t="inlineStr"/>
      <c r="E1917" s="17" t="inlineStr">
        <is>
          <t>Nem tartozik ide</t>
        </is>
      </c>
      <c r="F1917" s="17" t="inlineStr">
        <is>
          <t>az elmúlt 30 napban</t>
        </is>
      </c>
      <c r="G1917" s="17" t="inlineStr">
        <is>
          <t>Más főkategória terméke</t>
        </is>
      </c>
    </row>
    <row r="1918">
      <c r="A1918" s="17" t="inlineStr">
        <is>
          <t>GRO4753</t>
        </is>
      </c>
      <c r="B1918" s="17" t="inlineStr">
        <is>
          <t>Agra-Wool Speedgrow kőzetgyapot tábla 100x15x7,5 cm</t>
        </is>
      </c>
      <c r="C1918" s="17" t="inlineStr">
        <is>
          <t>–</t>
        </is>
      </c>
      <c r="D1918" s="17" t="inlineStr"/>
      <c r="E1918" s="17" t="inlineStr">
        <is>
          <t>Nem tartozik ide</t>
        </is>
      </c>
      <c r="F1918" s="17" t="inlineStr">
        <is>
          <t>az elmúlt 30 napban</t>
        </is>
      </c>
      <c r="G1918" s="17" t="inlineStr">
        <is>
          <t>Más főkategória terméke</t>
        </is>
      </c>
    </row>
    <row r="1919">
      <c r="A1919" s="17" t="inlineStr">
        <is>
          <t>GRO4754</t>
        </is>
      </c>
      <c r="B1919" s="17" t="inlineStr">
        <is>
          <t>Agra-Wool Speedgrow BASIC kőzetgyapot szaporítókocka 38x40 mm, 84 db tálcán</t>
        </is>
      </c>
      <c r="C1919" s="17" t="inlineStr">
        <is>
          <t>–</t>
        </is>
      </c>
      <c r="D1919" s="17" t="inlineStr"/>
      <c r="E1919" s="17" t="inlineStr">
        <is>
          <t>Nem tartozik ide</t>
        </is>
      </c>
      <c r="F1919" s="17" t="inlineStr">
        <is>
          <t>az elmúlt 30 napban</t>
        </is>
      </c>
      <c r="G1919" s="17" t="inlineStr">
        <is>
          <t>Más főkategória terméke</t>
        </is>
      </c>
    </row>
    <row r="1920">
      <c r="A1920" s="17" t="inlineStr">
        <is>
          <t>GRO4755</t>
        </is>
      </c>
      <c r="B1920" s="17" t="inlineStr">
        <is>
          <t>Agra-Wool Speedgrow BASIC kőzetgyapot szaporítókocka 28x40 mm, 126 db tálcán</t>
        </is>
      </c>
      <c r="C1920" s="17" t="inlineStr">
        <is>
          <t>–</t>
        </is>
      </c>
      <c r="D1920" s="17" t="inlineStr"/>
      <c r="E1920" s="17" t="inlineStr">
        <is>
          <t>Nem tartozik ide</t>
        </is>
      </c>
      <c r="F1920" s="17" t="inlineStr">
        <is>
          <t>az elmúlt 30 napban</t>
        </is>
      </c>
      <c r="G1920" s="17" t="inlineStr">
        <is>
          <t>Más főkategória terméke</t>
        </is>
      </c>
    </row>
    <row r="1921">
      <c r="A1921" s="17" t="inlineStr">
        <is>
          <t>GRO4757</t>
        </is>
      </c>
      <c r="B1921" s="17" t="inlineStr">
        <is>
          <t>Agra-Wool Big Block kőzetgyapot kocka 15x15x15 cm, 38x35 mm ültetőlyukkal</t>
        </is>
      </c>
      <c r="C1921" s="17" t="inlineStr">
        <is>
          <t>–</t>
        </is>
      </c>
      <c r="D1921" s="17" t="inlineStr"/>
      <c r="E1921" s="17" t="inlineStr">
        <is>
          <t>Nem tartozik ide</t>
        </is>
      </c>
      <c r="F1921" s="17" t="inlineStr">
        <is>
          <t>az elmúlt 30 napban</t>
        </is>
      </c>
      <c r="G1921" s="17" t="inlineStr">
        <is>
          <t>Más főkategória terméke</t>
        </is>
      </c>
    </row>
    <row r="1922">
      <c r="A1922" s="17" t="inlineStr">
        <is>
          <t>GYSZ0005</t>
        </is>
      </c>
      <c r="B1922" s="17" t="inlineStr">
        <is>
          <t>HPS növénylámpa szett 250W</t>
        </is>
      </c>
      <c r="C1922" s="17" t="inlineStr">
        <is>
          <t>–</t>
        </is>
      </c>
      <c r="D1922" s="17" t="inlineStr"/>
      <c r="E1922" s="17" t="inlineStr">
        <is>
          <t>Nem tartozik ide</t>
        </is>
      </c>
      <c r="F1922" s="17" t="inlineStr">
        <is>
          <t>2024-10 – 2025-09 (lehet, hogy már nem aktív)</t>
        </is>
      </c>
      <c r="G1922" s="17" t="inlineStr">
        <is>
          <t>Más főkategória terméke</t>
        </is>
      </c>
    </row>
    <row r="1923">
      <c r="A1923" s="17" t="inlineStr">
        <is>
          <t>GYSZ0005V</t>
        </is>
      </c>
      <c r="B1923" s="17" t="inlineStr">
        <is>
          <t>Növénynevelő lámpa szett 250W HPS izzó</t>
        </is>
      </c>
      <c r="C1923" s="17" t="inlineStr">
        <is>
          <t>–</t>
        </is>
      </c>
      <c r="D1923" s="17" t="inlineStr"/>
      <c r="E1923" s="17" t="inlineStr">
        <is>
          <t>Nem tartozik ide</t>
        </is>
      </c>
      <c r="F1923" s="17" t="inlineStr">
        <is>
          <t>az elmúlt 30 napban</t>
        </is>
      </c>
      <c r="G1923" s="17" t="inlineStr">
        <is>
          <t>Más főkategória terméke</t>
        </is>
      </c>
    </row>
    <row r="1924">
      <c r="A1924" s="17" t="inlineStr">
        <is>
          <t>GYSZ0006</t>
        </is>
      </c>
      <c r="B1924" s="17" t="inlineStr">
        <is>
          <t>HPS növénylámpa szett 400W</t>
        </is>
      </c>
      <c r="C1924" s="17" t="inlineStr">
        <is>
          <t>–</t>
        </is>
      </c>
      <c r="D1924" s="17" t="inlineStr"/>
      <c r="E1924" s="17" t="inlineStr">
        <is>
          <t>Nem tartozik ide</t>
        </is>
      </c>
      <c r="F1924" s="17" t="inlineStr">
        <is>
          <t>2024-10 – 2025-09 (lehet, hogy már nem aktív)</t>
        </is>
      </c>
      <c r="G1924" s="17" t="inlineStr">
        <is>
          <t>Más főkategória terméke</t>
        </is>
      </c>
    </row>
    <row r="1925">
      <c r="A1925" s="17" t="inlineStr">
        <is>
          <t>GYSZ0006V</t>
        </is>
      </c>
      <c r="B1925" s="17" t="inlineStr">
        <is>
          <t>Növénynevelő lámpa szett 400W HPS izzó</t>
        </is>
      </c>
      <c r="C1925" s="17" t="inlineStr">
        <is>
          <t>–</t>
        </is>
      </c>
      <c r="D1925" s="17" t="inlineStr"/>
      <c r="E1925" s="17" t="inlineStr">
        <is>
          <t>Nem tartozik ide</t>
        </is>
      </c>
      <c r="F1925" s="17" t="inlineStr">
        <is>
          <t>az elmúlt 30 napban</t>
        </is>
      </c>
      <c r="G1925" s="17" t="inlineStr">
        <is>
          <t>Más főkategória terméke</t>
        </is>
      </c>
    </row>
    <row r="1926">
      <c r="A1926" s="17" t="inlineStr">
        <is>
          <t>GYSZ0007</t>
        </is>
      </c>
      <c r="B1926" s="17" t="inlineStr">
        <is>
          <t>HPS növénylámpa szett 600W</t>
        </is>
      </c>
      <c r="C1926" s="17" t="inlineStr">
        <is>
          <t>–</t>
        </is>
      </c>
      <c r="D1926" s="17" t="inlineStr"/>
      <c r="E1926" s="17" t="inlineStr">
        <is>
          <t>Nem tartozik ide</t>
        </is>
      </c>
      <c r="F1926" s="17" t="inlineStr">
        <is>
          <t>2024-10 – 2025-09 (lehet, hogy már nem aktív)</t>
        </is>
      </c>
      <c r="G1926" s="17" t="inlineStr">
        <is>
          <t>Más főkategória terméke</t>
        </is>
      </c>
    </row>
    <row r="1927">
      <c r="A1927" s="17" t="inlineStr">
        <is>
          <t>GYSZ0007V</t>
        </is>
      </c>
      <c r="B1927" s="17" t="inlineStr">
        <is>
          <t>Növénynevelő lámpa szett 600W HPS izzó</t>
        </is>
      </c>
      <c r="C1927" s="17" t="inlineStr">
        <is>
          <t>–</t>
        </is>
      </c>
      <c r="D1927" s="17" t="inlineStr"/>
      <c r="E1927" s="17" t="inlineStr">
        <is>
          <t>Nem tartozik ide</t>
        </is>
      </c>
      <c r="F1927" s="17" t="inlineStr">
        <is>
          <t>az elmúlt 30 napban</t>
        </is>
      </c>
      <c r="G1927" s="17" t="inlineStr">
        <is>
          <t>Más főkategória terméke</t>
        </is>
      </c>
    </row>
    <row r="1928">
      <c r="A1928" s="17" t="inlineStr">
        <is>
          <t>GYSZ0012</t>
        </is>
      </c>
      <c r="B1928" s="17" t="inlineStr">
        <is>
          <t>HPS növénysátor szett kezdőknek 60x60x160 / 150W</t>
        </is>
      </c>
      <c r="C1928" s="17" t="inlineStr">
        <is>
          <t>–</t>
        </is>
      </c>
      <c r="D1928" s="17" t="inlineStr"/>
      <c r="E1928" s="17" t="inlineStr">
        <is>
          <t>Nem tartozik ide</t>
        </is>
      </c>
      <c r="F1928" s="17" t="inlineStr">
        <is>
          <t>2024-10 – 2025-09 (lehet, hogy már nem aktív)</t>
        </is>
      </c>
      <c r="G1928" s="17" t="inlineStr">
        <is>
          <t>Más főkategória terméke</t>
        </is>
      </c>
    </row>
    <row r="1929">
      <c r="A1929" s="17" t="inlineStr">
        <is>
          <t>GYSZ0013</t>
        </is>
      </c>
      <c r="B1929" s="17" t="inlineStr">
        <is>
          <t>Kezdő HPS Grow Box szett 250W / 80x80x160</t>
        </is>
      </c>
      <c r="C1929" s="17" t="inlineStr">
        <is>
          <t>–</t>
        </is>
      </c>
      <c r="D1929" s="17" t="inlineStr"/>
      <c r="E1929" s="17" t="inlineStr">
        <is>
          <t>Nem tartozik ide</t>
        </is>
      </c>
      <c r="F1929" s="17" t="inlineStr">
        <is>
          <t>2024-10 – 2025-09 (lehet, hogy már nem aktív)</t>
        </is>
      </c>
      <c r="G1929" s="17" t="inlineStr">
        <is>
          <t>Más főkategória terméke</t>
        </is>
      </c>
    </row>
    <row r="1930">
      <c r="A1930" s="17" t="inlineStr">
        <is>
          <t>GYSZ0013V</t>
        </is>
      </c>
      <c r="B1930" s="17" t="inlineStr">
        <is>
          <t>Kezdő HPS Grow Box szett 250W / 80x80x178</t>
        </is>
      </c>
      <c r="C1930" s="17" t="inlineStr">
        <is>
          <t>–</t>
        </is>
      </c>
      <c r="D1930" s="17" t="inlineStr"/>
      <c r="E1930" s="17" t="inlineStr">
        <is>
          <t>Nem tartozik ide</t>
        </is>
      </c>
      <c r="F1930" s="17" t="inlineStr">
        <is>
          <t>az elmúlt 30 napban</t>
        </is>
      </c>
      <c r="G1930" s="17" t="inlineStr">
        <is>
          <t>Más főkategória terméke</t>
        </is>
      </c>
    </row>
    <row r="1931">
      <c r="A1931" s="17" t="inlineStr">
        <is>
          <t>GYSZ0015</t>
        </is>
      </c>
      <c r="B1931" s="17" t="inlineStr">
        <is>
          <t>Kezdő HPS Grow Box szett 400W / 100x100x200</t>
        </is>
      </c>
      <c r="C1931" s="17" t="inlineStr">
        <is>
          <t>–</t>
        </is>
      </c>
      <c r="D1931" s="17" t="inlineStr"/>
      <c r="E1931" s="17" t="inlineStr">
        <is>
          <t>Nem tartozik ide</t>
        </is>
      </c>
      <c r="F1931" s="17" t="inlineStr">
        <is>
          <t>2024-10 – 2025-09 (lehet, hogy már nem aktív)</t>
        </is>
      </c>
      <c r="G1931" s="17" t="inlineStr">
        <is>
          <t>Más főkategória terméke</t>
        </is>
      </c>
    </row>
    <row r="1932">
      <c r="A1932" s="17" t="inlineStr">
        <is>
          <t>GYSZ0015V</t>
        </is>
      </c>
      <c r="B1932" s="17" t="inlineStr">
        <is>
          <t>Kezdő HPS Grow Box szett 400W / 100x100x200</t>
        </is>
      </c>
      <c r="C1932" s="17" t="inlineStr">
        <is>
          <t>–</t>
        </is>
      </c>
      <c r="D1932" s="17" t="inlineStr"/>
      <c r="E1932" s="17" t="inlineStr">
        <is>
          <t>Nem tartozik ide</t>
        </is>
      </c>
      <c r="F1932" s="17" t="inlineStr">
        <is>
          <t>az elmúlt 30 napban</t>
        </is>
      </c>
      <c r="G1932" s="17" t="inlineStr">
        <is>
          <t>Más főkategória terméke</t>
        </is>
      </c>
    </row>
    <row r="1933">
      <c r="A1933" s="17" t="inlineStr">
        <is>
          <t>GYSZ0016</t>
        </is>
      </c>
      <c r="B1933" s="17" t="inlineStr">
        <is>
          <t>Kezdő HPS Grow Box szett 600W / 120x120x200</t>
        </is>
      </c>
      <c r="C1933" s="17" t="inlineStr">
        <is>
          <t>–</t>
        </is>
      </c>
      <c r="D1933" s="17" t="inlineStr"/>
      <c r="E1933" s="17" t="inlineStr">
        <is>
          <t>Nem tartozik ide</t>
        </is>
      </c>
      <c r="F1933" s="17" t="inlineStr">
        <is>
          <t>2024-10 – 2025-09 (lehet, hogy már nem aktív)</t>
        </is>
      </c>
      <c r="G1933" s="17" t="inlineStr">
        <is>
          <t>Más főkategória terméke</t>
        </is>
      </c>
    </row>
    <row r="1934">
      <c r="A1934" s="17" t="inlineStr">
        <is>
          <t>GYSZ0016V</t>
        </is>
      </c>
      <c r="B1934" s="17" t="inlineStr">
        <is>
          <t>Kezdő HPS Grow Box szett 600W / 120x120x200</t>
        </is>
      </c>
      <c r="C1934" s="17" t="inlineStr">
        <is>
          <t>–</t>
        </is>
      </c>
      <c r="D1934" s="17" t="inlineStr"/>
      <c r="E1934" s="17" t="inlineStr">
        <is>
          <t>Nem tartozik ide</t>
        </is>
      </c>
      <c r="F1934" s="17" t="inlineStr">
        <is>
          <t>az elmúlt 30 napban</t>
        </is>
      </c>
      <c r="G1934" s="17" t="inlineStr">
        <is>
          <t>Más főkategória terméke</t>
        </is>
      </c>
    </row>
    <row r="1935">
      <c r="A1935" s="17" t="inlineStr">
        <is>
          <t>GYSZ0018</t>
        </is>
      </c>
      <c r="B1935" s="17" t="inlineStr">
        <is>
          <t>HPS növénysátor szett haladóknak 120x120x200 / 600W</t>
        </is>
      </c>
      <c r="C1935" s="17" t="inlineStr">
        <is>
          <t>–</t>
        </is>
      </c>
      <c r="D1935" s="17" t="inlineStr"/>
      <c r="E1935" s="17" t="inlineStr">
        <is>
          <t>Nem tartozik ide</t>
        </is>
      </c>
      <c r="F1935" s="17" t="inlineStr">
        <is>
          <t>2024-10 – 2025-09 (lehet, hogy már nem aktív)</t>
        </is>
      </c>
      <c r="G1935" s="17" t="inlineStr">
        <is>
          <t>Más főkategória terméke</t>
        </is>
      </c>
    </row>
    <row r="1936">
      <c r="A1936" s="17" t="inlineStr">
        <is>
          <t>GYSZ0018V</t>
        </is>
      </c>
      <c r="B1936" s="17" t="inlineStr">
        <is>
          <t>Haladó HPS Grow Box szett 600W / 120x120x200</t>
        </is>
      </c>
      <c r="C1936" s="17" t="inlineStr">
        <is>
          <t>–</t>
        </is>
      </c>
      <c r="D1936" s="17" t="inlineStr"/>
      <c r="E1936" s="17" t="inlineStr">
        <is>
          <t>Nem tartozik ide</t>
        </is>
      </c>
      <c r="F1936" s="17" t="inlineStr">
        <is>
          <t>az elmúlt 30 napban</t>
        </is>
      </c>
      <c r="G1936" s="17" t="inlineStr">
        <is>
          <t>Más főkategória terméke</t>
        </is>
      </c>
    </row>
    <row r="1937">
      <c r="A1937" s="17" t="inlineStr">
        <is>
          <t>GYSZ0023</t>
        </is>
      </c>
      <c r="B1937" s="17" t="inlineStr">
        <is>
          <t>HPS növénylámpa szett 600W Adjust-A-Wings &amp; Digitális trafó</t>
        </is>
      </c>
      <c r="C1937" s="17" t="inlineStr">
        <is>
          <t>–</t>
        </is>
      </c>
      <c r="D1937" s="17" t="inlineStr"/>
      <c r="E1937" s="17" t="inlineStr">
        <is>
          <t>Nem tartozik ide</t>
        </is>
      </c>
      <c r="F1937" s="17" t="inlineStr">
        <is>
          <t>2024-10 – 2025-09 (lehet, hogy már nem aktív)</t>
        </is>
      </c>
      <c r="G1937" s="17" t="inlineStr">
        <is>
          <t>Más főkategória terméke</t>
        </is>
      </c>
    </row>
    <row r="1938">
      <c r="A1938" s="17" t="inlineStr">
        <is>
          <t>GYSZ0023V</t>
        </is>
      </c>
      <c r="B1938" s="17" t="inlineStr">
        <is>
          <t>Növénynevelő lámpa szett 600W HPS &amp; AAW &amp; Digitális trafó</t>
        </is>
      </c>
      <c r="C1938" s="17" t="inlineStr">
        <is>
          <t>–</t>
        </is>
      </c>
      <c r="D1938" s="17" t="inlineStr"/>
      <c r="E1938" s="17" t="inlineStr">
        <is>
          <t>Nem tartozik ide</t>
        </is>
      </c>
      <c r="F1938" s="17" t="inlineStr">
        <is>
          <t>az elmúlt 30 napban</t>
        </is>
      </c>
      <c r="G1938" s="17" t="inlineStr">
        <is>
          <t>Más főkategória terméke</t>
        </is>
      </c>
    </row>
    <row r="1939">
      <c r="A1939" s="17" t="inlineStr">
        <is>
          <t>GYSZ0024V</t>
        </is>
      </c>
      <c r="B1939" s="17" t="inlineStr">
        <is>
          <t>Nutriculture X-Stream Heat fűthető propagátor Small + termosztát</t>
        </is>
      </c>
      <c r="C1939" s="17" t="inlineStr">
        <is>
          <t>–</t>
        </is>
      </c>
      <c r="D1939" s="17" t="inlineStr"/>
      <c r="E1939" s="17" t="inlineStr">
        <is>
          <t>Nem tartozik ide</t>
        </is>
      </c>
      <c r="F1939" s="17" t="inlineStr">
        <is>
          <t>az elmúlt 30 napban</t>
        </is>
      </c>
      <c r="G1939" s="17" t="inlineStr">
        <is>
          <t>Más főkategória terméke</t>
        </is>
      </c>
    </row>
    <row r="1940">
      <c r="A1940" s="17" t="inlineStr">
        <is>
          <t>GYSZ0029</t>
        </is>
      </c>
      <c r="B1940" s="17" t="inlineStr">
        <is>
          <t>Kezdő hidro szett</t>
        </is>
      </c>
      <c r="C1940" s="17" t="inlineStr">
        <is>
          <t>–</t>
        </is>
      </c>
      <c r="D1940" s="17" t="inlineStr"/>
      <c r="E1940" s="17" t="inlineStr">
        <is>
          <t>Nem tartozik ide</t>
        </is>
      </c>
      <c r="F1940" s="17" t="inlineStr">
        <is>
          <t>2024-10 – 2025-09 (lehet, hogy már nem aktív)</t>
        </is>
      </c>
      <c r="G1940" s="17" t="inlineStr">
        <is>
          <t>Más főkategória terméke</t>
        </is>
      </c>
    </row>
    <row r="1941">
      <c r="A1941" s="17" t="inlineStr">
        <is>
          <t>GYSZ0029V</t>
        </is>
      </c>
      <c r="B1941" s="17" t="inlineStr">
        <is>
          <t>Kezdő hidrocsomag</t>
        </is>
      </c>
      <c r="C1941" s="17" t="inlineStr">
        <is>
          <t>–</t>
        </is>
      </c>
      <c r="D1941" s="17" t="inlineStr"/>
      <c r="E1941" s="17" t="inlineStr">
        <is>
          <t>Nem tartozik ide</t>
        </is>
      </c>
      <c r="F1941" s="17" t="inlineStr">
        <is>
          <t>az elmúlt 30 napban</t>
        </is>
      </c>
      <c r="G1941" s="17" t="inlineStr">
        <is>
          <t>Más főkategória terméke</t>
        </is>
      </c>
    </row>
    <row r="1942">
      <c r="A1942" s="17" t="inlineStr">
        <is>
          <t>GYSZ0033</t>
        </is>
      </c>
      <c r="B1942" s="17" t="inlineStr">
        <is>
          <t>Nutripot Vega DWC hidrorendszer 6 növényhez 82x53x37 cm 70 L</t>
        </is>
      </c>
      <c r="C1942" s="17" t="inlineStr">
        <is>
          <t>–</t>
        </is>
      </c>
      <c r="D1942" s="17" t="inlineStr"/>
      <c r="E1942" s="17" t="inlineStr">
        <is>
          <t>Nem tartozik ide</t>
        </is>
      </c>
      <c r="F1942" s="17" t="inlineStr">
        <is>
          <t>2025-10 – 2026-04</t>
        </is>
      </c>
      <c r="G1942" s="17" t="inlineStr">
        <is>
          <t>Más főkategória terméke</t>
        </is>
      </c>
    </row>
    <row r="1943">
      <c r="A1943" s="17" t="inlineStr">
        <is>
          <t>GYSZ0034</t>
        </is>
      </c>
      <c r="B1943" s="17" t="inlineStr">
        <is>
          <t>Nutripot Vega DWC hidrorendszer 9 növényhez 83x83x35cm 110L</t>
        </is>
      </c>
      <c r="C1943" s="17" t="inlineStr">
        <is>
          <t>–</t>
        </is>
      </c>
      <c r="D1943" s="17" t="inlineStr"/>
      <c r="E1943" s="17" t="inlineStr">
        <is>
          <t>Nem tartozik ide</t>
        </is>
      </c>
      <c r="F1943" s="17" t="inlineStr">
        <is>
          <t>az elmúlt 30 napban</t>
        </is>
      </c>
      <c r="G1943" s="17" t="inlineStr">
        <is>
          <t>Más főkategória terméke</t>
        </is>
      </c>
    </row>
    <row r="1944">
      <c r="A1944" s="17" t="inlineStr">
        <is>
          <t>GYSZ0053V</t>
        </is>
      </c>
      <c r="B1944" s="17" t="inlineStr">
        <is>
          <t>Kiegészítő csomag sátorszettekhez</t>
        </is>
      </c>
      <c r="C1944" s="17" t="inlineStr">
        <is>
          <t>–</t>
        </is>
      </c>
      <c r="D1944" s="17" t="inlineStr"/>
      <c r="E1944" s="17" t="inlineStr">
        <is>
          <t>Nem tartozik ide</t>
        </is>
      </c>
      <c r="F1944" s="17" t="inlineStr">
        <is>
          <t>az elmúlt 30 napban</t>
        </is>
      </c>
      <c r="G1944" s="17" t="inlineStr">
        <is>
          <t>Más főkategória terméke</t>
        </is>
      </c>
    </row>
    <row r="1945">
      <c r="A1945" s="17" t="inlineStr">
        <is>
          <t>GYSZ0054</t>
        </is>
      </c>
      <c r="B1945" s="17" t="inlineStr">
        <is>
          <t>Haladó LED Grow Box szett 200W / 80x80x178 cm</t>
        </is>
      </c>
      <c r="C1945" s="17" t="inlineStr">
        <is>
          <t>–</t>
        </is>
      </c>
      <c r="D1945" s="17" t="inlineStr"/>
      <c r="E1945" s="17" t="inlineStr">
        <is>
          <t>Nem tartozik ide</t>
        </is>
      </c>
      <c r="F1945" s="17" t="inlineStr">
        <is>
          <t>2024-10 – 2025-09 (lehet, hogy már nem aktív)</t>
        </is>
      </c>
      <c r="G1945" s="17" t="inlineStr">
        <is>
          <t>Más főkategória terméke</t>
        </is>
      </c>
    </row>
    <row r="1946">
      <c r="A1946" s="17" t="inlineStr">
        <is>
          <t>GYSZ0054V</t>
        </is>
      </c>
      <c r="B1946" s="17" t="inlineStr">
        <is>
          <t>Haladó LED Grow Box szett 200W / 80x80x178 cm</t>
        </is>
      </c>
      <c r="C1946" s="17" t="inlineStr">
        <is>
          <t>–</t>
        </is>
      </c>
      <c r="D1946" s="17" t="inlineStr"/>
      <c r="E1946" s="17" t="inlineStr">
        <is>
          <t>Nem tartozik ide</t>
        </is>
      </c>
      <c r="F1946" s="17" t="inlineStr">
        <is>
          <t>az elmúlt 30 napban</t>
        </is>
      </c>
      <c r="G1946" s="17" t="inlineStr">
        <is>
          <t>Más főkategória terméke</t>
        </is>
      </c>
    </row>
    <row r="1947">
      <c r="A1947" s="17" t="inlineStr">
        <is>
          <t>GYSZ0059</t>
        </is>
      </c>
      <c r="B1947" s="17" t="inlineStr">
        <is>
          <t>Haladó LED Grow Box szett 100W / 60x60x160</t>
        </is>
      </c>
      <c r="C1947" s="17" t="inlineStr">
        <is>
          <t>–</t>
        </is>
      </c>
      <c r="D1947" s="17" t="inlineStr"/>
      <c r="E1947" s="17" t="inlineStr">
        <is>
          <t>Nem tartozik ide</t>
        </is>
      </c>
      <c r="F1947" s="17" t="inlineStr">
        <is>
          <t>2024-10 – 2025-09 (lehet, hogy már nem aktív)</t>
        </is>
      </c>
      <c r="G1947" s="17" t="inlineStr">
        <is>
          <t>Más főkategória terméke</t>
        </is>
      </c>
    </row>
    <row r="1948">
      <c r="A1948" s="17" t="inlineStr">
        <is>
          <t>GYSZ0059V</t>
        </is>
      </c>
      <c r="B1948" s="17" t="inlineStr">
        <is>
          <t>Haladó LED Grow Box szett 100W / 60x60x160</t>
        </is>
      </c>
      <c r="C1948" s="17" t="inlineStr">
        <is>
          <t>–</t>
        </is>
      </c>
      <c r="D1948" s="17" t="inlineStr"/>
      <c r="E1948" s="17" t="inlineStr">
        <is>
          <t>Nem tartozik ide</t>
        </is>
      </c>
      <c r="F1948" s="17" t="inlineStr">
        <is>
          <t>az elmúlt 30 napban</t>
        </is>
      </c>
      <c r="G1948" s="17" t="inlineStr">
        <is>
          <t>Más főkategória terméke</t>
        </is>
      </c>
    </row>
    <row r="1949">
      <c r="A1949" s="17" t="inlineStr">
        <is>
          <t>GYSZ0060</t>
        </is>
      </c>
      <c r="B1949" s="17" t="inlineStr">
        <is>
          <t>Haladó LED Grow Box szett 300W / 100x100x200</t>
        </is>
      </c>
      <c r="C1949" s="17" t="inlineStr">
        <is>
          <t>–</t>
        </is>
      </c>
      <c r="D1949" s="17" t="inlineStr"/>
      <c r="E1949" s="17" t="inlineStr">
        <is>
          <t>Nem tartozik ide</t>
        </is>
      </c>
      <c r="F1949" s="17" t="inlineStr">
        <is>
          <t>2024-10 – 2025-09 (lehet, hogy már nem aktív)</t>
        </is>
      </c>
      <c r="G1949" s="17" t="inlineStr">
        <is>
          <t>Más főkategória terméke</t>
        </is>
      </c>
    </row>
    <row r="1950">
      <c r="A1950" s="17" t="inlineStr">
        <is>
          <t>GYSZ0060V</t>
        </is>
      </c>
      <c r="B1950" s="17" t="inlineStr">
        <is>
          <t>Haladó LED Grow Box szett 320W / 100x100x200</t>
        </is>
      </c>
      <c r="C1950" s="17" t="inlineStr">
        <is>
          <t>–</t>
        </is>
      </c>
      <c r="D1950" s="17" t="inlineStr"/>
      <c r="E1950" s="17" t="inlineStr">
        <is>
          <t>Nem tartozik ide</t>
        </is>
      </c>
      <c r="F1950" s="17" t="inlineStr">
        <is>
          <t>az elmúlt 30 napban</t>
        </is>
      </c>
      <c r="G1950" s="17" t="inlineStr">
        <is>
          <t>Más főkategória terméke</t>
        </is>
      </c>
    </row>
    <row r="1951">
      <c r="A1951" s="17" t="inlineStr">
        <is>
          <t>GYSZ0061</t>
        </is>
      </c>
      <c r="B1951" s="17" t="inlineStr">
        <is>
          <t>Kábel 1,5 mm 3 m</t>
        </is>
      </c>
      <c r="C1951" s="17" t="inlineStr">
        <is>
          <t>–</t>
        </is>
      </c>
      <c r="D1951" s="17" t="inlineStr"/>
      <c r="E1951" s="17" t="inlineStr">
        <is>
          <t>Nem tartozik ide</t>
        </is>
      </c>
      <c r="F1951" s="17" t="inlineStr">
        <is>
          <t>2025-10 – 2026-04</t>
        </is>
      </c>
      <c r="G1951" s="17" t="inlineStr">
        <is>
          <t>Más főkategória terméke</t>
        </is>
      </c>
    </row>
    <row r="1952">
      <c r="A1952" s="17" t="inlineStr">
        <is>
          <t>GYSZ0062</t>
        </is>
      </c>
      <c r="B1952" s="17" t="inlineStr">
        <is>
          <t>Kezdő LED Grow Box szett 120W / 60x60x140</t>
        </is>
      </c>
      <c r="C1952" s="17" t="inlineStr">
        <is>
          <t>–</t>
        </is>
      </c>
      <c r="D1952" s="17" t="inlineStr"/>
      <c r="E1952" s="17" t="inlineStr">
        <is>
          <t>Nem tartozik ide</t>
        </is>
      </c>
      <c r="F1952" s="17" t="inlineStr">
        <is>
          <t>2024-10 – 2025-09 (lehet, hogy már nem aktív)</t>
        </is>
      </c>
      <c r="G1952" s="17" t="inlineStr">
        <is>
          <t>Más főkategória terméke</t>
        </is>
      </c>
    </row>
    <row r="1953">
      <c r="A1953" s="17" t="inlineStr">
        <is>
          <t>GYSZ0062V</t>
        </is>
      </c>
      <c r="B1953" s="17" t="inlineStr">
        <is>
          <t>Kezdő LED Grow Box szett 120W / 60x60x160</t>
        </is>
      </c>
      <c r="C1953" s="17" t="inlineStr">
        <is>
          <t>–</t>
        </is>
      </c>
      <c r="D1953" s="17" t="inlineStr"/>
      <c r="E1953" s="17" t="inlineStr">
        <is>
          <t>Nem tartozik ide</t>
        </is>
      </c>
      <c r="F1953" s="17" t="inlineStr">
        <is>
          <t>az elmúlt 30 napban</t>
        </is>
      </c>
      <c r="G1953" s="17" t="inlineStr">
        <is>
          <t>Más főkategória terméke</t>
        </is>
      </c>
    </row>
    <row r="1954">
      <c r="A1954" s="17" t="inlineStr">
        <is>
          <t>GYSZ0063</t>
        </is>
      </c>
      <c r="B1954" s="17" t="inlineStr">
        <is>
          <t>Kezdő LED Grow Box szett 240W / 80x80x160</t>
        </is>
      </c>
      <c r="C1954" s="17" t="inlineStr">
        <is>
          <t>–</t>
        </is>
      </c>
      <c r="D1954" s="17" t="inlineStr"/>
      <c r="E1954" s="17" t="inlineStr">
        <is>
          <t>Nem tartozik ide</t>
        </is>
      </c>
      <c r="F1954" s="17" t="inlineStr">
        <is>
          <t>2024-10 – 2025-09 (lehet, hogy már nem aktív)</t>
        </is>
      </c>
      <c r="G1954" s="17" t="inlineStr">
        <is>
          <t>Más főkategória terméke</t>
        </is>
      </c>
    </row>
    <row r="1955">
      <c r="A1955" s="17" t="inlineStr">
        <is>
          <t>GYSZ0063V</t>
        </is>
      </c>
      <c r="B1955" s="17" t="inlineStr">
        <is>
          <t>Kezdő LED Grow Box szett 240W / 80x80x178</t>
        </is>
      </c>
      <c r="C1955" s="17" t="inlineStr">
        <is>
          <t>–</t>
        </is>
      </c>
      <c r="D1955" s="17" t="inlineStr"/>
      <c r="E1955" s="17" t="inlineStr">
        <is>
          <t>Nem tartozik ide</t>
        </is>
      </c>
      <c r="F1955" s="17" t="inlineStr">
        <is>
          <t>az elmúlt 30 napban</t>
        </is>
      </c>
      <c r="G1955" s="17" t="inlineStr">
        <is>
          <t>Más főkategória terméke</t>
        </is>
      </c>
    </row>
    <row r="1956">
      <c r="A1956" s="17" t="inlineStr">
        <is>
          <t>GYSZ0064</t>
        </is>
      </c>
      <c r="B1956" s="17" t="inlineStr">
        <is>
          <t>Kezdő LED Grow Box szett 360W / 100x100x200</t>
        </is>
      </c>
      <c r="C1956" s="17" t="inlineStr">
        <is>
          <t>–</t>
        </is>
      </c>
      <c r="D1956" s="17" t="inlineStr"/>
      <c r="E1956" s="17" t="inlineStr">
        <is>
          <t>Nem tartozik ide</t>
        </is>
      </c>
      <c r="F1956" s="17" t="inlineStr">
        <is>
          <t>2024-10 – 2025-09 (lehet, hogy már nem aktív)</t>
        </is>
      </c>
      <c r="G1956" s="17" t="inlineStr">
        <is>
          <t>Más főkategória terméke</t>
        </is>
      </c>
    </row>
    <row r="1957">
      <c r="A1957" s="17" t="inlineStr">
        <is>
          <t>GYSZ0064V</t>
        </is>
      </c>
      <c r="B1957" s="17" t="inlineStr">
        <is>
          <t>Kezdő LED Grow Box szett 360W / 100x100x200</t>
        </is>
      </c>
      <c r="C1957" s="17" t="inlineStr">
        <is>
          <t>–</t>
        </is>
      </c>
      <c r="D1957" s="17" t="inlineStr"/>
      <c r="E1957" s="17" t="inlineStr">
        <is>
          <t>Nem tartozik ide</t>
        </is>
      </c>
      <c r="F1957" s="17" t="inlineStr">
        <is>
          <t>az elmúlt 30 napban</t>
        </is>
      </c>
      <c r="G1957" s="17" t="inlineStr">
        <is>
          <t>Más főkategória terméke</t>
        </is>
      </c>
    </row>
    <row r="1958">
      <c r="A1958" s="17" t="inlineStr">
        <is>
          <t>GYSZ0065</t>
        </is>
      </c>
      <c r="B1958" s="17" t="inlineStr">
        <is>
          <t>Haladó LED Grow Box szett 720W / 120x120x200</t>
        </is>
      </c>
      <c r="C1958" s="17" t="inlineStr">
        <is>
          <t>–</t>
        </is>
      </c>
      <c r="D1958" s="17" t="inlineStr"/>
      <c r="E1958" s="17" t="inlineStr">
        <is>
          <t>Nem tartozik ide</t>
        </is>
      </c>
      <c r="F1958" s="17" t="inlineStr">
        <is>
          <t>2024-10 – 2025-09 (lehet, hogy már nem aktív)</t>
        </is>
      </c>
      <c r="G1958" s="17" t="inlineStr">
        <is>
          <t>Más főkategória terméke</t>
        </is>
      </c>
    </row>
    <row r="1959">
      <c r="A1959" s="17" t="inlineStr">
        <is>
          <t>GYSZ0065V</t>
        </is>
      </c>
      <c r="B1959" s="17" t="inlineStr">
        <is>
          <t>Haladó LED Grow Box szett 730W / 120x120x200</t>
        </is>
      </c>
      <c r="C1959" s="17" t="inlineStr">
        <is>
          <t>–</t>
        </is>
      </c>
      <c r="D1959" s="17" t="inlineStr"/>
      <c r="E1959" s="17" t="inlineStr">
        <is>
          <t>Nem tartozik ide</t>
        </is>
      </c>
      <c r="F1959" s="17" t="inlineStr">
        <is>
          <t>az elmúlt 30 napban</t>
        </is>
      </c>
      <c r="G1959" s="17" t="inlineStr">
        <is>
          <t>Más főkategória terméke</t>
        </is>
      </c>
    </row>
    <row r="1960">
      <c r="A1960" s="17" t="inlineStr">
        <is>
          <t>GYSZ0066</t>
        </is>
      </c>
      <c r="B1960" s="17" t="inlineStr">
        <is>
          <t>Haladó LED Grow Box szett 720W / 150x150x235</t>
        </is>
      </c>
      <c r="C1960" s="17" t="inlineStr">
        <is>
          <t>–</t>
        </is>
      </c>
      <c r="D1960" s="17" t="inlineStr"/>
      <c r="E1960" s="17" t="inlineStr">
        <is>
          <t>Nem tartozik ide</t>
        </is>
      </c>
      <c r="F1960" s="17" t="inlineStr">
        <is>
          <t>2024-10 – 2025-09 (lehet, hogy már nem aktív)</t>
        </is>
      </c>
      <c r="G1960" s="17" t="inlineStr">
        <is>
          <t>Más főkategória terméke</t>
        </is>
      </c>
    </row>
    <row r="1961">
      <c r="A1961" s="17" t="inlineStr">
        <is>
          <t>GYSZ0066V</t>
        </is>
      </c>
      <c r="B1961" s="17" t="inlineStr">
        <is>
          <t>Haladó LED Grow Box szett 730W / 150x150x200</t>
        </is>
      </c>
      <c r="C1961" s="17" t="inlineStr">
        <is>
          <t>–</t>
        </is>
      </c>
      <c r="D1961" s="17" t="inlineStr"/>
      <c r="E1961" s="17" t="inlineStr">
        <is>
          <t>Nem tartozik ide</t>
        </is>
      </c>
      <c r="F1961" s="17" t="inlineStr">
        <is>
          <t>az elmúlt 30 napban</t>
        </is>
      </c>
      <c r="G1961" s="17" t="inlineStr">
        <is>
          <t>Más főkategória terméke</t>
        </is>
      </c>
    </row>
    <row r="1962">
      <c r="A1962" s="17" t="inlineStr">
        <is>
          <t>GYSZ0067</t>
        </is>
      </c>
      <c r="B1962" s="17" t="inlineStr">
        <is>
          <t>Haladó LED Grow Box szett 600W / 150x150x235</t>
        </is>
      </c>
      <c r="C1962" s="17" t="inlineStr">
        <is>
          <t>–</t>
        </is>
      </c>
      <c r="D1962" s="17" t="inlineStr"/>
      <c r="E1962" s="17" t="inlineStr">
        <is>
          <t>Nem tartozik ide</t>
        </is>
      </c>
      <c r="F1962" s="17" t="inlineStr">
        <is>
          <t>2024-10 – 2025-09 (lehet, hogy már nem aktív)</t>
        </is>
      </c>
      <c r="G1962" s="17" t="inlineStr">
        <is>
          <t>Más főkategória terméke</t>
        </is>
      </c>
    </row>
    <row r="1963">
      <c r="A1963" s="17" t="inlineStr">
        <is>
          <t>GYSZ0067V</t>
        </is>
      </c>
      <c r="B1963" s="17" t="inlineStr">
        <is>
          <t>Haladó LED Grow Box szett 550W / 150x150x200</t>
        </is>
      </c>
      <c r="C1963" s="17" t="inlineStr">
        <is>
          <t>–</t>
        </is>
      </c>
      <c r="D1963" s="17" t="inlineStr"/>
      <c r="E1963" s="17" t="inlineStr">
        <is>
          <t>Nem tartozik ide</t>
        </is>
      </c>
      <c r="F1963" s="17" t="inlineStr">
        <is>
          <t>az elmúlt 30 napban</t>
        </is>
      </c>
      <c r="G1963" s="17" t="inlineStr">
        <is>
          <t>Más főkategória terméke</t>
        </is>
      </c>
    </row>
    <row r="1964">
      <c r="A1964" s="17" t="inlineStr">
        <is>
          <t>GYUJTO0135</t>
        </is>
      </c>
      <c r="B1964" s="17" t="inlineStr">
        <is>
          <t>Cool Tube + Szárnyas Reflektor</t>
        </is>
      </c>
      <c r="C1964" s="17" t="inlineStr">
        <is>
          <t>–</t>
        </is>
      </c>
      <c r="D1964" s="17" t="inlineStr"/>
      <c r="E1964" s="17" t="inlineStr">
        <is>
          <t>Nem tartozik ide</t>
        </is>
      </c>
      <c r="F1964" s="17" t="inlineStr">
        <is>
          <t>2025-10 – 2026-04</t>
        </is>
      </c>
      <c r="G1964" s="17" t="inlineStr">
        <is>
          <t>Más főkategória terméke</t>
        </is>
      </c>
    </row>
    <row r="1965">
      <c r="A1965" s="17" t="inlineStr">
        <is>
          <t>GYUJTO0205</t>
        </is>
      </c>
      <c r="B1965" s="17" t="inlineStr">
        <is>
          <t>Lumatek ZEUS LED 1000 W</t>
        </is>
      </c>
      <c r="C1965" s="17" t="inlineStr">
        <is>
          <t>–</t>
        </is>
      </c>
      <c r="D1965" s="17" t="inlineStr"/>
      <c r="E1965" s="17" t="inlineStr">
        <is>
          <t>Nem tartozik ide</t>
        </is>
      </c>
      <c r="F1965" s="17" t="inlineStr">
        <is>
          <t>2024-10 – 2025-09 (lehet, hogy már nem aktív)</t>
        </is>
      </c>
      <c r="G1965" s="17" t="inlineStr">
        <is>
          <t>Más főkategória terméke</t>
        </is>
      </c>
    </row>
    <row r="1966">
      <c r="A1966" s="17" t="inlineStr">
        <is>
          <t>GYUJTO0319</t>
        </is>
      </c>
      <c r="B1966" s="17" t="inlineStr">
        <is>
          <t>Plagron Europebbles hidrogolyók</t>
        </is>
      </c>
      <c r="C1966" s="17" t="inlineStr">
        <is>
          <t>–</t>
        </is>
      </c>
      <c r="D1966" s="17" t="inlineStr"/>
      <c r="E1966" s="17" t="inlineStr">
        <is>
          <t>Nem tartozik ide</t>
        </is>
      </c>
      <c r="F1966" s="17" t="inlineStr">
        <is>
          <t>az elmúlt 30 napban</t>
        </is>
      </c>
      <c r="G1966" s="17" t="inlineStr">
        <is>
          <t>Más főkategória terméke</t>
        </is>
      </c>
    </row>
    <row r="1967">
      <c r="A1967" s="17" t="inlineStr">
        <is>
          <t>GYUJTO0485</t>
        </is>
      </c>
      <c r="B1967" s="17" t="inlineStr">
        <is>
          <t>VENTS fém T idom</t>
        </is>
      </c>
      <c r="C1967" s="17" t="inlineStr">
        <is>
          <t>–</t>
        </is>
      </c>
      <c r="D1967" s="17" t="inlineStr"/>
      <c r="E1967" s="17" t="inlineStr">
        <is>
          <t>Nem tartozik ide</t>
        </is>
      </c>
      <c r="F1967" s="17" t="inlineStr">
        <is>
          <t>2024-10 – 2025-09 (lehet, hogy már nem aktív)</t>
        </is>
      </c>
      <c r="G1967" s="17" t="inlineStr">
        <is>
          <t>Más főkategória terméke</t>
        </is>
      </c>
    </row>
    <row r="1968">
      <c r="A1968" s="17" t="inlineStr">
        <is>
          <t>HED0413</t>
        </is>
      </c>
      <c r="B1968" s="17" t="inlineStr">
        <is>
          <t>Kalibráló súly 100g</t>
        </is>
      </c>
      <c r="C1968" s="17" t="inlineStr">
        <is>
          <t>–</t>
        </is>
      </c>
      <c r="D1968" s="17" t="inlineStr"/>
      <c r="E1968" s="17" t="inlineStr">
        <is>
          <t>Nem tartozik ide</t>
        </is>
      </c>
      <c r="F1968" s="17" t="inlineStr">
        <is>
          <t>az elmúlt 30 napban</t>
        </is>
      </c>
      <c r="G1968" s="17" t="inlineStr">
        <is>
          <t>Más főkategória terméke</t>
        </is>
      </c>
    </row>
    <row r="1969">
      <c r="A1969" s="17" t="inlineStr">
        <is>
          <t>HED0414</t>
        </is>
      </c>
      <c r="B1969" s="17" t="inlineStr">
        <is>
          <t>Kalibráló súly 200 g</t>
        </is>
      </c>
      <c r="C1969" s="17" t="inlineStr">
        <is>
          <t>–</t>
        </is>
      </c>
      <c r="D1969" s="17" t="inlineStr"/>
      <c r="E1969" s="17" t="inlineStr">
        <is>
          <t>Nem tartozik ide</t>
        </is>
      </c>
      <c r="F1969" s="17" t="inlineStr">
        <is>
          <t>az elmúlt 30 napban</t>
        </is>
      </c>
      <c r="G1969" s="17" t="inlineStr">
        <is>
          <t>Más főkategória terméke</t>
        </is>
      </c>
    </row>
    <row r="1970">
      <c r="A1970" s="17" t="inlineStr">
        <is>
          <t>HED0415</t>
        </is>
      </c>
      <c r="B1970" s="17" t="inlineStr">
        <is>
          <t>Kalibráló súly 500 g</t>
        </is>
      </c>
      <c r="C1970" s="17" t="inlineStr">
        <is>
          <t>–</t>
        </is>
      </c>
      <c r="D1970" s="17" t="inlineStr"/>
      <c r="E1970" s="17" t="inlineStr">
        <is>
          <t>Nem tartozik ide</t>
        </is>
      </c>
      <c r="F1970" s="17" t="inlineStr">
        <is>
          <t>az elmúlt 30 napban</t>
        </is>
      </c>
      <c r="G1970" s="17" t="inlineStr">
        <is>
          <t>Más főkategória terméke</t>
        </is>
      </c>
    </row>
    <row r="1971">
      <c r="A1971" s="17" t="inlineStr">
        <is>
          <t>HED0724</t>
        </is>
      </c>
      <c r="B1971" s="17" t="inlineStr">
        <is>
          <t>Secret shaker</t>
        </is>
      </c>
      <c r="C1971" s="17" t="inlineStr">
        <is>
          <t>–</t>
        </is>
      </c>
      <c r="D1971" s="17" t="inlineStr"/>
      <c r="E1971" s="17" t="inlineStr">
        <is>
          <t>Nem tartozik ide</t>
        </is>
      </c>
      <c r="F1971" s="17" t="inlineStr">
        <is>
          <t>az elmúlt 30 napban</t>
        </is>
      </c>
      <c r="G1971" s="17" t="inlineStr">
        <is>
          <t>Más főkategória terméke</t>
        </is>
      </c>
    </row>
    <row r="1972">
      <c r="A1972" s="17" t="inlineStr">
        <is>
          <t>HED1022</t>
        </is>
      </c>
      <c r="B1972" s="17" t="inlineStr">
        <is>
          <t>Kalibráló súly digitális mérleghez 300 g</t>
        </is>
      </c>
      <c r="C1972" s="17" t="inlineStr">
        <is>
          <t>–</t>
        </is>
      </c>
      <c r="D1972" s="17" t="inlineStr"/>
      <c r="E1972" s="17" t="inlineStr">
        <is>
          <t>Nem tartozik ide</t>
        </is>
      </c>
      <c r="F1972" s="17" t="inlineStr">
        <is>
          <t>2024-10 – 2025-09 (lehet, hogy már nem aktív)</t>
        </is>
      </c>
      <c r="G1972" s="17" t="inlineStr">
        <is>
          <t>Más főkategória terméke</t>
        </is>
      </c>
    </row>
    <row r="1973">
      <c r="A1973" s="17" t="inlineStr">
        <is>
          <t>HED1397</t>
        </is>
      </c>
      <c r="B1973" s="17" t="inlineStr">
        <is>
          <t>Digitális precíziós mérleg 100 g - 0.01 g</t>
        </is>
      </c>
      <c r="C1973" s="17" t="inlineStr">
        <is>
          <t>–</t>
        </is>
      </c>
      <c r="D1973" s="17" t="inlineStr"/>
      <c r="E1973" s="17" t="inlineStr">
        <is>
          <t>Nem tartozik ide</t>
        </is>
      </c>
      <c r="F1973" s="17" t="inlineStr">
        <is>
          <t>az elmúlt 30 napban</t>
        </is>
      </c>
      <c r="G1973" s="17" t="inlineStr">
        <is>
          <t>Más főkategória terméke</t>
        </is>
      </c>
    </row>
    <row r="1974">
      <c r="A1974" s="17" t="inlineStr">
        <is>
          <t>HED1489</t>
        </is>
      </c>
      <c r="B1974" s="17" t="inlineStr">
        <is>
          <t>Kalibráló súly 50 g</t>
        </is>
      </c>
      <c r="C1974" s="17" t="inlineStr">
        <is>
          <t>–</t>
        </is>
      </c>
      <c r="D1974" s="17" t="inlineStr"/>
      <c r="E1974" s="17" t="inlineStr">
        <is>
          <t>Nem tartozik ide</t>
        </is>
      </c>
      <c r="F1974" s="17" t="inlineStr">
        <is>
          <t>az elmúlt 30 napban</t>
        </is>
      </c>
      <c r="G1974" s="17" t="inlineStr">
        <is>
          <t>Más főkategória terméke</t>
        </is>
      </c>
    </row>
    <row r="1975">
      <c r="A1975" s="17" t="inlineStr">
        <is>
          <t>HED1490</t>
        </is>
      </c>
      <c r="B1975" s="17" t="inlineStr">
        <is>
          <t>Kalibráló súly 1000 g</t>
        </is>
      </c>
      <c r="C1975" s="17" t="inlineStr">
        <is>
          <t>–</t>
        </is>
      </c>
      <c r="D1975" s="17" t="inlineStr"/>
      <c r="E1975" s="17" t="inlineStr">
        <is>
          <t>Nem tartozik ide</t>
        </is>
      </c>
      <c r="F1975" s="17" t="inlineStr">
        <is>
          <t>az elmúlt 30 napban</t>
        </is>
      </c>
      <c r="G1975" s="17" t="inlineStr">
        <is>
          <t>Más főkategória terméke</t>
        </is>
      </c>
    </row>
    <row r="1976">
      <c r="A1976" s="17" t="inlineStr">
        <is>
          <t>HED1701</t>
        </is>
      </c>
      <c r="B1976" s="17" t="inlineStr">
        <is>
          <t>Mérleg G Scale Biggy 500 g gramm mérleg (0,01 g pontosságú)</t>
        </is>
      </c>
      <c r="C1976" s="17" t="inlineStr">
        <is>
          <t>–</t>
        </is>
      </c>
      <c r="D1976" s="17" t="inlineStr"/>
      <c r="E1976" s="17" t="inlineStr">
        <is>
          <t>Nem tartozik ide</t>
        </is>
      </c>
      <c r="F1976" s="17" t="inlineStr">
        <is>
          <t>2024-10 – 2025-09 (lehet, hogy már nem aktív)</t>
        </is>
      </c>
      <c r="G1976" s="17" t="inlineStr">
        <is>
          <t>Más főkategória terméke</t>
        </is>
      </c>
    </row>
    <row r="1977">
      <c r="A1977" s="17" t="inlineStr">
        <is>
          <t>HED1828</t>
        </is>
      </c>
      <c r="B1977" s="17" t="inlineStr">
        <is>
          <t>G-Scale Pro digitális zsebmérleg 500 g - 0.1 g</t>
        </is>
      </c>
      <c r="C1977" s="17" t="inlineStr">
        <is>
          <t>–</t>
        </is>
      </c>
      <c r="D1977" s="17" t="inlineStr"/>
      <c r="E1977" s="17" t="inlineStr">
        <is>
          <t>Nem tartozik ide</t>
        </is>
      </c>
      <c r="F1977" s="17" t="inlineStr">
        <is>
          <t>az elmúlt 30 napban</t>
        </is>
      </c>
      <c r="G1977" s="17" t="inlineStr">
        <is>
          <t>Más főkategória terméke</t>
        </is>
      </c>
    </row>
    <row r="1978">
      <c r="A1978" s="17" t="inlineStr">
        <is>
          <t>HED1836</t>
        </is>
      </c>
      <c r="B1978" s="17" t="inlineStr">
        <is>
          <t>Mérleg számológép 200 g - 0.01 g</t>
        </is>
      </c>
      <c r="C1978" s="17" t="inlineStr">
        <is>
          <t>–</t>
        </is>
      </c>
      <c r="D1978" s="17" t="inlineStr"/>
      <c r="E1978" s="17" t="inlineStr">
        <is>
          <t>Nem tartozik ide</t>
        </is>
      </c>
      <c r="F1978" s="17" t="inlineStr">
        <is>
          <t>az elmúlt 30 napban</t>
        </is>
      </c>
      <c r="G1978" s="17" t="inlineStr">
        <is>
          <t>Más főkategória terméke</t>
        </is>
      </c>
    </row>
    <row r="1979">
      <c r="A1979" s="17" t="inlineStr">
        <is>
          <t>HED1892</t>
        </is>
      </c>
      <c r="B1979" s="17" t="inlineStr">
        <is>
          <t>Boveda kétirányú páratartalmat biztosító csomag RH 58%, 4g, 21x21 mm</t>
        </is>
      </c>
      <c r="C1979" s="17" t="inlineStr">
        <is>
          <t>–</t>
        </is>
      </c>
      <c r="D1979" s="17" t="inlineStr"/>
      <c r="E1979" s="17" t="inlineStr">
        <is>
          <t>Nem tartozik ide</t>
        </is>
      </c>
      <c r="F1979" s="17" t="inlineStr">
        <is>
          <t>az elmúlt 30 napban</t>
        </is>
      </c>
      <c r="G1979" s="17" t="inlineStr">
        <is>
          <t>Más főkategória terméke</t>
        </is>
      </c>
    </row>
    <row r="1980">
      <c r="A1980" s="17" t="inlineStr">
        <is>
          <t>HED1893</t>
        </is>
      </c>
      <c r="B1980" s="17" t="inlineStr">
        <is>
          <t>Boveda kétirányú páratartalmat biztosító csomag RH 58%, 67g, 132x89 mm</t>
        </is>
      </c>
      <c r="C1980" s="17" t="inlineStr">
        <is>
          <t>–</t>
        </is>
      </c>
      <c r="D1980" s="17" t="inlineStr"/>
      <c r="E1980" s="17" t="inlineStr">
        <is>
          <t>Nem tartozik ide</t>
        </is>
      </c>
      <c r="F1980" s="17" t="inlineStr">
        <is>
          <t>az elmúlt 6 hónapban</t>
        </is>
      </c>
      <c r="G1980" s="17" t="inlineStr">
        <is>
          <t>Más főkategória terméke</t>
        </is>
      </c>
    </row>
    <row r="1981">
      <c r="A1981" s="17" t="inlineStr">
        <is>
          <t>HED1894</t>
        </is>
      </c>
      <c r="B1981" s="17" t="inlineStr">
        <is>
          <t>Integra Boost nedvesség és páraszabályzó tasak RH 55%, 4g</t>
        </is>
      </c>
      <c r="C1981" s="17" t="inlineStr">
        <is>
          <t>–</t>
        </is>
      </c>
      <c r="D1981" s="17" t="inlineStr"/>
      <c r="E1981" s="17" t="inlineStr">
        <is>
          <t>Nem tartozik ide</t>
        </is>
      </c>
      <c r="F1981" s="17" t="inlineStr">
        <is>
          <t>az elmúlt 30 napban</t>
        </is>
      </c>
      <c r="G1981" s="17" t="inlineStr">
        <is>
          <t>Más főkategória terméke</t>
        </is>
      </c>
    </row>
    <row r="1982">
      <c r="A1982" s="17" t="inlineStr">
        <is>
          <t>HED1895</t>
        </is>
      </c>
      <c r="B1982" s="17" t="inlineStr">
        <is>
          <t>Integra Boost nedvesség és páraszabályzó tasak RH 55%, 8g</t>
        </is>
      </c>
      <c r="C1982" s="17" t="inlineStr">
        <is>
          <t>–</t>
        </is>
      </c>
      <c r="D1982" s="17" t="inlineStr"/>
      <c r="E1982" s="17" t="inlineStr">
        <is>
          <t>Nem tartozik ide</t>
        </is>
      </c>
      <c r="F1982" s="17" t="inlineStr">
        <is>
          <t>az elmúlt 30 napban</t>
        </is>
      </c>
      <c r="G1982" s="17" t="inlineStr">
        <is>
          <t>Más főkategória terméke</t>
        </is>
      </c>
    </row>
    <row r="1983">
      <c r="A1983" s="17" t="inlineStr">
        <is>
          <t>HED1896</t>
        </is>
      </c>
      <c r="B1983" s="17" t="inlineStr">
        <is>
          <t>Integra Boost nedvesség és páraszabályzó tasak RH 55%, 67g</t>
        </is>
      </c>
      <c r="C1983" s="17" t="inlineStr">
        <is>
          <t>–</t>
        </is>
      </c>
      <c r="D1983" s="17" t="inlineStr"/>
      <c r="E1983" s="17" t="inlineStr">
        <is>
          <t>Nem tartozik ide</t>
        </is>
      </c>
      <c r="F1983" s="17" t="inlineStr">
        <is>
          <t>az elmúlt 30 napban</t>
        </is>
      </c>
      <c r="G1983" s="17" t="inlineStr">
        <is>
          <t>Más főkategória terméke</t>
        </is>
      </c>
    </row>
    <row r="1984">
      <c r="A1984" s="17" t="inlineStr">
        <is>
          <t>HED1944</t>
        </is>
      </c>
      <c r="B1984" s="17" t="inlineStr">
        <is>
          <t>Boveda kétirányú páratartalmat biztosító csomag RH 62%; 4g, 40x40 mm</t>
        </is>
      </c>
      <c r="C1984" s="17" t="inlineStr">
        <is>
          <t>–</t>
        </is>
      </c>
      <c r="D1984" s="17" t="inlineStr"/>
      <c r="E1984" s="17" t="inlineStr">
        <is>
          <t>Nem tartozik ide</t>
        </is>
      </c>
      <c r="F1984" s="17" t="inlineStr">
        <is>
          <t>az elmúlt 30 napban</t>
        </is>
      </c>
      <c r="G1984" s="17" t="inlineStr">
        <is>
          <t>Más főkategória terméke</t>
        </is>
      </c>
    </row>
    <row r="1985">
      <c r="A1985" s="17" t="inlineStr">
        <is>
          <t>HED2041</t>
        </is>
      </c>
      <c r="B1985" s="17" t="inlineStr">
        <is>
          <t>Boveda kétirányú páratartalmat biztosító csomag RH 62%; 67g, 132 x 89 mm</t>
        </is>
      </c>
      <c r="C1985" s="17" t="inlineStr">
        <is>
          <t>–</t>
        </is>
      </c>
      <c r="D1985" s="17" t="inlineStr"/>
      <c r="E1985" s="17" t="inlineStr">
        <is>
          <t>Nem tartozik ide</t>
        </is>
      </c>
      <c r="F1985" s="17" t="inlineStr">
        <is>
          <t>az elmúlt 30 napban</t>
        </is>
      </c>
      <c r="G1985" s="17" t="inlineStr">
        <is>
          <t>Más főkategória terméke</t>
        </is>
      </c>
    </row>
    <row r="1986">
      <c r="A1986" s="17" t="inlineStr">
        <is>
          <t>HED2156</t>
        </is>
      </c>
      <c r="B1986" s="17" t="inlineStr">
        <is>
          <t>G-Scale digitális zsebmérleg 100 g - 0.01 g</t>
        </is>
      </c>
      <c r="C1986" s="17" t="inlineStr">
        <is>
          <t>–</t>
        </is>
      </c>
      <c r="D1986" s="17" t="inlineStr"/>
      <c r="E1986" s="17" t="inlineStr">
        <is>
          <t>Nem tartozik ide</t>
        </is>
      </c>
      <c r="F1986" s="17" t="inlineStr">
        <is>
          <t>az elmúlt 30 napban</t>
        </is>
      </c>
      <c r="G1986" s="17" t="inlineStr">
        <is>
          <t>Más főkategória terméke</t>
        </is>
      </c>
    </row>
    <row r="1987">
      <c r="A1987" s="17" t="inlineStr">
        <is>
          <t>HED2157</t>
        </is>
      </c>
      <c r="B1987" s="17" t="inlineStr">
        <is>
          <t>G-Scale Pro digitális zsebmérleg 500 g - 0.01 g</t>
        </is>
      </c>
      <c r="C1987" s="17" t="inlineStr">
        <is>
          <t>–</t>
        </is>
      </c>
      <c r="D1987" s="17" t="inlineStr"/>
      <c r="E1987" s="17" t="inlineStr">
        <is>
          <t>Nem tartozik ide</t>
        </is>
      </c>
      <c r="F1987" s="17" t="inlineStr">
        <is>
          <t>az elmúlt 6 hónapban</t>
        </is>
      </c>
      <c r="G1987" s="17" t="inlineStr">
        <is>
          <t>Más főkategória terméke</t>
        </is>
      </c>
    </row>
    <row r="1988">
      <c r="A1988" s="17" t="inlineStr">
        <is>
          <t>HED2196</t>
        </is>
      </c>
      <c r="B1988" s="17" t="inlineStr">
        <is>
          <t>Integra Boost nedvesség és páraszabályzó tasak RH 62%, 4g</t>
        </is>
      </c>
      <c r="C1988" s="17" t="inlineStr">
        <is>
          <t>–</t>
        </is>
      </c>
      <c r="D1988" s="17" t="inlineStr"/>
      <c r="E1988" s="17" t="inlineStr">
        <is>
          <t>Nem tartozik ide</t>
        </is>
      </c>
      <c r="F1988" s="17" t="inlineStr">
        <is>
          <t>az elmúlt 30 napban</t>
        </is>
      </c>
      <c r="G1988" s="17" t="inlineStr">
        <is>
          <t>Más főkategória terméke</t>
        </is>
      </c>
    </row>
    <row r="1989">
      <c r="A1989" s="17" t="inlineStr">
        <is>
          <t>HED2197</t>
        </is>
      </c>
      <c r="B1989" s="17" t="inlineStr">
        <is>
          <t>Integra Boost nedvesség és páraszabályzó tasak RH 62%, 8g</t>
        </is>
      </c>
      <c r="C1989" s="17" t="inlineStr">
        <is>
          <t>–</t>
        </is>
      </c>
      <c r="D1989" s="17" t="inlineStr"/>
      <c r="E1989" s="17" t="inlineStr">
        <is>
          <t>Nem tartozik ide</t>
        </is>
      </c>
      <c r="F1989" s="17" t="inlineStr">
        <is>
          <t>az elmúlt 30 napban</t>
        </is>
      </c>
      <c r="G1989" s="17" t="inlineStr">
        <is>
          <t>Más főkategória terméke</t>
        </is>
      </c>
    </row>
    <row r="1990">
      <c r="A1990" s="17" t="inlineStr">
        <is>
          <t>HED2198</t>
        </is>
      </c>
      <c r="B1990" s="17" t="inlineStr">
        <is>
          <t>Boveda páratartalom regulációs tasak (RH 62%; 8 g)</t>
        </is>
      </c>
      <c r="C1990" s="17" t="inlineStr">
        <is>
          <t>–</t>
        </is>
      </c>
      <c r="D1990" s="17" t="inlineStr"/>
      <c r="E1990" s="17" t="inlineStr">
        <is>
          <t>Nem tartozik ide</t>
        </is>
      </c>
      <c r="F1990" s="17" t="inlineStr">
        <is>
          <t>az elmúlt 30 napban</t>
        </is>
      </c>
      <c r="G1990" s="17" t="inlineStr">
        <is>
          <t>Más főkategória terméke</t>
        </is>
      </c>
    </row>
    <row r="1991">
      <c r="A1991" s="17" t="inlineStr">
        <is>
          <t>HED2199</t>
        </is>
      </c>
      <c r="B1991" s="17" t="inlineStr">
        <is>
          <t>Boveda páratartalom regulációs tasak (RH 58%; 8g)</t>
        </is>
      </c>
      <c r="C1991" s="17" t="inlineStr">
        <is>
          <t>–</t>
        </is>
      </c>
      <c r="D1991" s="17" t="inlineStr"/>
      <c r="E1991" s="17" t="inlineStr">
        <is>
          <t>Nem tartozik ide</t>
        </is>
      </c>
      <c r="F1991" s="17" t="inlineStr">
        <is>
          <t>az elmúlt 6 hónapban</t>
        </is>
      </c>
      <c r="G1991" s="17" t="inlineStr">
        <is>
          <t>Más főkategória terméke</t>
        </is>
      </c>
    </row>
    <row r="1992">
      <c r="A1992" s="17" t="inlineStr">
        <is>
          <t>HED2203</t>
        </is>
      </c>
      <c r="B1992" s="17" t="inlineStr">
        <is>
          <t>Ziplock bag 350x450 mm átlátszó 100 db</t>
        </is>
      </c>
      <c r="C1992" s="17" t="inlineStr">
        <is>
          <t>–</t>
        </is>
      </c>
      <c r="D1992" s="17" t="inlineStr"/>
      <c r="E1992" s="17" t="inlineStr">
        <is>
          <t>Nem tartozik ide</t>
        </is>
      </c>
      <c r="F1992" s="17" t="inlineStr">
        <is>
          <t>az elmúlt 30 napban</t>
        </is>
      </c>
      <c r="G1992" s="17" t="inlineStr">
        <is>
          <t>Más főkategória terméke</t>
        </is>
      </c>
    </row>
    <row r="1993">
      <c r="A1993" s="17" t="inlineStr">
        <is>
          <t>HED2287</t>
        </is>
      </c>
      <c r="B1993" s="17" t="inlineStr">
        <is>
          <t>Integra Boost nedvesség és páraszabályzó tasak RH 62%, 67g</t>
        </is>
      </c>
      <c r="C1993" s="17" t="inlineStr">
        <is>
          <t>–</t>
        </is>
      </c>
      <c r="D1993" s="17" t="inlineStr"/>
      <c r="E1993" s="17" t="inlineStr">
        <is>
          <t>Nem tartozik ide</t>
        </is>
      </c>
      <c r="F1993" s="17" t="inlineStr">
        <is>
          <t>az elmúlt 30 napban</t>
        </is>
      </c>
      <c r="G1993" s="17" t="inlineStr">
        <is>
          <t>Más főkategória terméke</t>
        </is>
      </c>
    </row>
    <row r="1994">
      <c r="A1994" s="17" t="inlineStr">
        <is>
          <t>HED2288</t>
        </is>
      </c>
      <c r="B1994" s="17" t="inlineStr">
        <is>
          <t>Integra Boost terpén - ízesített limonén</t>
        </is>
      </c>
      <c r="C1994" s="17" t="inlineStr">
        <is>
          <t>–</t>
        </is>
      </c>
      <c r="D1994" s="17" t="inlineStr"/>
      <c r="E1994" s="17" t="inlineStr">
        <is>
          <t>Nem tartozik ide</t>
        </is>
      </c>
      <c r="F1994" s="17" t="inlineStr">
        <is>
          <t>az elmúlt 30 napban</t>
        </is>
      </c>
      <c r="G1994" s="17" t="inlineStr">
        <is>
          <t>Más főkategória terméke</t>
        </is>
      </c>
    </row>
    <row r="1995">
      <c r="A1995" s="17" t="inlineStr">
        <is>
          <t>HED2289</t>
        </is>
      </c>
      <c r="B1995" s="17" t="inlineStr">
        <is>
          <t>Integra Boost terpén - ízesített mircén</t>
        </is>
      </c>
      <c r="C1995" s="17" t="inlineStr">
        <is>
          <t>–</t>
        </is>
      </c>
      <c r="D1995" s="17" t="inlineStr"/>
      <c r="E1995" s="17" t="inlineStr">
        <is>
          <t>Nem tartozik ide</t>
        </is>
      </c>
      <c r="F1995" s="17" t="inlineStr">
        <is>
          <t>az elmúlt 30 napban</t>
        </is>
      </c>
      <c r="G1995" s="17" t="inlineStr">
        <is>
          <t>Más főkategória terméke</t>
        </is>
      </c>
    </row>
    <row r="1996">
      <c r="A1996" s="17" t="inlineStr">
        <is>
          <t>HED2329</t>
        </is>
      </c>
      <c r="B1996" s="17" t="inlineStr">
        <is>
          <t>Integra Boost terpén - ízesített terpinolén</t>
        </is>
      </c>
      <c r="C1996" s="17" t="inlineStr">
        <is>
          <t>–</t>
        </is>
      </c>
      <c r="D1996" s="17" t="inlineStr"/>
      <c r="E1996" s="17" t="inlineStr">
        <is>
          <t>Nem tartozik ide</t>
        </is>
      </c>
      <c r="F1996" s="17" t="inlineStr">
        <is>
          <t>az elmúlt 30 napban</t>
        </is>
      </c>
      <c r="G1996" s="17" t="inlineStr">
        <is>
          <t>Más főkategória terméke</t>
        </is>
      </c>
    </row>
    <row r="1997">
      <c r="A1997" s="17" t="inlineStr">
        <is>
          <t>HED2330</t>
        </is>
      </c>
      <c r="B1997" s="17" t="inlineStr">
        <is>
          <t>Integra Boost terpén - ízesített linalol</t>
        </is>
      </c>
      <c r="C1997" s="17" t="inlineStr">
        <is>
          <t>–</t>
        </is>
      </c>
      <c r="D1997" s="17" t="inlineStr"/>
      <c r="E1997" s="17" t="inlineStr">
        <is>
          <t>Nem tartozik ide</t>
        </is>
      </c>
      <c r="F1997" s="17" t="inlineStr">
        <is>
          <t>az elmúlt 30 napban</t>
        </is>
      </c>
      <c r="G1997" s="17" t="inlineStr">
        <is>
          <t>Más főkategória terméke</t>
        </is>
      </c>
    </row>
    <row r="1998">
      <c r="A1998" s="17" t="inlineStr">
        <is>
          <t>HED2331</t>
        </is>
      </c>
      <c r="B1998" s="17" t="inlineStr">
        <is>
          <t>Integra Boost terpén - ízesített humulén</t>
        </is>
      </c>
      <c r="C1998" s="17" t="inlineStr">
        <is>
          <t>–</t>
        </is>
      </c>
      <c r="D1998" s="17" t="inlineStr"/>
      <c r="E1998" s="17" t="inlineStr">
        <is>
          <t>Nem tartozik ide</t>
        </is>
      </c>
      <c r="F1998" s="17" t="inlineStr">
        <is>
          <t>az elmúlt 30 napban</t>
        </is>
      </c>
      <c r="G1998" s="17" t="inlineStr">
        <is>
          <t>Más főkategória terméke</t>
        </is>
      </c>
    </row>
    <row r="1999">
      <c r="A1999" s="17" t="inlineStr">
        <is>
          <t>HED2341</t>
        </is>
      </c>
      <c r="B1999" s="17" t="inlineStr">
        <is>
          <t>G-Scale digitális zsebmérleg 2000 g - 0.1 g</t>
        </is>
      </c>
      <c r="C1999" s="17" t="inlineStr">
        <is>
          <t>–</t>
        </is>
      </c>
      <c r="D1999" s="17" t="inlineStr"/>
      <c r="E1999" s="17" t="inlineStr">
        <is>
          <t>Nem tartozik ide</t>
        </is>
      </c>
      <c r="F1999" s="17" t="inlineStr">
        <is>
          <t>az elmúlt 30 napban</t>
        </is>
      </c>
      <c r="G1999" s="17" t="inlineStr">
        <is>
          <t>Más főkategória terméke</t>
        </is>
      </c>
    </row>
    <row r="2000">
      <c r="A2000" s="17" t="inlineStr">
        <is>
          <t>HED2401</t>
        </is>
      </c>
      <c r="B2000" s="17" t="inlineStr">
        <is>
          <t>G-Scale Lite digitális zsebmérleg 100 g - 0.01 g</t>
        </is>
      </c>
      <c r="C2000" s="17" t="inlineStr">
        <is>
          <t>–</t>
        </is>
      </c>
      <c r="D2000" s="17" t="inlineStr"/>
      <c r="E2000" s="17" t="inlineStr">
        <is>
          <t>Nem tartozik ide</t>
        </is>
      </c>
      <c r="F2000" s="17" t="inlineStr">
        <is>
          <t>az elmúlt 30 napban</t>
        </is>
      </c>
      <c r="G2000" s="17" t="inlineStr">
        <is>
          <t>Más főkategória terméke</t>
        </is>
      </c>
    </row>
    <row r="2001">
      <c r="A2001" s="17" t="inlineStr">
        <is>
          <t>HED2402</t>
        </is>
      </c>
      <c r="B2001" s="17" t="inlineStr">
        <is>
          <t>G-Scale Basic digitális zsebmérleg 100 g - 0.01 g</t>
        </is>
      </c>
      <c r="C2001" s="17" t="inlineStr">
        <is>
          <t>–</t>
        </is>
      </c>
      <c r="D2001" s="17" t="inlineStr"/>
      <c r="E2001" s="17" t="inlineStr">
        <is>
          <t>Nem tartozik ide</t>
        </is>
      </c>
      <c r="F2001" s="17" t="inlineStr">
        <is>
          <t>az elmúlt 30 napban</t>
        </is>
      </c>
      <c r="G2001" s="17" t="inlineStr">
        <is>
          <t>Más főkategória terméke</t>
        </is>
      </c>
    </row>
    <row r="2002">
      <c r="A2002" s="17" t="inlineStr">
        <is>
          <t>HED2403</t>
        </is>
      </c>
      <c r="B2002" s="17" t="inlineStr">
        <is>
          <t>G-Scale digitális zsebmérleg 100 g - 0.01 g (kalibráló súllyal)</t>
        </is>
      </c>
      <c r="C2002" s="17" t="inlineStr">
        <is>
          <t>–</t>
        </is>
      </c>
      <c r="D2002" s="17" t="inlineStr"/>
      <c r="E2002" s="17" t="inlineStr">
        <is>
          <t>Nem tartozik ide</t>
        </is>
      </c>
      <c r="F2002" s="17" t="inlineStr">
        <is>
          <t>az elmúlt 30 napban</t>
        </is>
      </c>
      <c r="G2002" s="17" t="inlineStr">
        <is>
          <t>Más főkategória terméke</t>
        </is>
      </c>
    </row>
    <row r="2003">
      <c r="A2003" s="17" t="inlineStr">
        <is>
          <t>HED2404</t>
        </is>
      </c>
      <c r="B2003" s="17" t="inlineStr">
        <is>
          <t>G-Scale digitális zsebmérleg 100 g - 0.01 g</t>
        </is>
      </c>
      <c r="C2003" s="17" t="inlineStr">
        <is>
          <t>–</t>
        </is>
      </c>
      <c r="D2003" s="17" t="inlineStr"/>
      <c r="E2003" s="17" t="inlineStr">
        <is>
          <t>Nem tartozik ide</t>
        </is>
      </c>
      <c r="F2003" s="17" t="inlineStr">
        <is>
          <t>az elmúlt 30 napban</t>
        </is>
      </c>
      <c r="G2003" s="17" t="inlineStr">
        <is>
          <t>Más főkategória terméke</t>
        </is>
      </c>
    </row>
    <row r="2004">
      <c r="A2004" s="17" t="inlineStr">
        <is>
          <t>HED2405</t>
        </is>
      </c>
      <c r="B2004" s="17" t="inlineStr">
        <is>
          <t>G-Scale digitális zsebmérleg 50 g - 0,001 g (kalibráló súllyal)</t>
        </is>
      </c>
      <c r="C2004" s="17" t="inlineStr">
        <is>
          <t>–</t>
        </is>
      </c>
      <c r="D2004" s="17" t="inlineStr"/>
      <c r="E2004" s="17" t="inlineStr">
        <is>
          <t>Nem tartozik ide</t>
        </is>
      </c>
      <c r="F2004" s="17" t="inlineStr">
        <is>
          <t>az elmúlt 30 napban</t>
        </is>
      </c>
      <c r="G2004" s="17" t="inlineStr">
        <is>
          <t>Más főkategória terméke</t>
        </is>
      </c>
    </row>
    <row r="2005">
      <c r="A2005" s="17" t="inlineStr">
        <is>
          <t>HED2441</t>
        </is>
      </c>
      <c r="B2005" s="17" t="inlineStr">
        <is>
          <t>Boveda páratartalom regulációs tasak (RH 62%; 320g)</t>
        </is>
      </c>
      <c r="C2005" s="17" t="inlineStr">
        <is>
          <t>–</t>
        </is>
      </c>
      <c r="D2005" s="17" t="inlineStr"/>
      <c r="E2005" s="17" t="inlineStr">
        <is>
          <t>Nem tartozik ide</t>
        </is>
      </c>
      <c r="F2005" s="17" t="inlineStr">
        <is>
          <t>az elmúlt 30 napban</t>
        </is>
      </c>
      <c r="G2005" s="17" t="inlineStr">
        <is>
          <t>Más főkategória terméke</t>
        </is>
      </c>
    </row>
    <row r="2006">
      <c r="A2006" s="17" t="inlineStr">
        <is>
          <t>HED2442</t>
        </is>
      </c>
      <c r="B2006" s="17" t="inlineStr">
        <is>
          <t>Boveda páratartalom regulációs tasak (RH 58%; 320g)</t>
        </is>
      </c>
      <c r="C2006" s="17" t="inlineStr">
        <is>
          <t>–</t>
        </is>
      </c>
      <c r="D2006" s="17" t="inlineStr"/>
      <c r="E2006" s="17" t="inlineStr">
        <is>
          <t>Nem tartozik ide</t>
        </is>
      </c>
      <c r="F2006" s="17" t="inlineStr">
        <is>
          <t>2025-10 – 2026-04</t>
        </is>
      </c>
      <c r="G2006" s="17" t="inlineStr">
        <is>
          <t>Más főkategória terméke</t>
        </is>
      </c>
    </row>
  </sheetData>
  <autoFilter ref="A7:G200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38" customWidth="1" min="1" max="1"/>
    <col width="44" customWidth="1" min="2" max="2"/>
    <col width="16" customWidth="1" min="3" max="3"/>
    <col width="20" customWidth="1" min="4" max="4"/>
    <col width="16" customWidth="1" min="5" max="5"/>
    <col width="52" customWidth="1" min="6" max="6"/>
  </cols>
  <sheetData>
    <row r="1">
      <c r="A1" s="1" t="inlineStr">
        <is>
          <t>Rokon, cserepekhez kapcsolódó területek (Kulcsszótervező, HU, 12 hó átlag)</t>
        </is>
      </c>
    </row>
    <row r="2">
      <c r="A2" s="2" t="inlineStr">
        <is>
          <t>Más szándékú vagy más főkategóriába tartozó témák – csak ha van hozzá termék.</t>
        </is>
      </c>
    </row>
    <row r="4">
      <c r="A4" s="3" t="inlineStr">
        <is>
          <t>Terület</t>
        </is>
      </c>
      <c r="B4" s="3" t="inlineStr">
        <is>
          <t>Javaslat</t>
        </is>
      </c>
      <c r="C4" s="3" t="inlineStr">
        <is>
          <t>Releváns keresés (Szoros+Laza)</t>
        </is>
      </c>
    </row>
    <row r="5">
      <c r="A5" s="2" t="inlineStr">
        <is>
          <t>Önöntöző cserép</t>
        </is>
      </c>
      <c r="B5" s="2" t="inlineStr">
        <is>
          <t>Nincs önöntöző cserép a kínálatban (csak egy víztartályos alátét) – kategória csak kínálatbővítés esetén</t>
        </is>
      </c>
      <c r="C5" s="20">
        <f>SUMIFS(C13:C34,A13:A34,A5,E13:E34,"&lt;&gt;Nem")</f>
        <v/>
      </c>
    </row>
    <row r="6">
      <c r="A6" s="2" t="inlineStr">
        <is>
          <t>Műanyag vödör</t>
        </is>
      </c>
      <c r="B6" s="2" t="inlineStr">
        <is>
          <t>Csak ha van vödör (pl. DWC / hidro vödör) – akkor a Hidro ágba vagy szűrőként</t>
        </is>
      </c>
      <c r="C6" s="20">
        <f>SUMIFS(C13:C34,A13:A34,A6,E13:E34,"&lt;&gt;Nem")</f>
        <v/>
      </c>
    </row>
    <row r="7">
      <c r="A7" s="2" t="inlineStr">
        <is>
          <t>Hidrokultúrás cserép, hálós kosár</t>
        </is>
      </c>
      <c r="B7" s="2" t="inlineStr">
        <is>
          <t>A Hidro főkategóriába (ha van); innen kereszt-link</t>
        </is>
      </c>
      <c r="C7" s="20">
        <f>SUMIFS(C13:C34,A13:A34,A7,E13:E34,"&lt;&gt;Nem")</f>
        <v/>
      </c>
    </row>
    <row r="8">
      <c r="A8" s="2" t="inlineStr">
        <is>
          <t>Orchidea és átlátszó cserép</t>
        </is>
      </c>
      <c r="B8" s="2" t="inlineStr">
        <is>
          <t>Csak ha van ilyen termék – különben szűrő / említés</t>
        </is>
      </c>
      <c r="C8" s="20">
        <f>SUMIFS(C13:C34,A13:A34,A8,E13:E34,"&lt;&gt;Nem")</f>
        <v/>
      </c>
    </row>
    <row r="9">
      <c r="A9" s="2" t="inlineStr">
        <is>
          <t>Kaspó, virágláda, dekor cserép</t>
        </is>
      </c>
      <c r="B9" s="2" t="inlineStr">
        <is>
          <t>Nem growshop-téma – csak ha forgalmazod</t>
        </is>
      </c>
      <c r="C9" s="20">
        <f>SUMIFS(C13:C34,A13:A34,A9,E13:E34,"&lt;&gt;Nem")</f>
        <v/>
      </c>
    </row>
    <row r="12">
      <c r="A12" s="3" t="inlineStr">
        <is>
          <t>Terület</t>
        </is>
      </c>
      <c r="B12" s="3" t="inlineStr">
        <is>
          <t>Kulcsszó</t>
        </is>
      </c>
      <c r="C12" s="3" t="inlineStr">
        <is>
          <t>Havi keresés</t>
        </is>
      </c>
      <c r="D12" s="3" t="inlineStr">
        <is>
          <t>Kötődés a webshophoz</t>
        </is>
      </c>
      <c r="E12" s="3" t="inlineStr">
        <is>
          <t>Érdemes rá oldal?</t>
        </is>
      </c>
      <c r="F12" s="3" t="inlineStr">
        <is>
          <t>Javasolt felhasználás</t>
        </is>
      </c>
    </row>
    <row r="13">
      <c r="A13" s="7" t="inlineStr">
        <is>
          <t>Önöntöző cserép</t>
        </is>
      </c>
      <c r="B13" s="7" t="inlineStr">
        <is>
          <t>önöntöző cserép</t>
        </is>
      </c>
      <c r="C13" s="8" t="n">
        <v>90</v>
      </c>
      <c r="D13" s="7" t="inlineStr">
        <is>
          <t>Laza</t>
        </is>
      </c>
      <c r="E13" s="7" t="inlineStr">
        <is>
          <t>Igen</t>
        </is>
      </c>
      <c r="F13" s="7" t="inlineStr">
        <is>
          <t>Nincs önöntöző cserép a kínálatban (csak egy víztartályos alátét) – kategória csak kínálatbővítés esetén</t>
        </is>
      </c>
    </row>
    <row r="14">
      <c r="A14" s="7" t="inlineStr">
        <is>
          <t>Önöntöző cserép</t>
        </is>
      </c>
      <c r="B14" s="7" t="inlineStr">
        <is>
          <t>önöntöző virágcserép</t>
        </is>
      </c>
      <c r="C14" s="8" t="n">
        <v>20</v>
      </c>
      <c r="D14" s="7" t="inlineStr">
        <is>
          <t>Laza</t>
        </is>
      </c>
      <c r="E14" s="7" t="inlineStr">
        <is>
          <t>Igen</t>
        </is>
      </c>
      <c r="F14" s="7" t="inlineStr">
        <is>
          <t>Nincs önöntöző cserép a kínálatban (csak egy víztartályos alátét) – kategória csak kínálatbővítés esetén</t>
        </is>
      </c>
    </row>
    <row r="15">
      <c r="A15" s="7" t="inlineStr">
        <is>
          <t>Önöntöző cserép</t>
        </is>
      </c>
      <c r="B15" s="7" t="inlineStr">
        <is>
          <t>cserép öntöző</t>
        </is>
      </c>
      <c r="C15" s="8" t="n">
        <v>20</v>
      </c>
      <c r="D15" s="7" t="inlineStr">
        <is>
          <t>Laza</t>
        </is>
      </c>
      <c r="E15" s="7" t="inlineStr">
        <is>
          <t>Igen</t>
        </is>
      </c>
      <c r="F15" s="7" t="inlineStr">
        <is>
          <t>Nincs önöntöző cserép a kínálatban (csak egy víztartályos alátét) – kategória csak kínálatbővítés esetén</t>
        </is>
      </c>
    </row>
    <row r="16">
      <c r="A16" s="7" t="inlineStr">
        <is>
          <t>Önöntöző cserép</t>
        </is>
      </c>
      <c r="B16" s="7" t="inlineStr">
        <is>
          <t>önlocsoló virágcserép</t>
        </is>
      </c>
      <c r="C16" s="8" t="n">
        <v>10</v>
      </c>
      <c r="D16" s="7" t="inlineStr">
        <is>
          <t>Laza</t>
        </is>
      </c>
      <c r="E16" s="7" t="inlineStr">
        <is>
          <t>Igen</t>
        </is>
      </c>
      <c r="F16" s="7" t="inlineStr">
        <is>
          <t>Nincs önöntöző cserép a kínálatban (csak egy víztartályos alátét) – kategória csak kínálatbővítés esetén</t>
        </is>
      </c>
    </row>
    <row r="17">
      <c r="A17" s="7" t="inlineStr">
        <is>
          <t>Műanyag vödör</t>
        </is>
      </c>
      <c r="B17" s="7" t="inlineStr">
        <is>
          <t>műanyag vödör</t>
        </is>
      </c>
      <c r="C17" s="8" t="n">
        <v>590</v>
      </c>
      <c r="D17" s="7" t="inlineStr">
        <is>
          <t>Laza</t>
        </is>
      </c>
      <c r="E17" s="7" t="inlineStr">
        <is>
          <t>Igen</t>
        </is>
      </c>
      <c r="F17" s="7" t="inlineStr">
        <is>
          <t>Csak ha van vödör (pl. DWC / hidro vödör) – akkor a Hidro ágba vagy szűrőként</t>
        </is>
      </c>
    </row>
    <row r="18">
      <c r="A18" s="7" t="inlineStr">
        <is>
          <t>Műanyag vödör</t>
        </is>
      </c>
      <c r="B18" s="7" t="inlineStr">
        <is>
          <t>műanyagvödör</t>
        </is>
      </c>
      <c r="C18" s="8" t="n">
        <v>590</v>
      </c>
      <c r="D18" s="7" t="inlineStr">
        <is>
          <t>Laza</t>
        </is>
      </c>
      <c r="E18" s="7" t="inlineStr">
        <is>
          <t>Igen</t>
        </is>
      </c>
      <c r="F18" s="7" t="inlineStr">
        <is>
          <t>Csak ha van vödör (pl. DWC / hidro vödör) – akkor a Hidro ágba vagy szűrőként</t>
        </is>
      </c>
    </row>
    <row r="19">
      <c r="A19" s="7" t="inlineStr">
        <is>
          <t>Műanyag vödör</t>
        </is>
      </c>
      <c r="B19" s="7" t="inlineStr">
        <is>
          <t>olcsó műanyag vödör</t>
        </is>
      </c>
      <c r="C19" s="8" t="n">
        <v>70</v>
      </c>
      <c r="D19" s="7" t="inlineStr">
        <is>
          <t>Laza</t>
        </is>
      </c>
      <c r="E19" s="7" t="inlineStr">
        <is>
          <t>Igen</t>
        </is>
      </c>
      <c r="F19" s="7" t="inlineStr">
        <is>
          <t>Csak ha van vödör (pl. DWC / hidro vödör) – akkor a Hidro ágba vagy szűrőként</t>
        </is>
      </c>
    </row>
    <row r="20">
      <c r="A20" s="7" t="inlineStr">
        <is>
          <t>Műanyag vödör</t>
        </is>
      </c>
      <c r="B20" s="7" t="inlineStr">
        <is>
          <t>műanyag vödör fedővel</t>
        </is>
      </c>
      <c r="C20" s="8" t="n">
        <v>20</v>
      </c>
      <c r="D20" s="7" t="inlineStr">
        <is>
          <t>Laza</t>
        </is>
      </c>
      <c r="E20" s="7" t="inlineStr">
        <is>
          <t>Igen</t>
        </is>
      </c>
      <c r="F20" s="7" t="inlineStr">
        <is>
          <t>Csak ha van vödör (pl. DWC / hidro vödör) – akkor a Hidro ágba vagy szűrőként</t>
        </is>
      </c>
    </row>
    <row r="21">
      <c r="A21" s="7" t="inlineStr">
        <is>
          <t>Hidrokultúrás cserép, hálós kosár</t>
        </is>
      </c>
      <c r="B21" s="7" t="inlineStr">
        <is>
          <t>hidrokultúrás cserép</t>
        </is>
      </c>
      <c r="C21" s="8" t="n">
        <v>30</v>
      </c>
      <c r="D21" s="7" t="inlineStr">
        <is>
          <t>Laza</t>
        </is>
      </c>
      <c r="E21" s="7" t="inlineStr">
        <is>
          <t>Igen</t>
        </is>
      </c>
      <c r="F21" s="7" t="inlineStr">
        <is>
          <t>A Hidro főkategóriába (ha van); innen kereszt-link</t>
        </is>
      </c>
    </row>
    <row r="22">
      <c r="A22" s="7" t="inlineStr">
        <is>
          <t>Hidrokultúrás cserép, hálós kosár</t>
        </is>
      </c>
      <c r="B22" s="7" t="inlineStr">
        <is>
          <t>hálós kosár</t>
        </is>
      </c>
      <c r="C22" s="8" t="n">
        <v>20</v>
      </c>
      <c r="D22" s="7" t="inlineStr">
        <is>
          <t>Laza</t>
        </is>
      </c>
      <c r="E22" s="7" t="inlineStr">
        <is>
          <t>Igen</t>
        </is>
      </c>
      <c r="F22" s="7" t="inlineStr">
        <is>
          <t>A Hidro főkategóriába (ha van); innen kereszt-link</t>
        </is>
      </c>
    </row>
    <row r="23">
      <c r="A23" s="7" t="inlineStr">
        <is>
          <t>Hidrokultúrás cserép, hálós kosár</t>
        </is>
      </c>
      <c r="B23" s="7" t="inlineStr">
        <is>
          <t>hidroponikus cserép</t>
        </is>
      </c>
      <c r="C23" s="8" t="n">
        <v>20</v>
      </c>
      <c r="D23" s="7" t="inlineStr">
        <is>
          <t>Laza</t>
        </is>
      </c>
      <c r="E23" s="7" t="inlineStr">
        <is>
          <t>Igen</t>
        </is>
      </c>
      <c r="F23" s="7" t="inlineStr">
        <is>
          <t>A Hidro főkategóriába (ha van); innen kereszt-link</t>
        </is>
      </c>
    </row>
    <row r="24">
      <c r="A24" s="7" t="inlineStr">
        <is>
          <t>Hidrokultúrás cserép, hálós kosár</t>
        </is>
      </c>
      <c r="B24" s="7" t="inlineStr">
        <is>
          <t>hidro cserép</t>
        </is>
      </c>
      <c r="C24" s="8" t="n">
        <v>10</v>
      </c>
      <c r="D24" s="7" t="inlineStr">
        <is>
          <t>Laza</t>
        </is>
      </c>
      <c r="E24" s="7" t="inlineStr">
        <is>
          <t>Igen</t>
        </is>
      </c>
      <c r="F24" s="7" t="inlineStr">
        <is>
          <t>A Hidro főkategóriába (ha van); innen kereszt-link</t>
        </is>
      </c>
    </row>
    <row r="25">
      <c r="A25" s="7" t="inlineStr">
        <is>
          <t>Hidrokultúrás cserép, hálós kosár</t>
        </is>
      </c>
      <c r="B25" s="7" t="inlineStr">
        <is>
          <t>net pot</t>
        </is>
      </c>
      <c r="C25" s="8" t="n">
        <v>10</v>
      </c>
      <c r="D25" s="7" t="inlineStr">
        <is>
          <t>Laza</t>
        </is>
      </c>
      <c r="E25" s="7" t="inlineStr">
        <is>
          <t>Igen</t>
        </is>
      </c>
      <c r="F25" s="7" t="inlineStr">
        <is>
          <t>A Hidro főkategóriába (ha van); innen kereszt-link</t>
        </is>
      </c>
    </row>
    <row r="26">
      <c r="A26" s="7" t="inlineStr">
        <is>
          <t>Orchidea és átlátszó cserép</t>
        </is>
      </c>
      <c r="B26" s="7" t="inlineStr">
        <is>
          <t>orchidea cserép</t>
        </is>
      </c>
      <c r="C26" s="8" t="n">
        <v>720</v>
      </c>
      <c r="D26" s="7" t="inlineStr">
        <is>
          <t>Laza</t>
        </is>
      </c>
      <c r="E26" s="7" t="inlineStr">
        <is>
          <t>Igen</t>
        </is>
      </c>
      <c r="F26" s="7" t="inlineStr">
        <is>
          <t>Csak ha van ilyen termék – különben szűrő / említés</t>
        </is>
      </c>
    </row>
    <row r="27">
      <c r="A27" s="7" t="inlineStr">
        <is>
          <t>Orchidea és átlátszó cserép</t>
        </is>
      </c>
      <c r="B27" s="7" t="inlineStr">
        <is>
          <t>átlátszó cserép</t>
        </is>
      </c>
      <c r="C27" s="8" t="n">
        <v>90</v>
      </c>
      <c r="D27" s="7" t="inlineStr">
        <is>
          <t>Laza</t>
        </is>
      </c>
      <c r="E27" s="7" t="inlineStr">
        <is>
          <t>Igen</t>
        </is>
      </c>
      <c r="F27" s="7" t="inlineStr">
        <is>
          <t>Csak ha van ilyen termék – különben szűrő / említés</t>
        </is>
      </c>
    </row>
    <row r="28">
      <c r="A28" s="7" t="inlineStr">
        <is>
          <t>Orchidea és átlátszó cserép</t>
        </is>
      </c>
      <c r="B28" s="7" t="inlineStr">
        <is>
          <t>orchidea cserép átlátszó</t>
        </is>
      </c>
      <c r="C28" s="8" t="n">
        <v>70</v>
      </c>
      <c r="D28" s="7" t="inlineStr">
        <is>
          <t>Laza</t>
        </is>
      </c>
      <c r="E28" s="7" t="inlineStr">
        <is>
          <t>Igen</t>
        </is>
      </c>
      <c r="F28" s="7" t="inlineStr">
        <is>
          <t>Csak ha van ilyen termék – különben szűrő / említés</t>
        </is>
      </c>
    </row>
    <row r="29">
      <c r="A29" s="7" t="inlineStr">
        <is>
          <t>Orchidea és átlátszó cserép</t>
        </is>
      </c>
      <c r="B29" s="7" t="inlineStr">
        <is>
          <t>átlátszó orchidea cserép</t>
        </is>
      </c>
      <c r="C29" s="8" t="n">
        <v>30</v>
      </c>
      <c r="D29" s="7" t="inlineStr">
        <is>
          <t>Laza</t>
        </is>
      </c>
      <c r="E29" s="7" t="inlineStr">
        <is>
          <t>Igen</t>
        </is>
      </c>
      <c r="F29" s="7" t="inlineStr">
        <is>
          <t>Csak ha van ilyen termék – különben szűrő / említés</t>
        </is>
      </c>
    </row>
    <row r="30">
      <c r="A30" s="11" t="inlineStr">
        <is>
          <t>Kaspó, virágláda, dekor cserép</t>
        </is>
      </c>
      <c r="B30" s="11" t="inlineStr">
        <is>
          <t>kaspó</t>
        </is>
      </c>
      <c r="C30" s="21" t="n">
        <v>2400</v>
      </c>
      <c r="D30" s="11" t="inlineStr">
        <is>
          <t>Laza</t>
        </is>
      </c>
      <c r="E30" s="11" t="inlineStr">
        <is>
          <t>Nem</t>
        </is>
      </c>
      <c r="F30" s="11" t="inlineStr">
        <is>
          <t>Nem growshop-téma – csak ha forgalmazod</t>
        </is>
      </c>
    </row>
    <row r="31">
      <c r="A31" s="11" t="inlineStr">
        <is>
          <t>Kaspó, virágláda, dekor cserép</t>
        </is>
      </c>
      <c r="B31" s="11" t="inlineStr">
        <is>
          <t>virágláda</t>
        </is>
      </c>
      <c r="C31" s="21" t="n">
        <v>2400</v>
      </c>
      <c r="D31" s="11" t="inlineStr">
        <is>
          <t>Laza</t>
        </is>
      </c>
      <c r="E31" s="11" t="inlineStr">
        <is>
          <t>Nem</t>
        </is>
      </c>
      <c r="F31" s="11" t="inlineStr">
        <is>
          <t>Nem growshop-téma – csak ha forgalmazod</t>
        </is>
      </c>
    </row>
    <row r="32">
      <c r="A32" s="11" t="inlineStr">
        <is>
          <t>Kaspó, virágláda, dekor cserép</t>
        </is>
      </c>
      <c r="B32" s="11" t="inlineStr">
        <is>
          <t>virágtartó</t>
        </is>
      </c>
      <c r="C32" s="21" t="n">
        <v>2400</v>
      </c>
      <c r="D32" s="11" t="inlineStr">
        <is>
          <t>Laza</t>
        </is>
      </c>
      <c r="E32" s="11" t="inlineStr">
        <is>
          <t>Nem</t>
        </is>
      </c>
      <c r="F32" s="11" t="inlineStr">
        <is>
          <t>Nem growshop-téma – csak ha forgalmazod</t>
        </is>
      </c>
    </row>
    <row r="33">
      <c r="A33" s="11" t="inlineStr">
        <is>
          <t>Kaspó, virágláda, dekor cserép</t>
        </is>
      </c>
      <c r="B33" s="11" t="inlineStr">
        <is>
          <t>agyag cserép</t>
        </is>
      </c>
      <c r="C33" s="21" t="n">
        <v>720</v>
      </c>
      <c r="D33" s="11" t="inlineStr">
        <is>
          <t>Laza</t>
        </is>
      </c>
      <c r="E33" s="11" t="inlineStr">
        <is>
          <t>Nem</t>
        </is>
      </c>
      <c r="F33" s="11" t="inlineStr">
        <is>
          <t>Nem growshop-téma – csak ha forgalmazod</t>
        </is>
      </c>
    </row>
    <row r="34">
      <c r="A34" s="11" t="inlineStr">
        <is>
          <t>Kaspó, virágláda, dekor cserép</t>
        </is>
      </c>
      <c r="B34" s="11" t="inlineStr">
        <is>
          <t>kerámia cserép</t>
        </is>
      </c>
      <c r="C34" s="21" t="n">
        <v>590</v>
      </c>
      <c r="D34" s="11" t="inlineStr">
        <is>
          <t>Laza</t>
        </is>
      </c>
      <c r="E34" s="11" t="inlineStr">
        <is>
          <t>Nem</t>
        </is>
      </c>
      <c r="F34" s="11" t="inlineStr">
        <is>
          <t>Nem growshop-téma – csak ha forgalmazod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16" customWidth="1" min="3" max="3"/>
    <col width="22" customWidth="1" min="4" max="4"/>
    <col width="16" customWidth="1" min="5" max="5"/>
    <col width="52" customWidth="1" min="6" max="6"/>
  </cols>
  <sheetData>
    <row r="1">
      <c r="A1" s="1" t="inlineStr">
        <is>
          <t>A sandbox „Cserép, tálca” menünevei – keresési volumen és javasolt név</t>
        </is>
      </c>
    </row>
    <row r="2">
      <c r="A2" s="2" t="inlineStr">
        <is>
          <t>Sandbox-tervezet: Virágcserép; Speciális cserép, szövetcserép; Tálca, alátét.</t>
        </is>
      </c>
    </row>
    <row r="4">
      <c r="A4" s="3" t="inlineStr">
        <is>
          <t>Régi kategória</t>
        </is>
      </c>
      <c r="B4" s="3" t="inlineStr">
        <is>
          <t>Javaslat (hova kerüljön)</t>
        </is>
      </c>
      <c r="C4" s="3" t="inlineStr">
        <is>
          <t>Releváns keresés (Szoros+Laza)</t>
        </is>
      </c>
    </row>
    <row r="5">
      <c r="A5" s="2" t="inlineStr">
        <is>
          <t>Cserép, tálca (főkategória)</t>
        </is>
      </c>
      <c r="B5" s="17" t="inlineStr">
        <is>
          <t>A „cserép” (2900) tetőcserép, a „cserép tálca” / „cserép és tálca” kifejezésre nincs mérhető keresés. Menünévnek jó, a H1 / SEO title legyen: „Virágcserép, cserépalátét, tálca”.</t>
        </is>
      </c>
      <c r="C5" s="20">
        <f>SUMIFS(C12:C25,A12:A25,A5,E12:E25,"Igen")</f>
        <v/>
      </c>
    </row>
    <row r="6">
      <c r="A6" s="2" t="inlineStr">
        <is>
          <t>Virágcserép</t>
        </is>
      </c>
      <c r="B6" s="17" t="inlineStr">
        <is>
          <t>Marad; H1: „Műanyag virágcserép”, szűrők: liter, átmérő, forma</t>
        </is>
      </c>
      <c r="C6" s="20">
        <f>SUMIFS(C12:C25,A12:A25,A6,E12:E25,"Igen")</f>
        <v/>
      </c>
    </row>
    <row r="7">
      <c r="A7" s="2" t="inlineStr">
        <is>
          <t>Speciális cserép, szövetcserép</t>
        </is>
      </c>
      <c r="B7" s="17" t="inlineStr">
        <is>
          <t>A „speciális cserép” névre nincs keresés, a „szövetcserép”-re 10. Javaslat: két önálló alkategória – „Air-Pot cserép” és „Szövetcserép, ültetőzsák”.</t>
        </is>
      </c>
      <c r="C7" s="20">
        <f>SUMIFS(C12:C25,A12:A25,A7,E12:E25,"Igen")</f>
        <v/>
      </c>
    </row>
    <row r="8">
      <c r="A8" s="2" t="inlineStr">
        <is>
          <t>Tálca, alátét</t>
        </is>
      </c>
      <c r="B8" s="17" t="inlineStr">
        <is>
          <t>Az „alátét” (720) csavaralátét, a „tálcák” (1000) konyhai. Javaslat: kettébontás – „Cserépalátét” és „Műanyag tálca, árapály asztal”.</t>
        </is>
      </c>
      <c r="C8" s="20">
        <f>SUMIFS(C12:C25,A12:A25,A8,E12:E25,"Igen")</f>
        <v/>
      </c>
    </row>
    <row r="11">
      <c r="A11" s="3" t="inlineStr">
        <is>
          <t>Régi kategória</t>
        </is>
      </c>
      <c r="B11" s="3" t="inlineStr">
        <is>
          <t>Kulcsszó</t>
        </is>
      </c>
      <c r="C11" s="3" t="inlineStr">
        <is>
          <t>Havi keresés</t>
        </is>
      </c>
      <c r="D11" s="3" t="inlineStr">
        <is>
          <t>Kötődés a webshophoz</t>
        </is>
      </c>
      <c r="E11" s="3" t="inlineStr">
        <is>
          <t>Érdemes rá oldal?</t>
        </is>
      </c>
      <c r="F11" s="3" t="inlineStr">
        <is>
          <t>Javasolt felhasználás</t>
        </is>
      </c>
    </row>
    <row r="12">
      <c r="A12" s="11" t="inlineStr">
        <is>
          <t>Cserép, tálca (főkategória)</t>
        </is>
      </c>
      <c r="B12" s="11" t="inlineStr">
        <is>
          <t>cserép</t>
        </is>
      </c>
      <c r="C12" s="21" t="n">
        <v>2900</v>
      </c>
      <c r="D12" s="11" t="inlineStr">
        <is>
          <t>Laza</t>
        </is>
      </c>
      <c r="E12" s="11" t="inlineStr">
        <is>
          <t>Nem</t>
        </is>
      </c>
      <c r="F12" s="11" t="inlineStr">
        <is>
          <t>Nem célozni külön oldallal (max. említés)</t>
        </is>
      </c>
    </row>
    <row r="13">
      <c r="A13" s="4" t="inlineStr">
        <is>
          <t>Cserép, tálca (főkategória)</t>
        </is>
      </c>
      <c r="B13" s="4" t="inlineStr">
        <is>
          <t>virágcserép</t>
        </is>
      </c>
      <c r="C13" s="5" t="n">
        <v>2400</v>
      </c>
      <c r="D13" s="4" t="inlineStr">
        <is>
          <t>Szoros</t>
        </is>
      </c>
      <c r="E13" s="4" t="inlineStr">
        <is>
          <t>Igen</t>
        </is>
      </c>
      <c r="F13" s="4" t="inlineStr">
        <is>
          <t>Az új kategória leírásában / átirányítás (301) a régi URL-ről</t>
        </is>
      </c>
    </row>
    <row r="14">
      <c r="A14" s="4" t="inlineStr">
        <is>
          <t>Cserép, tálca (főkategória)</t>
        </is>
      </c>
      <c r="B14" s="4" t="inlineStr">
        <is>
          <t>cserépalátét</t>
        </is>
      </c>
      <c r="C14" s="5" t="n">
        <v>260</v>
      </c>
      <c r="D14" s="4" t="inlineStr">
        <is>
          <t>Szoros</t>
        </is>
      </c>
      <c r="E14" s="4" t="inlineStr">
        <is>
          <t>Igen</t>
        </is>
      </c>
      <c r="F14" s="4" t="inlineStr">
        <is>
          <t>Az új kategória leírásában / átirányítás (301) a régi URL-ről</t>
        </is>
      </c>
    </row>
    <row r="15">
      <c r="A15" s="4" t="inlineStr">
        <is>
          <t>Virágcserép</t>
        </is>
      </c>
      <c r="B15" s="4" t="inlineStr">
        <is>
          <t>virágcserép</t>
        </is>
      </c>
      <c r="C15" s="5" t="n">
        <v>2400</v>
      </c>
      <c r="D15" s="4" t="inlineStr">
        <is>
          <t>Szoros</t>
        </is>
      </c>
      <c r="E15" s="4" t="inlineStr">
        <is>
          <t>Igen</t>
        </is>
      </c>
      <c r="F15" s="4" t="inlineStr">
        <is>
          <t>Az új kategória leírásában / átirányítás (301) a régi URL-ről</t>
        </is>
      </c>
    </row>
    <row r="16">
      <c r="A16" s="4" t="inlineStr">
        <is>
          <t>Virágcserép</t>
        </is>
      </c>
      <c r="B16" s="4" t="inlineStr">
        <is>
          <t>műanyag virágcserép</t>
        </is>
      </c>
      <c r="C16" s="5" t="n">
        <v>590</v>
      </c>
      <c r="D16" s="4" t="inlineStr">
        <is>
          <t>Szoros</t>
        </is>
      </c>
      <c r="E16" s="4" t="inlineStr">
        <is>
          <t>Igen</t>
        </is>
      </c>
      <c r="F16" s="4" t="inlineStr">
        <is>
          <t>Az új kategória leírásában / átirányítás (301) a régi URL-ről</t>
        </is>
      </c>
    </row>
    <row r="17">
      <c r="A17" s="4" t="inlineStr">
        <is>
          <t>Speciális cserép, szövetcserép</t>
        </is>
      </c>
      <c r="B17" s="4" t="inlineStr">
        <is>
          <t>airpot</t>
        </is>
      </c>
      <c r="C17" s="5" t="n">
        <v>140</v>
      </c>
      <c r="D17" s="4" t="inlineStr">
        <is>
          <t>Szoros</t>
        </is>
      </c>
      <c r="E17" s="4" t="inlineStr">
        <is>
          <t>Igen</t>
        </is>
      </c>
      <c r="F17" s="4" t="inlineStr">
        <is>
          <t>Az új kategória leírásában / átirányítás (301) a régi URL-ről</t>
        </is>
      </c>
    </row>
    <row r="18">
      <c r="A18" s="4" t="inlineStr">
        <is>
          <t>Speciális cserép, szövetcserép</t>
        </is>
      </c>
      <c r="B18" s="4" t="inlineStr">
        <is>
          <t>ültetőzsák</t>
        </is>
      </c>
      <c r="C18" s="5" t="n">
        <v>90</v>
      </c>
      <c r="D18" s="4" t="inlineStr">
        <is>
          <t>Szoros</t>
        </is>
      </c>
      <c r="E18" s="4" t="inlineStr">
        <is>
          <t>Igen</t>
        </is>
      </c>
      <c r="F18" s="4" t="inlineStr">
        <is>
          <t>Az új kategória leírásában / átirányítás (301) a régi URL-ről</t>
        </is>
      </c>
    </row>
    <row r="19">
      <c r="A19" s="4" t="inlineStr">
        <is>
          <t>Speciális cserép, szövetcserép</t>
        </is>
      </c>
      <c r="B19" s="4" t="inlineStr">
        <is>
          <t>szövet cserép</t>
        </is>
      </c>
      <c r="C19" s="5" t="n">
        <v>20</v>
      </c>
      <c r="D19" s="4" t="inlineStr">
        <is>
          <t>Szoros</t>
        </is>
      </c>
      <c r="E19" s="4" t="inlineStr">
        <is>
          <t>Igen</t>
        </is>
      </c>
      <c r="F19" s="4" t="inlineStr">
        <is>
          <t>Az új kategória leírásában / átirányítás (301) a régi URL-ről</t>
        </is>
      </c>
    </row>
    <row r="20">
      <c r="A20" s="4" t="inlineStr">
        <is>
          <t>Speciális cserép, szövetcserép</t>
        </is>
      </c>
      <c r="B20" s="4" t="inlineStr">
        <is>
          <t>szövetcserép</t>
        </is>
      </c>
      <c r="C20" s="5" t="n">
        <v>10</v>
      </c>
      <c r="D20" s="4" t="inlineStr">
        <is>
          <t>Szoros</t>
        </is>
      </c>
      <c r="E20" s="4" t="inlineStr">
        <is>
          <t>Igen</t>
        </is>
      </c>
      <c r="F20" s="4" t="inlineStr">
        <is>
          <t>Az új kategória leírásában / átirányítás (301) a régi URL-ről</t>
        </is>
      </c>
    </row>
    <row r="21">
      <c r="A21" s="11" t="inlineStr">
        <is>
          <t>Tálca, alátét</t>
        </is>
      </c>
      <c r="B21" s="11" t="inlineStr">
        <is>
          <t>tálcák</t>
        </is>
      </c>
      <c r="C21" s="21" t="n">
        <v>1000</v>
      </c>
      <c r="D21" s="11" t="inlineStr">
        <is>
          <t>Laza</t>
        </is>
      </c>
      <c r="E21" s="11" t="inlineStr">
        <is>
          <t>Nem</t>
        </is>
      </c>
      <c r="F21" s="11" t="inlineStr">
        <is>
          <t>Nem célozni külön oldallal (max. említés)</t>
        </is>
      </c>
    </row>
    <row r="22">
      <c r="A22" s="11" t="inlineStr">
        <is>
          <t>Tálca, alátét</t>
        </is>
      </c>
      <c r="B22" s="11" t="inlineStr">
        <is>
          <t>alátét</t>
        </is>
      </c>
      <c r="C22" s="21" t="n">
        <v>720</v>
      </c>
      <c r="D22" s="11" t="inlineStr">
        <is>
          <t>Laza</t>
        </is>
      </c>
      <c r="E22" s="11" t="inlineStr">
        <is>
          <t>Nem</t>
        </is>
      </c>
      <c r="F22" s="11" t="inlineStr">
        <is>
          <t>Nem célozni külön oldallal (max. említés)</t>
        </is>
      </c>
    </row>
    <row r="23">
      <c r="A23" s="4" t="inlineStr">
        <is>
          <t>Tálca, alátét</t>
        </is>
      </c>
      <c r="B23" s="4" t="inlineStr">
        <is>
          <t>cserépalátét</t>
        </is>
      </c>
      <c r="C23" s="5" t="n">
        <v>260</v>
      </c>
      <c r="D23" s="4" t="inlineStr">
        <is>
          <t>Szoros</t>
        </is>
      </c>
      <c r="E23" s="4" t="inlineStr">
        <is>
          <t>Igen</t>
        </is>
      </c>
      <c r="F23" s="4" t="inlineStr">
        <is>
          <t>Az új kategória leírásában / átirányítás (301) a régi URL-ről</t>
        </is>
      </c>
    </row>
    <row r="24">
      <c r="A24" s="4" t="inlineStr">
        <is>
          <t>Tálca, alátét</t>
        </is>
      </c>
      <c r="B24" s="4" t="inlineStr">
        <is>
          <t>cserép alátét</t>
        </is>
      </c>
      <c r="C24" s="5" t="n">
        <v>260</v>
      </c>
      <c r="D24" s="4" t="inlineStr">
        <is>
          <t>Szoros</t>
        </is>
      </c>
      <c r="E24" s="4" t="inlineStr">
        <is>
          <t>Igen</t>
        </is>
      </c>
      <c r="F24" s="4" t="inlineStr">
        <is>
          <t>Az új kategória leírásában / átirányítás (301) a régi URL-ről</t>
        </is>
      </c>
    </row>
    <row r="25">
      <c r="A25" s="7" t="inlineStr">
        <is>
          <t>Tálca, alátét</t>
        </is>
      </c>
      <c r="B25" s="7" t="inlineStr">
        <is>
          <t>nagyméretű műanyag tálca</t>
        </is>
      </c>
      <c r="C25" s="8" t="n">
        <v>140</v>
      </c>
      <c r="D25" s="7" t="inlineStr">
        <is>
          <t>Laza</t>
        </is>
      </c>
      <c r="E25" s="7" t="inlineStr">
        <is>
          <t>Igen</t>
        </is>
      </c>
      <c r="F25" s="7" t="inlineStr">
        <is>
          <t>Az új kategória leírásában / átirányítás (301) a régi URL-ről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" customWidth="1" min="2" max="2"/>
    <col width="38" customWidth="1" min="3" max="3"/>
    <col width="22" customWidth="1" min="4" max="4"/>
    <col width="12" customWidth="1" min="5" max="5"/>
    <col width="22" customWidth="1" min="6" max="6"/>
    <col width="16" customWidth="1" min="7" max="7"/>
    <col width="30" customWidth="1" min="8" max="8"/>
    <col width="40" customWidth="1" min="9" max="9"/>
  </cols>
  <sheetData>
    <row r="1">
      <c r="A1" s="3" t="inlineStr">
        <is>
          <t>Kategória</t>
        </is>
      </c>
      <c r="B1" s="3" t="inlineStr">
        <is>
          <t>#</t>
        </is>
      </c>
      <c r="C1" s="3" t="inlineStr">
        <is>
          <t>Kulcsszó</t>
        </is>
      </c>
      <c r="D1" s="3" t="inlineStr">
        <is>
          <t>Megjegyzés (szint)</t>
        </is>
      </c>
      <c r="E1" s="3" t="inlineStr">
        <is>
          <t>Havi keresés</t>
        </is>
      </c>
      <c r="F1" s="3" t="inlineStr">
        <is>
          <t>Kötődés a webshophoz</t>
        </is>
      </c>
      <c r="G1" s="3" t="inlineStr">
        <is>
          <t>Érdemes rá kategória/oldal?</t>
        </is>
      </c>
      <c r="H1" s="3" t="inlineStr">
        <is>
          <t>Felhasználási terület</t>
        </is>
      </c>
      <c r="I1" s="3" t="inlineStr">
        <is>
          <t>Javasolt felhasználás</t>
        </is>
      </c>
    </row>
    <row r="2">
      <c r="A2" s="4" t="inlineStr">
        <is>
          <t>Virágcserép</t>
        </is>
      </c>
      <c r="B2" s="4" t="n">
        <v>1</v>
      </c>
      <c r="C2" s="4" t="inlineStr">
        <is>
          <t>virágcserép</t>
        </is>
      </c>
      <c r="D2" s="4" t="n"/>
      <c r="E2" s="5" t="n">
        <v>2400</v>
      </c>
      <c r="F2" s="4" t="inlineStr">
        <is>
          <t>Szoros</t>
        </is>
      </c>
      <c r="G2" s="4" t="inlineStr">
        <is>
          <t>Igen</t>
        </is>
      </c>
      <c r="H2" s="4" t="inlineStr">
        <is>
          <t>Termesztő cserép – műanyag, kerek, literes méretek</t>
        </is>
      </c>
      <c r="I2" s="4" t="inlineStr">
        <is>
          <t>Kategórianév + H1 + SEO title (fő kulcsszó)</t>
        </is>
      </c>
    </row>
    <row r="3">
      <c r="A3" s="11" t="inlineStr">
        <is>
          <t>Műanyag tálca, árapály asztal</t>
        </is>
      </c>
      <c r="B3" s="11" t="n">
        <v>2</v>
      </c>
      <c r="C3" s="11" t="inlineStr">
        <is>
          <t>tálcák</t>
        </is>
      </c>
      <c r="D3" s="11" t="n"/>
      <c r="E3" s="21" t="n">
        <v>1000</v>
      </c>
      <c r="F3" s="11" t="inlineStr">
        <is>
          <t>Laza</t>
        </is>
      </c>
      <c r="G3" s="11" t="inlineStr">
        <is>
          <t>Nem</t>
        </is>
      </c>
      <c r="H3" s="11" t="inlineStr">
        <is>
          <t>Gyűjtőtálca termesztősátorba, árapály (ebb &amp; flow) rendszer</t>
        </is>
      </c>
      <c r="I3" s="11" t="inlineStr">
        <is>
          <t>Nem célozni külön oldallal (max. említés)</t>
        </is>
      </c>
    </row>
    <row r="4">
      <c r="A4" s="11" t="inlineStr">
        <is>
          <t>Cserépalátét</t>
        </is>
      </c>
      <c r="B4" s="11" t="n">
        <v>2</v>
      </c>
      <c r="C4" s="11" t="inlineStr">
        <is>
          <t>alátét</t>
        </is>
      </c>
      <c r="D4" s="11" t="n"/>
      <c r="E4" s="21" t="n">
        <v>720</v>
      </c>
      <c r="F4" s="11" t="inlineStr">
        <is>
          <t>Laza</t>
        </is>
      </c>
      <c r="G4" s="11" t="inlineStr">
        <is>
          <t>Nem</t>
        </is>
      </c>
      <c r="H4" s="11" t="inlineStr">
        <is>
          <t>Cserép alá – vízfelfogás, gurulós alátét</t>
        </is>
      </c>
      <c r="I4" s="11" t="inlineStr">
        <is>
          <t>Nem célozni külön oldallal (max. említés)</t>
        </is>
      </c>
    </row>
    <row r="5">
      <c r="A5" s="4" t="inlineStr">
        <is>
          <t>Virágcserép</t>
        </is>
      </c>
      <c r="B5" s="4" t="n">
        <v>2</v>
      </c>
      <c r="C5" s="4" t="inlineStr">
        <is>
          <t>műanyag virágcserép</t>
        </is>
      </c>
      <c r="D5" s="4" t="n"/>
      <c r="E5" s="5" t="n">
        <v>590</v>
      </c>
      <c r="F5" s="4" t="inlineStr">
        <is>
          <t>Szoros</t>
        </is>
      </c>
      <c r="G5" s="4" t="inlineStr">
        <is>
          <t>Igen</t>
        </is>
      </c>
      <c r="H5" s="4" t="inlineStr">
        <is>
          <t>Termesztő cserép – műanyag, kerek, literes méretek</t>
        </is>
      </c>
      <c r="I5" s="4" t="inlineStr">
        <is>
          <t>SEO title / H1 / bevezető (másodlagos)</t>
        </is>
      </c>
    </row>
    <row r="6">
      <c r="A6" s="4" t="inlineStr">
        <is>
          <t>Virágcserép</t>
        </is>
      </c>
      <c r="B6" s="4" t="n">
        <v>3</v>
      </c>
      <c r="C6" s="4" t="inlineStr">
        <is>
          <t>műanyag virág cserép</t>
        </is>
      </c>
      <c r="D6" s="4" t="n"/>
      <c r="E6" s="5" t="n">
        <v>590</v>
      </c>
      <c r="F6" s="4" t="inlineStr">
        <is>
          <t>Szoros</t>
        </is>
      </c>
      <c r="G6" s="4" t="inlineStr">
        <is>
          <t>Igen</t>
        </is>
      </c>
      <c r="H6" s="4" t="inlineStr">
        <is>
          <t>Termesztő cserép – műanyag, kerek, literes méretek</t>
        </is>
      </c>
      <c r="I6" s="4" t="inlineStr">
        <is>
          <t>Kategórialeírás (természetes említés)</t>
        </is>
      </c>
    </row>
    <row r="7">
      <c r="A7" s="7" t="inlineStr">
        <is>
          <t>Műanyag tálca, árapály asztal</t>
        </is>
      </c>
      <c r="B7" s="7" t="n">
        <v>3</v>
      </c>
      <c r="C7" s="7" t="inlineStr">
        <is>
          <t>műanyag tálca</t>
        </is>
      </c>
      <c r="D7" s="7" t="n"/>
      <c r="E7" s="8" t="n">
        <v>590</v>
      </c>
      <c r="F7" s="7" t="inlineStr">
        <is>
          <t>Laza</t>
        </is>
      </c>
      <c r="G7" s="7" t="inlineStr">
        <is>
          <t>Igen</t>
        </is>
      </c>
      <c r="H7" s="7" t="inlineStr">
        <is>
          <t>Gyűjtőtálca termesztősátorba, árapály (ebb &amp; flow) rendszer</t>
        </is>
      </c>
      <c r="I7" s="7" t="inlineStr">
        <is>
          <t>SEO title / H1 / bevezető (másodlagos)</t>
        </is>
      </c>
    </row>
    <row r="8">
      <c r="A8" s="4" t="inlineStr">
        <is>
          <t>Virágcserép</t>
        </is>
      </c>
      <c r="B8" s="4" t="n">
        <v>4</v>
      </c>
      <c r="C8" s="4" t="inlineStr">
        <is>
          <t>műanyag cserép</t>
        </is>
      </c>
      <c r="D8" s="4" t="n"/>
      <c r="E8" s="5" t="n">
        <v>480</v>
      </c>
      <c r="F8" s="4" t="inlineStr">
        <is>
          <t>Szoros</t>
        </is>
      </c>
      <c r="G8" s="4" t="inlineStr">
        <is>
          <t>Igen</t>
        </is>
      </c>
      <c r="H8" s="4" t="inlineStr">
        <is>
          <t>Termesztő cserép – műanyag, kerek, literes méretek</t>
        </is>
      </c>
      <c r="I8" s="4" t="inlineStr">
        <is>
          <t>SEO title / H1 / bevezető (másodlagos)</t>
        </is>
      </c>
    </row>
    <row r="9">
      <c r="A9" s="4" t="inlineStr">
        <is>
          <t>Virágcserép</t>
        </is>
      </c>
      <c r="B9" s="4" t="n">
        <v>5</v>
      </c>
      <c r="C9" s="4" t="inlineStr">
        <is>
          <t>műanyagcserép</t>
        </is>
      </c>
      <c r="D9" s="4" t="n"/>
      <c r="E9" s="5" t="n">
        <v>480</v>
      </c>
      <c r="F9" s="4" t="inlineStr">
        <is>
          <t>Szoros</t>
        </is>
      </c>
      <c r="G9" s="4" t="inlineStr">
        <is>
          <t>Igen</t>
        </is>
      </c>
      <c r="H9" s="4" t="inlineStr">
        <is>
          <t>Termesztő cserép – műanyag, kerek, literes méretek</t>
        </is>
      </c>
      <c r="I9" s="4" t="inlineStr">
        <is>
          <t>Kategórialeírás (természetes említés)</t>
        </is>
      </c>
    </row>
    <row r="10">
      <c r="A10" s="4" t="inlineStr">
        <is>
          <t>Nagy virágcserép</t>
        </is>
      </c>
      <c r="B10" s="4" t="n">
        <v>1</v>
      </c>
      <c r="C10" s="4" t="inlineStr">
        <is>
          <t>nagy virágcserép</t>
        </is>
      </c>
      <c r="D10" s="4" t="n"/>
      <c r="E10" s="5" t="n">
        <v>480</v>
      </c>
      <c r="F10" s="4" t="inlineStr">
        <is>
          <t>Szoros</t>
        </is>
      </c>
      <c r="G10" s="4" t="inlineStr">
        <is>
          <t>Igen</t>
        </is>
      </c>
      <c r="H10" s="4" t="inlineStr">
        <is>
          <t>Nagy térfogatú cserép – 20–100 literes termesztés, kültér</t>
        </is>
      </c>
      <c r="I10" s="4" t="inlineStr">
        <is>
          <t>Kategórianév + H1 + SEO title (fő kulcsszó)</t>
        </is>
      </c>
    </row>
    <row r="11">
      <c r="A11" s="11" t="inlineStr">
        <is>
          <t>Műanyag tálca, árapály asztal</t>
        </is>
      </c>
      <c r="B11" s="11" t="n">
        <v>4</v>
      </c>
      <c r="C11" s="11" t="inlineStr">
        <is>
          <t>kármentő tálca</t>
        </is>
      </c>
      <c r="D11" s="11" t="n"/>
      <c r="E11" s="21" t="n">
        <v>480</v>
      </c>
      <c r="F11" s="11" t="inlineStr">
        <is>
          <t>Laza</t>
        </is>
      </c>
      <c r="G11" s="11" t="inlineStr">
        <is>
          <t>Nem</t>
        </is>
      </c>
      <c r="H11" s="11" t="inlineStr">
        <is>
          <t>Gyűjtőtálca termesztősátorba, árapály (ebb &amp; flow) rendszer</t>
        </is>
      </c>
      <c r="I11" s="11" t="inlineStr">
        <is>
          <t>Nem célozni külön oldallal (max. említés)</t>
        </is>
      </c>
    </row>
    <row r="12">
      <c r="A12" s="11" t="inlineStr">
        <is>
          <t>Nagy virágcserép</t>
        </is>
      </c>
      <c r="B12" s="11" t="n">
        <v>2</v>
      </c>
      <c r="C12" s="11" t="inlineStr">
        <is>
          <t>műanyag virágcserép 100 cm</t>
        </is>
      </c>
      <c r="D12" s="11" t="n"/>
      <c r="E12" s="21" t="n">
        <v>390</v>
      </c>
      <c r="F12" s="11" t="inlineStr">
        <is>
          <t>Laza</t>
        </is>
      </c>
      <c r="G12" s="11" t="inlineStr">
        <is>
          <t>Nem</t>
        </is>
      </c>
      <c r="H12" s="11" t="inlineStr">
        <is>
          <t>Nagy térfogatú cserép – 20–100 literes termesztés, kültér</t>
        </is>
      </c>
      <c r="I12" s="11" t="inlineStr">
        <is>
          <t>Nem célozni külön oldallal (max. említés)</t>
        </is>
      </c>
    </row>
    <row r="13">
      <c r="A13" s="12" t="inlineStr">
        <is>
          <t>Virágcserép</t>
        </is>
      </c>
      <c r="B13" s="12" t="n">
        <v>6</v>
      </c>
      <c r="C13" s="12" t="inlineStr">
        <is>
          <t>obi virágcserép</t>
        </is>
      </c>
      <c r="D13" s="12" t="n"/>
      <c r="E13" s="22" t="n">
        <v>320</v>
      </c>
      <c r="F13" s="12" t="inlineStr">
        <is>
          <t>Nincs (áruházi / nem vásárlási szándék)</t>
        </is>
      </c>
      <c r="G13" s="12" t="inlineStr">
        <is>
          <t>Nem – kizárandó</t>
        </is>
      </c>
      <c r="H13" s="12" t="inlineStr">
        <is>
          <t>Termesztő cserép – műanyag, kerek, literes méretek</t>
        </is>
      </c>
      <c r="I13" s="12" t="inlineStr">
        <is>
          <t>Nem használni (áruházi/nem vásárlási szándék)</t>
        </is>
      </c>
    </row>
    <row r="14">
      <c r="A14" s="4" t="inlineStr">
        <is>
          <t>Nagy virágcserép</t>
        </is>
      </c>
      <c r="B14" s="4" t="n">
        <v>3</v>
      </c>
      <c r="C14" s="4" t="inlineStr">
        <is>
          <t>nagyméretű műanyag virágcserép</t>
        </is>
      </c>
      <c r="D14" s="4" t="n"/>
      <c r="E14" s="5" t="n">
        <v>320</v>
      </c>
      <c r="F14" s="4" t="inlineStr">
        <is>
          <t>Szoros</t>
        </is>
      </c>
      <c r="G14" s="4" t="inlineStr">
        <is>
          <t>Igen</t>
        </is>
      </c>
      <c r="H14" s="4" t="inlineStr">
        <is>
          <t>Nagy térfogatú cserép – 20–100 literes termesztés, kültér</t>
        </is>
      </c>
      <c r="I14" s="4" t="inlineStr">
        <is>
          <t>SEO title / H1 / bevezető (másodlagos)</t>
        </is>
      </c>
    </row>
    <row r="15">
      <c r="A15" s="11" t="inlineStr">
        <is>
          <t>Nagy virágcserép</t>
        </is>
      </c>
      <c r="B15" s="11" t="n">
        <v>4</v>
      </c>
      <c r="C15" s="11" t="inlineStr">
        <is>
          <t>műanyag virágcserép 60 cm</t>
        </is>
      </c>
      <c r="D15" s="11" t="n"/>
      <c r="E15" s="21" t="n">
        <v>320</v>
      </c>
      <c r="F15" s="11" t="inlineStr">
        <is>
          <t>Laza</t>
        </is>
      </c>
      <c r="G15" s="11" t="inlineStr">
        <is>
          <t>Nem</t>
        </is>
      </c>
      <c r="H15" s="11" t="inlineStr">
        <is>
          <t>Nagy térfogatú cserép – 20–100 literes termesztés, kültér</t>
        </is>
      </c>
      <c r="I15" s="11" t="inlineStr">
        <is>
          <t>Nem célozni külön oldallal (max. említés)</t>
        </is>
      </c>
    </row>
    <row r="16">
      <c r="A16" s="12" t="inlineStr">
        <is>
          <t>Cserépalátét</t>
        </is>
      </c>
      <c r="B16" s="12" t="n">
        <v>3</v>
      </c>
      <c r="C16" s="12" t="inlineStr">
        <is>
          <t>obi cserépalátét</t>
        </is>
      </c>
      <c r="D16" s="12" t="n"/>
      <c r="E16" s="22" t="n">
        <v>320</v>
      </c>
      <c r="F16" s="12" t="inlineStr">
        <is>
          <t>Nincs (áruházi / nem vásárlási szándék)</t>
        </is>
      </c>
      <c r="G16" s="12" t="inlineStr">
        <is>
          <t>Nem – kizárandó</t>
        </is>
      </c>
      <c r="H16" s="12" t="inlineStr">
        <is>
          <t>Cserép alá – vízfelfogás, gurulós alátét</t>
        </is>
      </c>
      <c r="I16" s="12" t="inlineStr">
        <is>
          <t>Nem használni (áruházi/nem vásárlási szándék)</t>
        </is>
      </c>
    </row>
    <row r="17">
      <c r="A17" s="11" t="inlineStr">
        <is>
          <t>Műanyag tálca, árapály asztal</t>
        </is>
      </c>
      <c r="B17" s="11" t="n">
        <v>5</v>
      </c>
      <c r="C17" s="11" t="inlineStr">
        <is>
          <t>szaporító tálca</t>
        </is>
      </c>
      <c r="D17" s="11" t="n"/>
      <c r="E17" s="21" t="n">
        <v>320</v>
      </c>
      <c r="F17" s="11" t="inlineStr">
        <is>
          <t>Laza</t>
        </is>
      </c>
      <c r="G17" s="11" t="inlineStr">
        <is>
          <t>Nem</t>
        </is>
      </c>
      <c r="H17" s="11" t="inlineStr">
        <is>
          <t>Gyűjtőtálca termesztősátorba, árapály (ebb &amp; flow) rendszer</t>
        </is>
      </c>
      <c r="I17" s="11" t="inlineStr">
        <is>
          <t>Nem célozni külön oldallal (max. említés)</t>
        </is>
      </c>
    </row>
    <row r="18">
      <c r="A18" s="4" t="inlineStr">
        <is>
          <t>Virágcserép</t>
        </is>
      </c>
      <c r="B18" s="4" t="n">
        <v>7</v>
      </c>
      <c r="C18" s="4" t="inlineStr">
        <is>
          <t>virágcserép műanyag</t>
        </is>
      </c>
      <c r="D18" s="4" t="n"/>
      <c r="E18" s="5" t="n">
        <v>260</v>
      </c>
      <c r="F18" s="4" t="inlineStr">
        <is>
          <t>Szoros</t>
        </is>
      </c>
      <c r="G18" s="4" t="inlineStr">
        <is>
          <t>Igen</t>
        </is>
      </c>
      <c r="H18" s="4" t="inlineStr">
        <is>
          <t>Termesztő cserép – műanyag, kerek, literes méretek</t>
        </is>
      </c>
      <c r="I18" s="4" t="inlineStr">
        <is>
          <t>Kategórialeírás (természetes említés)</t>
        </is>
      </c>
    </row>
    <row r="19">
      <c r="A19" s="4" t="inlineStr">
        <is>
          <t>Nagy virágcserép</t>
        </is>
      </c>
      <c r="B19" s="4" t="n">
        <v>5</v>
      </c>
      <c r="C19" s="4" t="inlineStr">
        <is>
          <t>virágcserép nagy</t>
        </is>
      </c>
      <c r="D19" s="4" t="n"/>
      <c r="E19" s="5" t="n">
        <v>260</v>
      </c>
      <c r="F19" s="4" t="inlineStr">
        <is>
          <t>Szoros</t>
        </is>
      </c>
      <c r="G19" s="4" t="inlineStr">
        <is>
          <t>Igen</t>
        </is>
      </c>
      <c r="H19" s="4" t="inlineStr">
        <is>
          <t>Nagy térfogatú cserép – 20–100 literes termesztés, kültér</t>
        </is>
      </c>
      <c r="I19" s="4" t="inlineStr">
        <is>
          <t>SEO title / H1 / bevezető (másodlagos)</t>
        </is>
      </c>
    </row>
    <row r="20">
      <c r="A20" s="4" t="inlineStr">
        <is>
          <t>Cserépalátét</t>
        </is>
      </c>
      <c r="B20" s="4" t="n">
        <v>1</v>
      </c>
      <c r="C20" s="4" t="inlineStr">
        <is>
          <t>cserépalátét</t>
        </is>
      </c>
      <c r="D20" s="4" t="n"/>
      <c r="E20" s="5" t="n">
        <v>260</v>
      </c>
      <c r="F20" s="4" t="inlineStr">
        <is>
          <t>Szoros</t>
        </is>
      </c>
      <c r="G20" s="4" t="inlineStr">
        <is>
          <t>Igen</t>
        </is>
      </c>
      <c r="H20" s="4" t="inlineStr">
        <is>
          <t>Cserép alá – vízfelfogás, gurulós alátét</t>
        </is>
      </c>
      <c r="I20" s="4" t="inlineStr">
        <is>
          <t>Kategórianév + H1 + SEO title (fő kulcsszó)</t>
        </is>
      </c>
    </row>
    <row r="21">
      <c r="A21" s="4" t="inlineStr">
        <is>
          <t>Cserépalátét</t>
        </is>
      </c>
      <c r="B21" s="4" t="n">
        <v>4</v>
      </c>
      <c r="C21" s="4" t="inlineStr">
        <is>
          <t>cserép alátét</t>
        </is>
      </c>
      <c r="D21" s="4" t="n"/>
      <c r="E21" s="5" t="n">
        <v>260</v>
      </c>
      <c r="F21" s="4" t="inlineStr">
        <is>
          <t>Szoros</t>
        </is>
      </c>
      <c r="G21" s="4" t="inlineStr">
        <is>
          <t>Igen</t>
        </is>
      </c>
      <c r="H21" s="4" t="inlineStr">
        <is>
          <t>Cserép alá – vízfelfogás, gurulós alátét</t>
        </is>
      </c>
      <c r="I21" s="4" t="inlineStr">
        <is>
          <t>SEO title / H1 / bevezető (másodlagos)</t>
        </is>
      </c>
    </row>
    <row r="22">
      <c r="A22" s="7" t="inlineStr">
        <is>
          <t>Cserépalátét</t>
        </is>
      </c>
      <c r="B22" s="7" t="n">
        <v>5</v>
      </c>
      <c r="C22" s="7" t="inlineStr">
        <is>
          <t>gurulós virágtartó</t>
        </is>
      </c>
      <c r="D22" s="7" t="n"/>
      <c r="E22" s="8" t="n">
        <v>260</v>
      </c>
      <c r="F22" s="7" t="inlineStr">
        <is>
          <t>Laza</t>
        </is>
      </c>
      <c r="G22" s="7" t="inlineStr">
        <is>
          <t>Igen</t>
        </is>
      </c>
      <c r="H22" s="7" t="inlineStr">
        <is>
          <t>Cserép alá – vízfelfogás, gurulós alátét</t>
        </is>
      </c>
      <c r="I22" s="7" t="inlineStr">
        <is>
          <t>Kategórialeírás (természetes említés)</t>
        </is>
      </c>
    </row>
    <row r="23">
      <c r="A23" s="11" t="inlineStr">
        <is>
          <t>Műanyag tálca, árapály asztal</t>
        </is>
      </c>
      <c r="B23" s="11" t="n">
        <v>6</v>
      </c>
      <c r="C23" s="11" t="inlineStr">
        <is>
          <t>csepptálca</t>
        </is>
      </c>
      <c r="D23" s="11" t="n"/>
      <c r="E23" s="21" t="n">
        <v>210</v>
      </c>
      <c r="F23" s="11" t="inlineStr">
        <is>
          <t>Laza</t>
        </is>
      </c>
      <c r="G23" s="11" t="inlineStr">
        <is>
          <t>Nem</t>
        </is>
      </c>
      <c r="H23" s="11" t="inlineStr">
        <is>
          <t>Gyűjtőtálca termesztősátorba, árapály (ebb &amp; flow) rendszer</t>
        </is>
      </c>
      <c r="I23" s="11" t="inlineStr">
        <is>
          <t>Nem célozni külön oldallal (max. említés)</t>
        </is>
      </c>
    </row>
    <row r="24">
      <c r="A24" s="4" t="inlineStr">
        <is>
          <t>Virágcserép</t>
        </is>
      </c>
      <c r="B24" s="4" t="n">
        <v>8</v>
      </c>
      <c r="C24" s="4" t="inlineStr">
        <is>
          <t>könnyű cserepek</t>
        </is>
      </c>
      <c r="D24" s="4" t="n"/>
      <c r="E24" s="5" t="n">
        <v>140</v>
      </c>
      <c r="F24" s="4" t="inlineStr">
        <is>
          <t>Szoros</t>
        </is>
      </c>
      <c r="G24" s="4" t="inlineStr">
        <is>
          <t>Igen</t>
        </is>
      </c>
      <c r="H24" s="4" t="inlineStr">
        <is>
          <t>Termesztő cserép – műanyag, kerek, literes méretek</t>
        </is>
      </c>
      <c r="I24" s="4" t="inlineStr">
        <is>
          <t>Kategórialeírás (természetes említés)</t>
        </is>
      </c>
    </row>
    <row r="25">
      <c r="A25" s="4" t="inlineStr">
        <is>
          <t>Virágcserép</t>
        </is>
      </c>
      <c r="B25" s="4" t="n">
        <v>9</v>
      </c>
      <c r="C25" s="4" t="inlineStr">
        <is>
          <t>cserepek</t>
        </is>
      </c>
      <c r="D25" s="4" t="n"/>
      <c r="E25" s="5" t="n">
        <v>140</v>
      </c>
      <c r="F25" s="4" t="inlineStr">
        <is>
          <t>Szoros</t>
        </is>
      </c>
      <c r="G25" s="4" t="inlineStr">
        <is>
          <t>Igen</t>
        </is>
      </c>
      <c r="H25" s="4" t="inlineStr">
        <is>
          <t>Termesztő cserép – műanyag, kerek, literes méretek</t>
        </is>
      </c>
      <c r="I25" s="4" t="inlineStr">
        <is>
          <t>Kategórialeírás (természetes említés)</t>
        </is>
      </c>
    </row>
    <row r="26">
      <c r="A26" s="12" t="inlineStr">
        <is>
          <t>Virágcserép</t>
        </is>
      </c>
      <c r="B26" s="12" t="n">
        <v>10</v>
      </c>
      <c r="C26" s="12" t="inlineStr">
        <is>
          <t>praktiker virágcserép</t>
        </is>
      </c>
      <c r="D26" s="12" t="n"/>
      <c r="E26" s="22" t="n">
        <v>140</v>
      </c>
      <c r="F26" s="12" t="inlineStr">
        <is>
          <t>Nincs (áruházi / nem vásárlási szándék)</t>
        </is>
      </c>
      <c r="G26" s="12" t="inlineStr">
        <is>
          <t>Nem – kizárandó</t>
        </is>
      </c>
      <c r="H26" s="12" t="inlineStr">
        <is>
          <t>Termesztő cserép – műanyag, kerek, literes méretek</t>
        </is>
      </c>
      <c r="I26" s="12" t="inlineStr">
        <is>
          <t>Nem használni (áruházi/nem vásárlási szándék)</t>
        </is>
      </c>
    </row>
    <row r="27">
      <c r="A27" s="4" t="inlineStr">
        <is>
          <t>Nagy virágcserép</t>
        </is>
      </c>
      <c r="B27" s="4" t="n">
        <v>6</v>
      </c>
      <c r="C27" s="4" t="inlineStr">
        <is>
          <t>nagy cserép</t>
        </is>
      </c>
      <c r="D27" s="4" t="n"/>
      <c r="E27" s="5" t="n">
        <v>140</v>
      </c>
      <c r="F27" s="4" t="inlineStr">
        <is>
          <t>Szoros</t>
        </is>
      </c>
      <c r="G27" s="4" t="inlineStr">
        <is>
          <t>Igen</t>
        </is>
      </c>
      <c r="H27" s="4" t="inlineStr">
        <is>
          <t>Nagy térfogatú cserép – 20–100 literes termesztés, kültér</t>
        </is>
      </c>
      <c r="I27" s="4" t="inlineStr">
        <is>
          <t>SEO title / H1 / bevezető (másodlagos)</t>
        </is>
      </c>
    </row>
    <row r="28">
      <c r="A28" s="4" t="inlineStr">
        <is>
          <t>Air-Pot cserép</t>
        </is>
      </c>
      <c r="B28" s="4" t="n">
        <v>1</v>
      </c>
      <c r="C28" s="4" t="inlineStr">
        <is>
          <t>airpot</t>
        </is>
      </c>
      <c r="D28" s="4" t="n"/>
      <c r="E28" s="5" t="n">
        <v>140</v>
      </c>
      <c r="F28" s="4" t="inlineStr">
        <is>
          <t>Szoros</t>
        </is>
      </c>
      <c r="G28" s="4" t="inlineStr">
        <is>
          <t>Igen</t>
        </is>
      </c>
      <c r="H28" s="4" t="inlineStr">
        <is>
          <t>Gyökérlégzés, gyökérmetszés – termesztés konténerben</t>
        </is>
      </c>
      <c r="I28" s="4" t="inlineStr">
        <is>
          <t>Kategórianév + H1 + SEO title (fő kulcsszó)</t>
        </is>
      </c>
    </row>
    <row r="29">
      <c r="A29" s="4" t="inlineStr">
        <is>
          <t>Cserépalátét</t>
        </is>
      </c>
      <c r="B29" s="4" t="n">
        <v>6</v>
      </c>
      <c r="C29" s="4" t="inlineStr">
        <is>
          <t>virágcserép alátét</t>
        </is>
      </c>
      <c r="D29" s="4" t="n"/>
      <c r="E29" s="5" t="n">
        <v>140</v>
      </c>
      <c r="F29" s="4" t="inlineStr">
        <is>
          <t>Szoros</t>
        </is>
      </c>
      <c r="G29" s="4" t="inlineStr">
        <is>
          <t>Igen</t>
        </is>
      </c>
      <c r="H29" s="4" t="inlineStr">
        <is>
          <t>Cserép alá – vízfelfogás, gurulós alátét</t>
        </is>
      </c>
      <c r="I29" s="4" t="inlineStr">
        <is>
          <t>SEO title / H1 / bevezető (másodlagos)</t>
        </is>
      </c>
    </row>
    <row r="30">
      <c r="A30" s="4" t="inlineStr">
        <is>
          <t>Cserépalátét</t>
        </is>
      </c>
      <c r="B30" s="4" t="n">
        <v>7</v>
      </c>
      <c r="C30" s="4" t="inlineStr">
        <is>
          <t>virágcserép alátéttel</t>
        </is>
      </c>
      <c r="D30" s="4" t="n"/>
      <c r="E30" s="5" t="n">
        <v>140</v>
      </c>
      <c r="F30" s="4" t="inlineStr">
        <is>
          <t>Szoros</t>
        </is>
      </c>
      <c r="G30" s="4" t="inlineStr">
        <is>
          <t>Igen</t>
        </is>
      </c>
      <c r="H30" s="4" t="inlineStr">
        <is>
          <t>Cserép alá – vízfelfogás, gurulós alátét</t>
        </is>
      </c>
      <c r="I30" s="4" t="inlineStr">
        <is>
          <t>Kategórialeírás (természetes említés)</t>
        </is>
      </c>
    </row>
    <row r="31">
      <c r="A31" s="7" t="inlineStr">
        <is>
          <t>Műanyag tálca, árapály asztal</t>
        </is>
      </c>
      <c r="B31" s="7" t="n">
        <v>1</v>
      </c>
      <c r="C31" s="7" t="inlineStr">
        <is>
          <t>nagyméretű műanyag tálca</t>
        </is>
      </c>
      <c r="D31" s="7" t="n"/>
      <c r="E31" s="8" t="n">
        <v>140</v>
      </c>
      <c r="F31" s="7" t="inlineStr">
        <is>
          <t>Laza</t>
        </is>
      </c>
      <c r="G31" s="7" t="inlineStr">
        <is>
          <t>Igen</t>
        </is>
      </c>
      <c r="H31" s="7" t="inlineStr">
        <is>
          <t>Gyűjtőtálca termesztősátorba, árapály (ebb &amp; flow) rendszer</t>
        </is>
      </c>
      <c r="I31" s="7" t="inlineStr">
        <is>
          <t>Kategórianév + H1 + SEO title (fő kulcsszó)</t>
        </is>
      </c>
    </row>
    <row r="32">
      <c r="A32" s="4" t="inlineStr">
        <is>
          <t>Virágcserép</t>
        </is>
      </c>
      <c r="B32" s="4" t="n">
        <v>11</v>
      </c>
      <c r="C32" s="4" t="inlineStr">
        <is>
          <t>olcsó műanyag virágcserép</t>
        </is>
      </c>
      <c r="D32" s="4" t="n"/>
      <c r="E32" s="5" t="n">
        <v>110</v>
      </c>
      <c r="F32" s="4" t="inlineStr">
        <is>
          <t>Szoros</t>
        </is>
      </c>
      <c r="G32" s="4" t="inlineStr">
        <is>
          <t>Igen</t>
        </is>
      </c>
      <c r="H32" s="4" t="inlineStr">
        <is>
          <t>Termesztő cserép – műanyag, kerek, literes méretek</t>
        </is>
      </c>
      <c r="I32" s="4" t="inlineStr">
        <is>
          <t>Kategórialeírás (természetes említés)</t>
        </is>
      </c>
    </row>
    <row r="33">
      <c r="A33" s="4" t="inlineStr">
        <is>
          <t>Virágcserép</t>
        </is>
      </c>
      <c r="B33" s="4" t="n">
        <v>12</v>
      </c>
      <c r="C33" s="4" t="inlineStr">
        <is>
          <t>virágcserepek</t>
        </is>
      </c>
      <c r="D33" s="4" t="n"/>
      <c r="E33" s="5" t="n">
        <v>110</v>
      </c>
      <c r="F33" s="4" t="inlineStr">
        <is>
          <t>Szoros</t>
        </is>
      </c>
      <c r="G33" s="4" t="inlineStr">
        <is>
          <t>Igen</t>
        </is>
      </c>
      <c r="H33" s="4" t="inlineStr">
        <is>
          <t>Termesztő cserép – műanyag, kerek, literes méretek</t>
        </is>
      </c>
      <c r="I33" s="4" t="inlineStr">
        <is>
          <t>Kategórialeírás (természetes említés)</t>
        </is>
      </c>
    </row>
    <row r="34">
      <c r="A34" s="4" t="inlineStr">
        <is>
          <t>Virágcserép</t>
        </is>
      </c>
      <c r="B34" s="4" t="n">
        <v>13</v>
      </c>
      <c r="C34" s="4" t="inlineStr">
        <is>
          <t>műanyag cserép nagykereskedés</t>
        </is>
      </c>
      <c r="D34" s="4" t="n"/>
      <c r="E34" s="5" t="n">
        <v>110</v>
      </c>
      <c r="F34" s="4" t="inlineStr">
        <is>
          <t>Szoros</t>
        </is>
      </c>
      <c r="G34" s="4" t="inlineStr">
        <is>
          <t>Igen</t>
        </is>
      </c>
      <c r="H34" s="4" t="inlineStr">
        <is>
          <t>Termesztő cserép – műanyag, kerek, literes méretek</t>
        </is>
      </c>
      <c r="I34" s="4" t="inlineStr">
        <is>
          <t>Kategórialeírás (természetes említés)</t>
        </is>
      </c>
    </row>
    <row r="35">
      <c r="A35" s="4" t="inlineStr">
        <is>
          <t>Virágcserép</t>
        </is>
      </c>
      <c r="B35" s="4" t="n">
        <v>14</v>
      </c>
      <c r="C35" s="4" t="inlineStr">
        <is>
          <t>virágcserép méretek</t>
        </is>
      </c>
      <c r="D35" s="4" t="n"/>
      <c r="E35" s="5" t="n">
        <v>110</v>
      </c>
      <c r="F35" s="4" t="inlineStr">
        <is>
          <t>Szoros</t>
        </is>
      </c>
      <c r="G35" s="4" t="inlineStr">
        <is>
          <t>Igen</t>
        </is>
      </c>
      <c r="H35" s="4" t="inlineStr">
        <is>
          <t>Termesztő cserép – műanyag, kerek, literes méretek</t>
        </is>
      </c>
      <c r="I35" s="4" t="inlineStr">
        <is>
          <t>Leírás alsó része, GYIK vagy blog</t>
        </is>
      </c>
    </row>
    <row r="36">
      <c r="A36" s="4" t="inlineStr">
        <is>
          <t>Cserépalátét</t>
        </is>
      </c>
      <c r="B36" s="4" t="n">
        <v>8</v>
      </c>
      <c r="C36" s="4" t="inlineStr">
        <is>
          <t>műanyag cserépalátét</t>
        </is>
      </c>
      <c r="D36" s="4" t="n"/>
      <c r="E36" s="5" t="n">
        <v>110</v>
      </c>
      <c r="F36" s="4" t="inlineStr">
        <is>
          <t>Szoros</t>
        </is>
      </c>
      <c r="G36" s="4" t="inlineStr">
        <is>
          <t>Igen</t>
        </is>
      </c>
      <c r="H36" s="4" t="inlineStr">
        <is>
          <t>Cserép alá – vízfelfogás, gurulós alátét</t>
        </is>
      </c>
      <c r="I36" s="4" t="inlineStr">
        <is>
          <t>SEO title / H1 / bevezető (másodlagos)</t>
        </is>
      </c>
    </row>
    <row r="37">
      <c r="A37" s="4" t="inlineStr">
        <is>
          <t>Nagy virágcserép</t>
        </is>
      </c>
      <c r="B37" s="4" t="n">
        <v>7</v>
      </c>
      <c r="C37" s="4" t="inlineStr">
        <is>
          <t>nagy méretű virágcserép</t>
        </is>
      </c>
      <c r="D37" s="4" t="n"/>
      <c r="E37" s="5" t="n">
        <v>90</v>
      </c>
      <c r="F37" s="4" t="inlineStr">
        <is>
          <t>Szoros</t>
        </is>
      </c>
      <c r="G37" s="4" t="inlineStr">
        <is>
          <t>Igen</t>
        </is>
      </c>
      <c r="H37" s="4" t="inlineStr">
        <is>
          <t>Nagy térfogatú cserép – 20–100 literes termesztés, kültér</t>
        </is>
      </c>
      <c r="I37" s="4" t="inlineStr">
        <is>
          <t>Kategórialeírás (természetes említés)</t>
        </is>
      </c>
    </row>
    <row r="38">
      <c r="A38" s="4" t="inlineStr">
        <is>
          <t>Szögletes cserép</t>
        </is>
      </c>
      <c r="B38" s="4" t="n">
        <v>1</v>
      </c>
      <c r="C38" s="4" t="inlineStr">
        <is>
          <t>szögletes virágcserép</t>
        </is>
      </c>
      <c r="D38" s="4" t="n"/>
      <c r="E38" s="5" t="n">
        <v>90</v>
      </c>
      <c r="F38" s="4" t="inlineStr">
        <is>
          <t>Szoros</t>
        </is>
      </c>
      <c r="G38" s="4" t="inlineStr">
        <is>
          <t>Igen</t>
        </is>
      </c>
      <c r="H38" s="4" t="inlineStr">
        <is>
          <t>Helytakarékos termesztés sátorban / polcon</t>
        </is>
      </c>
      <c r="I38" s="4" t="inlineStr">
        <is>
          <t>Kategórianév + H1 + SEO title (fő kulcsszó)</t>
        </is>
      </c>
    </row>
    <row r="39">
      <c r="A39" s="4" t="inlineStr">
        <is>
          <t>Air-Pot cserép</t>
        </is>
      </c>
      <c r="B39" s="4" t="n">
        <v>2</v>
      </c>
      <c r="C39" s="4" t="inlineStr">
        <is>
          <t>air pot</t>
        </is>
      </c>
      <c r="D39" s="4" t="n"/>
      <c r="E39" s="5" t="n">
        <v>90</v>
      </c>
      <c r="F39" s="4" t="inlineStr">
        <is>
          <t>Szoros</t>
        </is>
      </c>
      <c r="G39" s="4" t="inlineStr">
        <is>
          <t>Igen</t>
        </is>
      </c>
      <c r="H39" s="4" t="inlineStr">
        <is>
          <t>Gyökérlégzés, gyökérmetszés – termesztés konténerben</t>
        </is>
      </c>
      <c r="I39" s="4" t="inlineStr">
        <is>
          <t>SEO title / H1 / bevezető (másodlagos)</t>
        </is>
      </c>
    </row>
    <row r="40">
      <c r="A40" s="4" t="inlineStr">
        <is>
          <t>Szövetcserép, ültetőzsák</t>
        </is>
      </c>
      <c r="B40" s="4" t="n">
        <v>1</v>
      </c>
      <c r="C40" s="4" t="inlineStr">
        <is>
          <t>ültetőzsák</t>
        </is>
      </c>
      <c r="D40" s="4" t="n"/>
      <c r="E40" s="5" t="n">
        <v>90</v>
      </c>
      <c r="F40" s="4" t="inlineStr">
        <is>
          <t>Szoros</t>
        </is>
      </c>
      <c r="G40" s="4" t="inlineStr">
        <is>
          <t>Igen</t>
        </is>
      </c>
      <c r="H40" s="4" t="inlineStr">
        <is>
          <t>Szövet / textil / filc cserép, ültető- és termesztőzsák</t>
        </is>
      </c>
      <c r="I40" s="4" t="inlineStr">
        <is>
          <t>Kategórianév + H1 + SEO title (fő kulcsszó)</t>
        </is>
      </c>
    </row>
    <row r="41">
      <c r="A41" s="11" t="inlineStr">
        <is>
          <t>Cserépalátét</t>
        </is>
      </c>
      <c r="B41" s="11" t="n">
        <v>9</v>
      </c>
      <c r="C41" s="11" t="inlineStr">
        <is>
          <t>kerámia cserépalátét</t>
        </is>
      </c>
      <c r="D41" s="11" t="n"/>
      <c r="E41" s="21" t="n">
        <v>90</v>
      </c>
      <c r="F41" s="11" t="inlineStr">
        <is>
          <t>Laza</t>
        </is>
      </c>
      <c r="G41" s="11" t="inlineStr">
        <is>
          <t>Nem</t>
        </is>
      </c>
      <c r="H41" s="11" t="inlineStr">
        <is>
          <t>Cserép alá – vízfelfogás, gurulós alátét</t>
        </is>
      </c>
      <c r="I41" s="11" t="inlineStr">
        <is>
          <t>Nem célozni külön oldallal (max. említés)</t>
        </is>
      </c>
    </row>
    <row r="42">
      <c r="A42" s="4" t="inlineStr">
        <is>
          <t>Virágcserép</t>
        </is>
      </c>
      <c r="B42" s="4" t="n">
        <v>15</v>
      </c>
      <c r="C42" s="4" t="inlineStr">
        <is>
          <t>műanyag virágcserép 40 cm</t>
        </is>
      </c>
      <c r="D42" s="4" t="n"/>
      <c r="E42" s="5" t="n">
        <v>70</v>
      </c>
      <c r="F42" s="4" t="inlineStr">
        <is>
          <t>Szoros</t>
        </is>
      </c>
      <c r="G42" s="4" t="inlineStr">
        <is>
          <t>Igen</t>
        </is>
      </c>
      <c r="H42" s="4" t="inlineStr">
        <is>
          <t>Termesztő cserép – műanyag, kerek, literes méretek</t>
        </is>
      </c>
      <c r="I42" s="4" t="inlineStr">
        <is>
          <t>Kategórialeírás (természetes említés)</t>
        </is>
      </c>
    </row>
    <row r="43">
      <c r="A43" s="4" t="inlineStr">
        <is>
          <t>Nagy virágcserép</t>
        </is>
      </c>
      <c r="B43" s="4" t="n">
        <v>8</v>
      </c>
      <c r="C43" s="4" t="inlineStr">
        <is>
          <t>nagyméretű cserép</t>
        </is>
      </c>
      <c r="D43" s="4" t="n"/>
      <c r="E43" s="5" t="n">
        <v>70</v>
      </c>
      <c r="F43" s="4" t="inlineStr">
        <is>
          <t>Szoros</t>
        </is>
      </c>
      <c r="G43" s="4" t="inlineStr">
        <is>
          <t>Igen</t>
        </is>
      </c>
      <c r="H43" s="4" t="inlineStr">
        <is>
          <t>Nagy térfogatú cserép – 20–100 literes termesztés, kültér</t>
        </is>
      </c>
      <c r="I43" s="4" t="inlineStr">
        <is>
          <t>Kategórialeírás (természetes említés)</t>
        </is>
      </c>
    </row>
    <row r="44">
      <c r="A44" s="4" t="inlineStr">
        <is>
          <t>Nagy virágcserép</t>
        </is>
      </c>
      <c r="B44" s="4" t="n">
        <v>9</v>
      </c>
      <c r="C44" s="4" t="inlineStr">
        <is>
          <t>nagy virágcserép olcsón</t>
        </is>
      </c>
      <c r="D44" s="4" t="n"/>
      <c r="E44" s="5" t="n">
        <v>70</v>
      </c>
      <c r="F44" s="4" t="inlineStr">
        <is>
          <t>Szoros</t>
        </is>
      </c>
      <c r="G44" s="4" t="inlineStr">
        <is>
          <t>Igen</t>
        </is>
      </c>
      <c r="H44" s="4" t="inlineStr">
        <is>
          <t>Nagy térfogatú cserép – 20–100 literes termesztés, kültér</t>
        </is>
      </c>
      <c r="I44" s="4" t="inlineStr">
        <is>
          <t>Kategórialeírás (természetes említés)</t>
        </is>
      </c>
    </row>
    <row r="45">
      <c r="A45" s="4" t="inlineStr">
        <is>
          <t>Szögletes cserép</t>
        </is>
      </c>
      <c r="B45" s="4" t="n">
        <v>2</v>
      </c>
      <c r="C45" s="4" t="inlineStr">
        <is>
          <t>magas cserép</t>
        </is>
      </c>
      <c r="D45" s="4" t="n"/>
      <c r="E45" s="5" t="n">
        <v>70</v>
      </c>
      <c r="F45" s="4" t="inlineStr">
        <is>
          <t>Szoros</t>
        </is>
      </c>
      <c r="G45" s="4" t="inlineStr">
        <is>
          <t>Igen</t>
        </is>
      </c>
      <c r="H45" s="4" t="inlineStr">
        <is>
          <t>Helytakarékos termesztés sátorban / polcon</t>
        </is>
      </c>
      <c r="I45" s="4" t="inlineStr">
        <is>
          <t>SEO title / H1 / bevezető (másodlagos)</t>
        </is>
      </c>
    </row>
    <row r="46">
      <c r="A46" s="7" t="inlineStr">
        <is>
          <t>Cserépalátét</t>
        </is>
      </c>
      <c r="B46" s="7" t="n">
        <v>10</v>
      </c>
      <c r="C46" s="7" t="inlineStr">
        <is>
          <t>gurulós virágállvány</t>
        </is>
      </c>
      <c r="D46" s="7" t="n"/>
      <c r="E46" s="8" t="n">
        <v>70</v>
      </c>
      <c r="F46" s="7" t="inlineStr">
        <is>
          <t>Laza</t>
        </is>
      </c>
      <c r="G46" s="7" t="inlineStr">
        <is>
          <t>Igen</t>
        </is>
      </c>
      <c r="H46" s="7" t="inlineStr">
        <is>
          <t>Cserép alá – vízfelfogás, gurulós alátét</t>
        </is>
      </c>
      <c r="I46" s="7" t="inlineStr">
        <is>
          <t>Kategórialeírás (természetes említés)</t>
        </is>
      </c>
    </row>
    <row r="47">
      <c r="A47" s="11" t="inlineStr">
        <is>
          <t>Cserépalátét</t>
        </is>
      </c>
      <c r="B47" s="11" t="n">
        <v>11</v>
      </c>
      <c r="C47" s="11" t="inlineStr">
        <is>
          <t>agyag cserépalátét</t>
        </is>
      </c>
      <c r="D47" s="11" t="n"/>
      <c r="E47" s="21" t="n">
        <v>70</v>
      </c>
      <c r="F47" s="11" t="inlineStr">
        <is>
          <t>Laza</t>
        </is>
      </c>
      <c r="G47" s="11" t="inlineStr">
        <is>
          <t>Nem</t>
        </is>
      </c>
      <c r="H47" s="11" t="inlineStr">
        <is>
          <t>Cserép alá – vízfelfogás, gurulós alátét</t>
        </is>
      </c>
      <c r="I47" s="11" t="inlineStr">
        <is>
          <t>Nem célozni külön oldallal (max. említés)</t>
        </is>
      </c>
    </row>
    <row r="48">
      <c r="A48" s="4" t="inlineStr">
        <is>
          <t>Műanyag tálca, árapály asztal</t>
        </is>
      </c>
      <c r="B48" s="4" t="n">
        <v>7</v>
      </c>
      <c r="C48" s="4" t="inlineStr">
        <is>
          <t>ebb and flow</t>
        </is>
      </c>
      <c r="D48" s="4" t="n"/>
      <c r="E48" s="5" t="n">
        <v>70</v>
      </c>
      <c r="F48" s="4" t="inlineStr">
        <is>
          <t>Szoros</t>
        </is>
      </c>
      <c r="G48" s="4" t="inlineStr">
        <is>
          <t>Igen</t>
        </is>
      </c>
      <c r="H48" s="4" t="inlineStr">
        <is>
          <t>Gyűjtőtálca termesztősátorba, árapály (ebb &amp; flow) rendszer</t>
        </is>
      </c>
      <c r="I48" s="4" t="inlineStr">
        <is>
          <t>SEO title / H1 / bevezető (másodlagos)</t>
        </is>
      </c>
    </row>
    <row r="49">
      <c r="A49" s="7" t="inlineStr">
        <is>
          <t>Műanyag tálca, árapály asztal</t>
        </is>
      </c>
      <c r="B49" s="7" t="n">
        <v>8</v>
      </c>
      <c r="C49" s="7" t="inlineStr">
        <is>
          <t>műanyag csepegtető tálca</t>
        </is>
      </c>
      <c r="D49" s="7" t="n"/>
      <c r="E49" s="8" t="n">
        <v>70</v>
      </c>
      <c r="F49" s="7" t="inlineStr">
        <is>
          <t>Laza</t>
        </is>
      </c>
      <c r="G49" s="7" t="inlineStr">
        <is>
          <t>Igen</t>
        </is>
      </c>
      <c r="H49" s="7" t="inlineStr">
        <is>
          <t>Gyűjtőtálca termesztősátorba, árapály (ebb &amp; flow) rendszer</t>
        </is>
      </c>
      <c r="I49" s="7" t="inlineStr">
        <is>
          <t>Kategórialeírás (természetes említés)</t>
        </is>
      </c>
    </row>
    <row r="50">
      <c r="A50" s="4" t="inlineStr">
        <is>
          <t>Virágcserép</t>
        </is>
      </c>
      <c r="B50" s="4" t="n">
        <v>16</v>
      </c>
      <c r="C50" s="4" t="inlineStr">
        <is>
          <t>olcsó virágcserép</t>
        </is>
      </c>
      <c r="D50" s="4" t="n"/>
      <c r="E50" s="5" t="n">
        <v>50</v>
      </c>
      <c r="F50" s="4" t="inlineStr">
        <is>
          <t>Szoros</t>
        </is>
      </c>
      <c r="G50" s="4" t="inlineStr">
        <is>
          <t>Igen</t>
        </is>
      </c>
      <c r="H50" s="4" t="inlineStr">
        <is>
          <t>Termesztő cserép – műanyag, kerek, literes méretek</t>
        </is>
      </c>
      <c r="I50" s="4" t="inlineStr">
        <is>
          <t>Kategórialeírás (természetes említés)</t>
        </is>
      </c>
    </row>
    <row r="51">
      <c r="A51" s="4" t="inlineStr">
        <is>
          <t>Virágcserép</t>
        </is>
      </c>
      <c r="B51" s="4" t="n">
        <v>17</v>
      </c>
      <c r="C51" s="4" t="inlineStr">
        <is>
          <t>20 literes cserép</t>
        </is>
      </c>
      <c r="D51" s="4" t="n"/>
      <c r="E51" s="5" t="n">
        <v>50</v>
      </c>
      <c r="F51" s="4" t="inlineStr">
        <is>
          <t>Szoros</t>
        </is>
      </c>
      <c r="G51" s="4" t="inlineStr">
        <is>
          <t>Igen</t>
        </is>
      </c>
      <c r="H51" s="4" t="inlineStr">
        <is>
          <t>Termesztő cserép – műanyag, kerek, literes méretek</t>
        </is>
      </c>
      <c r="I51" s="4" t="inlineStr">
        <is>
          <t>Kategórialeírás (természetes említés)</t>
        </is>
      </c>
    </row>
    <row r="52">
      <c r="A52" s="4" t="inlineStr">
        <is>
          <t>Nagy virágcserép</t>
        </is>
      </c>
      <c r="B52" s="4" t="n">
        <v>10</v>
      </c>
      <c r="C52" s="4" t="inlineStr">
        <is>
          <t>nagy műanyag cserép</t>
        </is>
      </c>
      <c r="D52" s="4" t="n"/>
      <c r="E52" s="5" t="n">
        <v>50</v>
      </c>
      <c r="F52" s="4" t="inlineStr">
        <is>
          <t>Szoros</t>
        </is>
      </c>
      <c r="G52" s="4" t="inlineStr">
        <is>
          <t>Igen</t>
        </is>
      </c>
      <c r="H52" s="4" t="inlineStr">
        <is>
          <t>Nagy térfogatú cserép – 20–100 literes termesztés, kültér</t>
        </is>
      </c>
      <c r="I52" s="4" t="inlineStr">
        <is>
          <t>Kategórialeírás (természetes említés)</t>
        </is>
      </c>
    </row>
    <row r="53">
      <c r="A53" s="4" t="inlineStr">
        <is>
          <t>Szövetcserép, ültetőzsák</t>
        </is>
      </c>
      <c r="B53" s="4" t="n">
        <v>2</v>
      </c>
      <c r="C53" s="4" t="inlineStr">
        <is>
          <t>ultetozsak</t>
        </is>
      </c>
      <c r="D53" s="4" t="n"/>
      <c r="E53" s="5" t="n">
        <v>50</v>
      </c>
      <c r="F53" s="4" t="inlineStr">
        <is>
          <t>Szoros</t>
        </is>
      </c>
      <c r="G53" s="4" t="inlineStr">
        <is>
          <t>Igen</t>
        </is>
      </c>
      <c r="H53" s="4" t="inlineStr">
        <is>
          <t>Szövet / textil / filc cserép, ültető- és termesztőzsák</t>
        </is>
      </c>
      <c r="I53" s="4" t="inlineStr">
        <is>
          <t>Kategórialeírás (természetes említés)</t>
        </is>
      </c>
    </row>
    <row r="54">
      <c r="A54" s="4" t="inlineStr">
        <is>
          <t>Cserépalátét</t>
        </is>
      </c>
      <c r="B54" s="4" t="n">
        <v>12</v>
      </c>
      <c r="C54" s="4" t="inlineStr">
        <is>
          <t>virágcserép alátét 60 cm</t>
        </is>
      </c>
      <c r="D54" s="4" t="n"/>
      <c r="E54" s="5" t="n">
        <v>50</v>
      </c>
      <c r="F54" s="4" t="inlineStr">
        <is>
          <t>Szoros</t>
        </is>
      </c>
      <c r="G54" s="4" t="inlineStr">
        <is>
          <t>Igen</t>
        </is>
      </c>
      <c r="H54" s="4" t="inlineStr">
        <is>
          <t>Cserép alá – vízfelfogás, gurulós alátét</t>
        </is>
      </c>
      <c r="I54" s="4" t="inlineStr">
        <is>
          <t>Kategórialeírás (természetes említés)</t>
        </is>
      </c>
    </row>
    <row r="55">
      <c r="A55" s="4" t="inlineStr">
        <is>
          <t>Cserépalátét</t>
        </is>
      </c>
      <c r="B55" s="4" t="n">
        <v>13</v>
      </c>
      <c r="C55" s="4" t="inlineStr">
        <is>
          <t>cserépalátét 80 cm</t>
        </is>
      </c>
      <c r="D55" s="4" t="n"/>
      <c r="E55" s="5" t="n">
        <v>50</v>
      </c>
      <c r="F55" s="4" t="inlineStr">
        <is>
          <t>Szoros</t>
        </is>
      </c>
      <c r="G55" s="4" t="inlineStr">
        <is>
          <t>Igen</t>
        </is>
      </c>
      <c r="H55" s="4" t="inlineStr">
        <is>
          <t>Cserép alá – vízfelfogás, gurulós alátét</t>
        </is>
      </c>
      <c r="I55" s="4" t="inlineStr">
        <is>
          <t>Kategórialeírás (természetes említés)</t>
        </is>
      </c>
    </row>
    <row r="56">
      <c r="A56" s="4" t="inlineStr">
        <is>
          <t>Műanyag tálca, árapály asztal</t>
        </is>
      </c>
      <c r="B56" s="4" t="n">
        <v>9</v>
      </c>
      <c r="C56" s="4" t="inlineStr">
        <is>
          <t>árapály asztal</t>
        </is>
      </c>
      <c r="D56" s="4" t="n"/>
      <c r="E56" s="5" t="n">
        <v>50</v>
      </c>
      <c r="F56" s="4" t="inlineStr">
        <is>
          <t>Szoros</t>
        </is>
      </c>
      <c r="G56" s="4" t="inlineStr">
        <is>
          <t>Igen</t>
        </is>
      </c>
      <c r="H56" s="4" t="inlineStr">
        <is>
          <t>Gyűjtőtálca termesztősátorba, árapály (ebb &amp; flow) rendszer</t>
        </is>
      </c>
      <c r="I56" s="4" t="inlineStr">
        <is>
          <t>SEO title / H1 / bevezető (másodlagos)</t>
        </is>
      </c>
    </row>
    <row r="57">
      <c r="A57" s="7" t="inlineStr">
        <is>
          <t>Műanyag tálca, árapály asztal</t>
        </is>
      </c>
      <c r="B57" s="7" t="n">
        <v>10</v>
      </c>
      <c r="C57" s="7" t="inlineStr">
        <is>
          <t>műanyag kármentő tálca</t>
        </is>
      </c>
      <c r="D57" s="7" t="n"/>
      <c r="E57" s="8" t="n">
        <v>50</v>
      </c>
      <c r="F57" s="7" t="inlineStr">
        <is>
          <t>Laza</t>
        </is>
      </c>
      <c r="G57" s="7" t="inlineStr">
        <is>
          <t>Igen</t>
        </is>
      </c>
      <c r="H57" s="7" t="inlineStr">
        <is>
          <t>Gyűjtőtálca termesztősátorba, árapály (ebb &amp; flow) rendszer</t>
        </is>
      </c>
      <c r="I57" s="7" t="inlineStr">
        <is>
          <t>Kategórialeírás (természetes említés)</t>
        </is>
      </c>
    </row>
    <row r="58">
      <c r="A58" s="12" t="inlineStr">
        <is>
          <t>Műanyag tálca, árapály asztal</t>
        </is>
      </c>
      <c r="B58" s="12" t="n">
        <v>11</v>
      </c>
      <c r="C58" s="12" t="inlineStr">
        <is>
          <t>műanyag tálca obi</t>
        </is>
      </c>
      <c r="D58" s="12" t="n"/>
      <c r="E58" s="22" t="n">
        <v>50</v>
      </c>
      <c r="F58" s="12" t="inlineStr">
        <is>
          <t>Nincs (áruházi / nem vásárlási szándék)</t>
        </is>
      </c>
      <c r="G58" s="12" t="inlineStr">
        <is>
          <t>Nem – kizárandó</t>
        </is>
      </c>
      <c r="H58" s="12" t="inlineStr">
        <is>
          <t>Gyűjtőtálca termesztősátorba, árapály (ebb &amp; flow) rendszer</t>
        </is>
      </c>
      <c r="I58" s="12" t="inlineStr">
        <is>
          <t>Nem használni (áruházi/nem vásárlási szándék)</t>
        </is>
      </c>
    </row>
    <row r="59">
      <c r="A59" s="7" t="inlineStr">
        <is>
          <t>Virágcserép</t>
        </is>
      </c>
      <c r="B59" s="7" t="n">
        <v>18</v>
      </c>
      <c r="C59" s="7" t="inlineStr">
        <is>
          <t>kerti cserép</t>
        </is>
      </c>
      <c r="D59" s="7" t="n"/>
      <c r="E59" s="8" t="n">
        <v>40</v>
      </c>
      <c r="F59" s="7" t="inlineStr">
        <is>
          <t>Laza</t>
        </is>
      </c>
      <c r="G59" s="7" t="inlineStr">
        <is>
          <t>Igen</t>
        </is>
      </c>
      <c r="H59" s="7" t="inlineStr">
        <is>
          <t>Termesztő cserép – műanyag, kerek, literes méretek</t>
        </is>
      </c>
      <c r="I59" s="7" t="inlineStr">
        <is>
          <t>Kategórialeírás (természetes említés)</t>
        </is>
      </c>
    </row>
    <row r="60">
      <c r="A60" s="4" t="inlineStr">
        <is>
          <t>Nagy virágcserép</t>
        </is>
      </c>
      <c r="B60" s="4" t="n">
        <v>11</v>
      </c>
      <c r="C60" s="4" t="inlineStr">
        <is>
          <t>nagy műanyag virágcserép</t>
        </is>
      </c>
      <c r="D60" s="4" t="n"/>
      <c r="E60" s="5" t="n">
        <v>40</v>
      </c>
      <c r="F60" s="4" t="inlineStr">
        <is>
          <t>Szoros</t>
        </is>
      </c>
      <c r="G60" s="4" t="inlineStr">
        <is>
          <t>Igen</t>
        </is>
      </c>
      <c r="H60" s="4" t="inlineStr">
        <is>
          <t>Nagy térfogatú cserép – 20–100 literes termesztés, kültér</t>
        </is>
      </c>
      <c r="I60" s="4" t="inlineStr">
        <is>
          <t>Kategórialeírás (természetes említés)</t>
        </is>
      </c>
    </row>
    <row r="61">
      <c r="A61" s="4" t="inlineStr">
        <is>
          <t>Nagy virágcserép</t>
        </is>
      </c>
      <c r="B61" s="4" t="n">
        <v>12</v>
      </c>
      <c r="C61" s="4" t="inlineStr">
        <is>
          <t>nagyméretű műanyag cserép</t>
        </is>
      </c>
      <c r="D61" s="4" t="n"/>
      <c r="E61" s="5" t="n">
        <v>40</v>
      </c>
      <c r="F61" s="4" t="inlineStr">
        <is>
          <t>Szoros</t>
        </is>
      </c>
      <c r="G61" s="4" t="inlineStr">
        <is>
          <t>Igen</t>
        </is>
      </c>
      <c r="H61" s="4" t="inlineStr">
        <is>
          <t>Nagy térfogatú cserép – 20–100 literes termesztés, kültér</t>
        </is>
      </c>
      <c r="I61" s="4" t="inlineStr">
        <is>
          <t>Kategórialeírás (természetes említés)</t>
        </is>
      </c>
    </row>
    <row r="62">
      <c r="A62" s="7" t="inlineStr">
        <is>
          <t>Nagy virágcserép</t>
        </is>
      </c>
      <c r="B62" s="7" t="n">
        <v>13</v>
      </c>
      <c r="C62" s="7" t="inlineStr">
        <is>
          <t>xxl cserép</t>
        </is>
      </c>
      <c r="D62" s="7" t="n"/>
      <c r="E62" s="8" t="n">
        <v>40</v>
      </c>
      <c r="F62" s="7" t="inlineStr">
        <is>
          <t>Laza</t>
        </is>
      </c>
      <c r="G62" s="7" t="inlineStr">
        <is>
          <t>Igen</t>
        </is>
      </c>
      <c r="H62" s="7" t="inlineStr">
        <is>
          <t>Nagy térfogatú cserép – 20–100 literes termesztés, kültér</t>
        </is>
      </c>
      <c r="I62" s="7" t="inlineStr">
        <is>
          <t>Kategórialeírás (természetes említés)</t>
        </is>
      </c>
    </row>
    <row r="63">
      <c r="A63" s="4" t="inlineStr">
        <is>
          <t>Szögletes cserép</t>
        </is>
      </c>
      <c r="B63" s="4" t="n">
        <v>3</v>
      </c>
      <c r="C63" s="4" t="inlineStr">
        <is>
          <t>szögletes cserép</t>
        </is>
      </c>
      <c r="D63" s="4" t="n"/>
      <c r="E63" s="5" t="n">
        <v>40</v>
      </c>
      <c r="F63" s="4" t="inlineStr">
        <is>
          <t>Szoros</t>
        </is>
      </c>
      <c r="G63" s="4" t="inlineStr">
        <is>
          <t>Igen</t>
        </is>
      </c>
      <c r="H63" s="4" t="inlineStr">
        <is>
          <t>Helytakarékos termesztés sátorban / polcon</t>
        </is>
      </c>
      <c r="I63" s="4" t="inlineStr">
        <is>
          <t>SEO title / H1 / bevezető (másodlagos)</t>
        </is>
      </c>
    </row>
    <row r="64">
      <c r="A64" s="7" t="inlineStr">
        <is>
          <t>Szövetcserép, ültetőzsák</t>
        </is>
      </c>
      <c r="B64" s="7" t="n">
        <v>3</v>
      </c>
      <c r="C64" s="7" t="inlineStr">
        <is>
          <t>burgonya ültető zsák</t>
        </is>
      </c>
      <c r="D64" s="7" t="n"/>
      <c r="E64" s="8" t="n">
        <v>40</v>
      </c>
      <c r="F64" s="7" t="inlineStr">
        <is>
          <t>Laza</t>
        </is>
      </c>
      <c r="G64" s="7" t="inlineStr">
        <is>
          <t>Igen</t>
        </is>
      </c>
      <c r="H64" s="7" t="inlineStr">
        <is>
          <t>Szövet / textil / filc cserép, ültető- és termesztőzsák</t>
        </is>
      </c>
      <c r="I64" s="7" t="inlineStr">
        <is>
          <t>Kategórialeírás (természetes említés)</t>
        </is>
      </c>
    </row>
    <row r="65">
      <c r="A65" s="7" t="inlineStr">
        <is>
          <t>Szövetcserép, ültetőzsák</t>
        </is>
      </c>
      <c r="B65" s="7" t="n">
        <v>4</v>
      </c>
      <c r="C65" s="7" t="inlineStr">
        <is>
          <t>krumpli ültető zsák</t>
        </is>
      </c>
      <c r="D65" s="7" t="n"/>
      <c r="E65" s="8" t="n">
        <v>40</v>
      </c>
      <c r="F65" s="7" t="inlineStr">
        <is>
          <t>Laza</t>
        </is>
      </c>
      <c r="G65" s="7" t="inlineStr">
        <is>
          <t>Igen</t>
        </is>
      </c>
      <c r="H65" s="7" t="inlineStr">
        <is>
          <t>Szövet / textil / filc cserép, ültető- és termesztőzsák</t>
        </is>
      </c>
      <c r="I65" s="7" t="inlineStr">
        <is>
          <t>Kategórialeírás (természetes említés)</t>
        </is>
      </c>
    </row>
    <row r="66">
      <c r="A66" s="4" t="inlineStr">
        <is>
          <t>Cserépalátét</t>
        </is>
      </c>
      <c r="B66" s="4" t="n">
        <v>14</v>
      </c>
      <c r="C66" s="4" t="inlineStr">
        <is>
          <t>cserépalátét 60 cm</t>
        </is>
      </c>
      <c r="D66" s="4" t="n"/>
      <c r="E66" s="5" t="n">
        <v>40</v>
      </c>
      <c r="F66" s="4" t="inlineStr">
        <is>
          <t>Szoros</t>
        </is>
      </c>
      <c r="G66" s="4" t="inlineStr">
        <is>
          <t>Igen</t>
        </is>
      </c>
      <c r="H66" s="4" t="inlineStr">
        <is>
          <t>Cserép alá – vízfelfogás, gurulós alátét</t>
        </is>
      </c>
      <c r="I66" s="4" t="inlineStr">
        <is>
          <t>Kategórialeírás (természetes említés)</t>
        </is>
      </c>
    </row>
    <row r="67">
      <c r="A67" s="7" t="inlineStr">
        <is>
          <t>Műanyag tálca, árapály asztal</t>
        </is>
      </c>
      <c r="B67" s="7" t="n">
        <v>12</v>
      </c>
      <c r="C67" s="7" t="inlineStr">
        <is>
          <t>nagy műanyag tálca</t>
        </is>
      </c>
      <c r="D67" s="7" t="n"/>
      <c r="E67" s="8" t="n">
        <v>40</v>
      </c>
      <c r="F67" s="7" t="inlineStr">
        <is>
          <t>Laza</t>
        </is>
      </c>
      <c r="G67" s="7" t="inlineStr">
        <is>
          <t>Igen</t>
        </is>
      </c>
      <c r="H67" s="7" t="inlineStr">
        <is>
          <t>Gyűjtőtálca termesztősátorba, árapály (ebb &amp; flow) rendszer</t>
        </is>
      </c>
      <c r="I67" s="7" t="inlineStr">
        <is>
          <t>Kategórialeírás (természetes említés)</t>
        </is>
      </c>
    </row>
    <row r="68">
      <c r="A68" s="7" t="inlineStr">
        <is>
          <t>Műanyag tálca, árapály asztal</t>
        </is>
      </c>
      <c r="B68" s="7" t="n">
        <v>13</v>
      </c>
      <c r="C68" s="7" t="inlineStr">
        <is>
          <t>kármentő tálca műanyag</t>
        </is>
      </c>
      <c r="D68" s="7" t="n"/>
      <c r="E68" s="8" t="n">
        <v>40</v>
      </c>
      <c r="F68" s="7" t="inlineStr">
        <is>
          <t>Laza</t>
        </is>
      </c>
      <c r="G68" s="7" t="inlineStr">
        <is>
          <t>Igen</t>
        </is>
      </c>
      <c r="H68" s="7" t="inlineStr">
        <is>
          <t>Gyűjtőtálca termesztősátorba, árapály (ebb &amp; flow) rendszer</t>
        </is>
      </c>
      <c r="I68" s="7" t="inlineStr">
        <is>
          <t>Kategórialeírás (természetes említés)</t>
        </is>
      </c>
    </row>
    <row r="69">
      <c r="A69" s="4" t="inlineStr">
        <is>
          <t>Virágcserép</t>
        </is>
      </c>
      <c r="B69" s="4" t="n">
        <v>19</v>
      </c>
      <c r="C69" s="4" t="inlineStr">
        <is>
          <t>10 literes cserép</t>
        </is>
      </c>
      <c r="D69" s="4" t="n"/>
      <c r="E69" s="5" t="n">
        <v>30</v>
      </c>
      <c r="F69" s="4" t="inlineStr">
        <is>
          <t>Szoros</t>
        </is>
      </c>
      <c r="G69" s="4" t="inlineStr">
        <is>
          <t>Igen</t>
        </is>
      </c>
      <c r="H69" s="4" t="inlineStr">
        <is>
          <t>Termesztő cserép – műanyag, kerek, literes méretek</t>
        </is>
      </c>
      <c r="I69" s="4" t="inlineStr">
        <is>
          <t>Kategórialeírás (természetes említés)</t>
        </is>
      </c>
    </row>
    <row r="70">
      <c r="A70" s="4" t="inlineStr">
        <is>
          <t>Virágcserép</t>
        </is>
      </c>
      <c r="B70" s="4" t="n">
        <v>20</v>
      </c>
      <c r="C70" s="4" t="inlineStr">
        <is>
          <t>50 literes cserép</t>
        </is>
      </c>
      <c r="D70" s="4" t="n"/>
      <c r="E70" s="5" t="n">
        <v>30</v>
      </c>
      <c r="F70" s="4" t="inlineStr">
        <is>
          <t>Szoros</t>
        </is>
      </c>
      <c r="G70" s="4" t="inlineStr">
        <is>
          <t>Igen</t>
        </is>
      </c>
      <c r="H70" s="4" t="inlineStr">
        <is>
          <t>Termesztő cserép – műanyag, kerek, literes méretek</t>
        </is>
      </c>
      <c r="I70" s="4" t="inlineStr">
        <is>
          <t>Kategórialeírás (természetes említés)</t>
        </is>
      </c>
    </row>
    <row r="71">
      <c r="A71" s="4" t="inlineStr">
        <is>
          <t>Virágcserép</t>
        </is>
      </c>
      <c r="B71" s="4" t="n">
        <v>21</v>
      </c>
      <c r="C71" s="4" t="inlineStr">
        <is>
          <t>virágcserép 30 cm</t>
        </is>
      </c>
      <c r="D71" s="4" t="n"/>
      <c r="E71" s="5" t="n">
        <v>30</v>
      </c>
      <c r="F71" s="4" t="inlineStr">
        <is>
          <t>Szoros</t>
        </is>
      </c>
      <c r="G71" s="4" t="inlineStr">
        <is>
          <t>Igen</t>
        </is>
      </c>
      <c r="H71" s="4" t="inlineStr">
        <is>
          <t>Termesztő cserép – műanyag, kerek, literes méretek</t>
        </is>
      </c>
      <c r="I71" s="4" t="inlineStr">
        <is>
          <t>Kategórialeírás (természetes említés)</t>
        </is>
      </c>
    </row>
    <row r="72">
      <c r="A72" s="4" t="inlineStr">
        <is>
          <t>Szögletes cserép</t>
        </is>
      </c>
      <c r="B72" s="4" t="n">
        <v>4</v>
      </c>
      <c r="C72" s="4" t="inlineStr">
        <is>
          <t>szögletes műanyag cserép</t>
        </is>
      </c>
      <c r="D72" s="4" t="n"/>
      <c r="E72" s="5" t="n">
        <v>30</v>
      </c>
      <c r="F72" s="4" t="inlineStr">
        <is>
          <t>Szoros</t>
        </is>
      </c>
      <c r="G72" s="4" t="inlineStr">
        <is>
          <t>Igen</t>
        </is>
      </c>
      <c r="H72" s="4" t="inlineStr">
        <is>
          <t>Helytakarékos termesztés sátorban / polcon</t>
        </is>
      </c>
      <c r="I72" s="4" t="inlineStr">
        <is>
          <t>SEO title / H1 / bevezető (másodlagos)</t>
        </is>
      </c>
    </row>
    <row r="73">
      <c r="A73" s="4" t="inlineStr">
        <is>
          <t>Cserépalátét</t>
        </is>
      </c>
      <c r="B73" s="4" t="n">
        <v>15</v>
      </c>
      <c r="C73" s="4" t="inlineStr">
        <is>
          <t>cserépalátét 50 cm</t>
        </is>
      </c>
      <c r="D73" s="4" t="n"/>
      <c r="E73" s="5" t="n">
        <v>30</v>
      </c>
      <c r="F73" s="4" t="inlineStr">
        <is>
          <t>Szoros</t>
        </is>
      </c>
      <c r="G73" s="4" t="inlineStr">
        <is>
          <t>Igen</t>
        </is>
      </c>
      <c r="H73" s="4" t="inlineStr">
        <is>
          <t>Cserép alá – vízfelfogás, gurulós alátét</t>
        </is>
      </c>
      <c r="I73" s="4" t="inlineStr">
        <is>
          <t>Kategórialeírás (természetes említés)</t>
        </is>
      </c>
    </row>
    <row r="74">
      <c r="A74" s="4" t="inlineStr">
        <is>
          <t>Cserépalátét</t>
        </is>
      </c>
      <c r="B74" s="4" t="n">
        <v>16</v>
      </c>
      <c r="C74" s="4" t="inlineStr">
        <is>
          <t>virágcserép alátét 50 cm</t>
        </is>
      </c>
      <c r="D74" s="4" t="n"/>
      <c r="E74" s="5" t="n">
        <v>30</v>
      </c>
      <c r="F74" s="4" t="inlineStr">
        <is>
          <t>Szoros</t>
        </is>
      </c>
      <c r="G74" s="4" t="inlineStr">
        <is>
          <t>Igen</t>
        </is>
      </c>
      <c r="H74" s="4" t="inlineStr">
        <is>
          <t>Cserép alá – vízfelfogás, gurulós alátét</t>
        </is>
      </c>
      <c r="I74" s="4" t="inlineStr">
        <is>
          <t>Kategórialeírás (természetes említés)</t>
        </is>
      </c>
    </row>
    <row r="75">
      <c r="A75" s="7" t="inlineStr">
        <is>
          <t>Cserépalátét</t>
        </is>
      </c>
      <c r="B75" s="7" t="n">
        <v>17</v>
      </c>
      <c r="C75" s="7" t="inlineStr">
        <is>
          <t>gurulós alátét</t>
        </is>
      </c>
      <c r="D75" s="7" t="n"/>
      <c r="E75" s="8" t="n">
        <v>30</v>
      </c>
      <c r="F75" s="7" t="inlineStr">
        <is>
          <t>Laza</t>
        </is>
      </c>
      <c r="G75" s="7" t="inlineStr">
        <is>
          <t>Igen</t>
        </is>
      </c>
      <c r="H75" s="7" t="inlineStr">
        <is>
          <t>Cserép alá – vízfelfogás, gurulós alátét</t>
        </is>
      </c>
      <c r="I75" s="7" t="inlineStr">
        <is>
          <t>Kategórialeírás (természetes említés)</t>
        </is>
      </c>
    </row>
    <row r="76">
      <c r="A76" s="7" t="inlineStr">
        <is>
          <t>Cserépalátét</t>
        </is>
      </c>
      <c r="B76" s="7" t="n">
        <v>18</v>
      </c>
      <c r="C76" s="7" t="inlineStr">
        <is>
          <t>guruló virágtartó</t>
        </is>
      </c>
      <c r="D76" s="7" t="n"/>
      <c r="E76" s="8" t="n">
        <v>30</v>
      </c>
      <c r="F76" s="7" t="inlineStr">
        <is>
          <t>Laza</t>
        </is>
      </c>
      <c r="G76" s="7" t="inlineStr">
        <is>
          <t>Igen</t>
        </is>
      </c>
      <c r="H76" s="7" t="inlineStr">
        <is>
          <t>Cserép alá – vízfelfogás, gurulós alátét</t>
        </is>
      </c>
      <c r="I76" s="7" t="inlineStr">
        <is>
          <t>Kategórialeírás (természetes említés)</t>
        </is>
      </c>
    </row>
    <row r="77">
      <c r="A77" s="4" t="inlineStr">
        <is>
          <t>Műanyag tálca, árapály asztal</t>
        </is>
      </c>
      <c r="B77" s="4" t="n">
        <v>14</v>
      </c>
      <c r="C77" s="4" t="inlineStr">
        <is>
          <t>árapály asztal eladó</t>
        </is>
      </c>
      <c r="D77" s="4" t="n"/>
      <c r="E77" s="5" t="n">
        <v>30</v>
      </c>
      <c r="F77" s="4" t="inlineStr">
        <is>
          <t>Szoros</t>
        </is>
      </c>
      <c r="G77" s="4" t="inlineStr">
        <is>
          <t>Igen</t>
        </is>
      </c>
      <c r="H77" s="4" t="inlineStr">
        <is>
          <t>Gyűjtőtálca termesztősátorba, árapály (ebb &amp; flow) rendszer</t>
        </is>
      </c>
      <c r="I77" s="4" t="inlineStr">
        <is>
          <t>Kategórialeírás (természetes említés)</t>
        </is>
      </c>
    </row>
    <row r="78">
      <c r="A78" s="4" t="inlineStr">
        <is>
          <t>Műanyag tálca, árapály asztal</t>
        </is>
      </c>
      <c r="B78" s="4" t="n">
        <v>15</v>
      </c>
      <c r="C78" s="4" t="inlineStr">
        <is>
          <t>termesztő tálca</t>
        </is>
      </c>
      <c r="D78" s="4" t="n"/>
      <c r="E78" s="5" t="n">
        <v>30</v>
      </c>
      <c r="F78" s="4" t="inlineStr">
        <is>
          <t>Szoros</t>
        </is>
      </c>
      <c r="G78" s="4" t="inlineStr">
        <is>
          <t>Igen</t>
        </is>
      </c>
      <c r="H78" s="4" t="inlineStr">
        <is>
          <t>Gyűjtőtálca termesztősátorba, árapály (ebb &amp; flow) rendszer</t>
        </is>
      </c>
      <c r="I78" s="4" t="inlineStr">
        <is>
          <t>Kategórialeírás (természetes említés)</t>
        </is>
      </c>
    </row>
    <row r="79">
      <c r="A79" s="7" t="inlineStr">
        <is>
          <t>Műanyag tálca, árapály asztal</t>
        </is>
      </c>
      <c r="B79" s="7" t="n">
        <v>16</v>
      </c>
      <c r="C79" s="7" t="inlineStr">
        <is>
          <t>fekete műanyag tálca</t>
        </is>
      </c>
      <c r="D79" s="7" t="n"/>
      <c r="E79" s="8" t="n">
        <v>30</v>
      </c>
      <c r="F79" s="7" t="inlineStr">
        <is>
          <t>Laza</t>
        </is>
      </c>
      <c r="G79" s="7" t="inlineStr">
        <is>
          <t>Igen</t>
        </is>
      </c>
      <c r="H79" s="7" t="inlineStr">
        <is>
          <t>Gyűjtőtálca termesztősátorba, árapály (ebb &amp; flow) rendszer</t>
        </is>
      </c>
      <c r="I79" s="7" t="inlineStr">
        <is>
          <t>Kategórialeírás (természetes említés)</t>
        </is>
      </c>
    </row>
    <row r="80">
      <c r="A80" s="7" t="inlineStr">
        <is>
          <t>Műanyag tálca, árapály asztal</t>
        </is>
      </c>
      <c r="B80" s="7" t="n">
        <v>17</v>
      </c>
      <c r="C80" s="7" t="inlineStr">
        <is>
          <t>kerek műanyag tálca</t>
        </is>
      </c>
      <c r="D80" s="7" t="n"/>
      <c r="E80" s="8" t="n">
        <v>30</v>
      </c>
      <c r="F80" s="7" t="inlineStr">
        <is>
          <t>Laza</t>
        </is>
      </c>
      <c r="G80" s="7" t="inlineStr">
        <is>
          <t>Igen</t>
        </is>
      </c>
      <c r="H80" s="7" t="inlineStr">
        <is>
          <t>Gyűjtőtálca termesztősátorba, árapály (ebb &amp; flow) rendszer</t>
        </is>
      </c>
      <c r="I80" s="7" t="inlineStr">
        <is>
          <t>Kategórialeírás (természetes említés)</t>
        </is>
      </c>
    </row>
    <row r="81">
      <c r="A81" s="4" t="inlineStr">
        <is>
          <t>Virágcserép</t>
        </is>
      </c>
      <c r="B81" s="4" t="n">
        <v>22</v>
      </c>
      <c r="C81" s="4" t="inlineStr">
        <is>
          <t>30 literes cserép</t>
        </is>
      </c>
      <c r="D81" s="4" t="n"/>
      <c r="E81" s="5" t="n">
        <v>20</v>
      </c>
      <c r="F81" s="4" t="inlineStr">
        <is>
          <t>Szoros</t>
        </is>
      </c>
      <c r="G81" s="4" t="inlineStr">
        <is>
          <t>Igen</t>
        </is>
      </c>
      <c r="H81" s="4" t="inlineStr">
        <is>
          <t>Termesztő cserép – műanyag, kerek, literes méretek</t>
        </is>
      </c>
      <c r="I81" s="4" t="inlineStr">
        <is>
          <t>Kategórialeírás (természetes említés)</t>
        </is>
      </c>
    </row>
    <row r="82">
      <c r="A82" s="4" t="inlineStr">
        <is>
          <t>Virágcserép</t>
        </is>
      </c>
      <c r="B82" s="4" t="n">
        <v>23</v>
      </c>
      <c r="C82" s="4" t="inlineStr">
        <is>
          <t>15 literes cserép</t>
        </is>
      </c>
      <c r="D82" s="4" t="n"/>
      <c r="E82" s="5" t="n">
        <v>20</v>
      </c>
      <c r="F82" s="4" t="inlineStr">
        <is>
          <t>Szoros</t>
        </is>
      </c>
      <c r="G82" s="4" t="inlineStr">
        <is>
          <t>Igen</t>
        </is>
      </c>
      <c r="H82" s="4" t="inlineStr">
        <is>
          <t>Termesztő cserép – műanyag, kerek, literes méretek</t>
        </is>
      </c>
      <c r="I82" s="4" t="inlineStr">
        <is>
          <t>Kategórialeírás (természetes említés)</t>
        </is>
      </c>
    </row>
    <row r="83">
      <c r="A83" s="4" t="inlineStr">
        <is>
          <t>Virágcserép</t>
        </is>
      </c>
      <c r="B83" s="4" t="n">
        <v>24</v>
      </c>
      <c r="C83" s="4" t="inlineStr">
        <is>
          <t>műanyag virágcserepek</t>
        </is>
      </c>
      <c r="D83" s="4" t="n"/>
      <c r="E83" s="5" t="n">
        <v>20</v>
      </c>
      <c r="F83" s="4" t="inlineStr">
        <is>
          <t>Szoros</t>
        </is>
      </c>
      <c r="G83" s="4" t="inlineStr">
        <is>
          <t>Igen</t>
        </is>
      </c>
      <c r="H83" s="4" t="inlineStr">
        <is>
          <t>Termesztő cserép – műanyag, kerek, literes méretek</t>
        </is>
      </c>
      <c r="I83" s="4" t="inlineStr">
        <is>
          <t>Kategórialeírás (természetes említés)</t>
        </is>
      </c>
    </row>
    <row r="84">
      <c r="A84" s="4" t="inlineStr">
        <is>
          <t>Virágcserép</t>
        </is>
      </c>
      <c r="B84" s="4" t="n">
        <v>25</v>
      </c>
      <c r="C84" s="4" t="inlineStr">
        <is>
          <t>virágcserép olcsón</t>
        </is>
      </c>
      <c r="D84" s="4" t="n"/>
      <c r="E84" s="5" t="n">
        <v>20</v>
      </c>
      <c r="F84" s="4" t="inlineStr">
        <is>
          <t>Szoros</t>
        </is>
      </c>
      <c r="G84" s="4" t="inlineStr">
        <is>
          <t>Igen</t>
        </is>
      </c>
      <c r="H84" s="4" t="inlineStr">
        <is>
          <t>Termesztő cserép – műanyag, kerek, literes méretek</t>
        </is>
      </c>
      <c r="I84" s="4" t="inlineStr">
        <is>
          <t>Kategórialeírás (természetes említés)</t>
        </is>
      </c>
    </row>
    <row r="85">
      <c r="A85" s="4" t="inlineStr">
        <is>
          <t>Nagy virágcserép</t>
        </is>
      </c>
      <c r="B85" s="4" t="n">
        <v>14</v>
      </c>
      <c r="C85" s="4" t="inlineStr">
        <is>
          <t>50 literes virágcserép</t>
        </is>
      </c>
      <c r="D85" s="4" t="n"/>
      <c r="E85" s="5" t="n">
        <v>20</v>
      </c>
      <c r="F85" s="4" t="inlineStr">
        <is>
          <t>Szoros</t>
        </is>
      </c>
      <c r="G85" s="4" t="inlineStr">
        <is>
          <t>Igen</t>
        </is>
      </c>
      <c r="H85" s="4" t="inlineStr">
        <is>
          <t>Nagy térfogatú cserép – 20–100 literes termesztés, kültér</t>
        </is>
      </c>
      <c r="I85" s="4" t="inlineStr">
        <is>
          <t>Kategórialeírás (természetes említés)</t>
        </is>
      </c>
    </row>
    <row r="86">
      <c r="A86" s="4" t="inlineStr">
        <is>
          <t>Szögletes cserép</t>
        </is>
      </c>
      <c r="B86" s="4" t="n">
        <v>5</v>
      </c>
      <c r="C86" s="4" t="inlineStr">
        <is>
          <t>magas műanyag virágcserép</t>
        </is>
      </c>
      <c r="D86" s="4" t="n"/>
      <c r="E86" s="5" t="n">
        <v>20</v>
      </c>
      <c r="F86" s="4" t="inlineStr">
        <is>
          <t>Szoros</t>
        </is>
      </c>
      <c r="G86" s="4" t="inlineStr">
        <is>
          <t>Igen</t>
        </is>
      </c>
      <c r="H86" s="4" t="inlineStr">
        <is>
          <t>Helytakarékos termesztés sátorban / polcon</t>
        </is>
      </c>
      <c r="I86" s="4" t="inlineStr">
        <is>
          <t>Kategórialeírás (természetes említés)</t>
        </is>
      </c>
    </row>
    <row r="87">
      <c r="A87" s="4" t="inlineStr">
        <is>
          <t>Szögletes cserép</t>
        </is>
      </c>
      <c r="B87" s="4" t="n">
        <v>6</v>
      </c>
      <c r="C87" s="4" t="inlineStr">
        <is>
          <t>négyszögletes virágcserép</t>
        </is>
      </c>
      <c r="D87" s="4" t="n"/>
      <c r="E87" s="5" t="n">
        <v>20</v>
      </c>
      <c r="F87" s="4" t="inlineStr">
        <is>
          <t>Szoros</t>
        </is>
      </c>
      <c r="G87" s="4" t="inlineStr">
        <is>
          <t>Igen</t>
        </is>
      </c>
      <c r="H87" s="4" t="inlineStr">
        <is>
          <t>Helytakarékos termesztés sátorban / polcon</t>
        </is>
      </c>
      <c r="I87" s="4" t="inlineStr">
        <is>
          <t>Kategórialeírás (természetes említés)</t>
        </is>
      </c>
    </row>
    <row r="88">
      <c r="A88" s="4" t="inlineStr">
        <is>
          <t>Szögletes cserép</t>
        </is>
      </c>
      <c r="B88" s="4" t="n">
        <v>7</v>
      </c>
      <c r="C88" s="4" t="inlineStr">
        <is>
          <t>négyzet alakú virágcserép</t>
        </is>
      </c>
      <c r="D88" s="4" t="n"/>
      <c r="E88" s="5" t="n">
        <v>20</v>
      </c>
      <c r="F88" s="4" t="inlineStr">
        <is>
          <t>Szoros</t>
        </is>
      </c>
      <c r="G88" s="4" t="inlineStr">
        <is>
          <t>Igen</t>
        </is>
      </c>
      <c r="H88" s="4" t="inlineStr">
        <is>
          <t>Helytakarékos termesztés sátorban / polcon</t>
        </is>
      </c>
      <c r="I88" s="4" t="inlineStr">
        <is>
          <t>Kategórialeírás (természetes említés)</t>
        </is>
      </c>
    </row>
    <row r="89">
      <c r="A89" s="4" t="inlineStr">
        <is>
          <t>Szövetcserép, ültetőzsák</t>
        </is>
      </c>
      <c r="B89" s="4" t="n">
        <v>5</v>
      </c>
      <c r="C89" s="4" t="inlineStr">
        <is>
          <t>szövet cserép</t>
        </is>
      </c>
      <c r="D89" s="4" t="n"/>
      <c r="E89" s="5" t="n">
        <v>20</v>
      </c>
      <c r="F89" s="4" t="inlineStr">
        <is>
          <t>Szoros</t>
        </is>
      </c>
      <c r="G89" s="4" t="inlineStr">
        <is>
          <t>Igen</t>
        </is>
      </c>
      <c r="H89" s="4" t="inlineStr">
        <is>
          <t>Szövet / textil / filc cserép, ültető- és termesztőzsák</t>
        </is>
      </c>
      <c r="I89" s="4" t="inlineStr">
        <is>
          <t>SEO title / H1 / bevezető (másodlagos)</t>
        </is>
      </c>
    </row>
    <row r="90">
      <c r="A90" s="4" t="inlineStr">
        <is>
          <t>Szövetcserép, ültetőzsák</t>
        </is>
      </c>
      <c r="B90" s="4" t="n">
        <v>6</v>
      </c>
      <c r="C90" s="4" t="inlineStr">
        <is>
          <t>textil cserép</t>
        </is>
      </c>
      <c r="D90" s="4" t="n"/>
      <c r="E90" s="5" t="n">
        <v>20</v>
      </c>
      <c r="F90" s="4" t="inlineStr">
        <is>
          <t>Szoros</t>
        </is>
      </c>
      <c r="G90" s="4" t="inlineStr">
        <is>
          <t>Igen</t>
        </is>
      </c>
      <c r="H90" s="4" t="inlineStr">
        <is>
          <t>Szövet / textil / filc cserép, ültető- és termesztőzsák</t>
        </is>
      </c>
      <c r="I90" s="4" t="inlineStr">
        <is>
          <t>SEO title / H1 / bevezető (másodlagos)</t>
        </is>
      </c>
    </row>
    <row r="91">
      <c r="A91" s="4" t="inlineStr">
        <is>
          <t>Szövetcserép, ültetőzsák</t>
        </is>
      </c>
      <c r="B91" s="4" t="n">
        <v>7</v>
      </c>
      <c r="C91" s="4" t="inlineStr">
        <is>
          <t>textil virágcserép</t>
        </is>
      </c>
      <c r="D91" s="4" t="n"/>
      <c r="E91" s="5" t="n">
        <v>20</v>
      </c>
      <c r="F91" s="4" t="inlineStr">
        <is>
          <t>Szoros</t>
        </is>
      </c>
      <c r="G91" s="4" t="inlineStr">
        <is>
          <t>Igen</t>
        </is>
      </c>
      <c r="H91" s="4" t="inlineStr">
        <is>
          <t>Szövet / textil / filc cserép, ültető- és termesztőzsák</t>
        </is>
      </c>
      <c r="I91" s="4" t="inlineStr">
        <is>
          <t>SEO title / H1 / bevezető (másodlagos)</t>
        </is>
      </c>
    </row>
    <row r="92">
      <c r="A92" s="4" t="inlineStr">
        <is>
          <t>Szövetcserép, ültetőzsák</t>
        </is>
      </c>
      <c r="B92" s="4" t="n">
        <v>8</v>
      </c>
      <c r="C92" s="4" t="inlineStr">
        <is>
          <t>smart pot</t>
        </is>
      </c>
      <c r="D92" s="4" t="n"/>
      <c r="E92" s="5" t="n">
        <v>20</v>
      </c>
      <c r="F92" s="4" t="inlineStr">
        <is>
          <t>Szoros</t>
        </is>
      </c>
      <c r="G92" s="4" t="inlineStr">
        <is>
          <t>Igen</t>
        </is>
      </c>
      <c r="H92" s="4" t="inlineStr">
        <is>
          <t>Szövet / textil / filc cserép, ültető- és termesztőzsák</t>
        </is>
      </c>
      <c r="I92" s="4" t="inlineStr">
        <is>
          <t>Kategórialeírás (természetes említés)</t>
        </is>
      </c>
    </row>
    <row r="93">
      <c r="A93" s="4" t="inlineStr">
        <is>
          <t>Szövetcserép, ültetőzsák</t>
        </is>
      </c>
      <c r="B93" s="4" t="n">
        <v>9</v>
      </c>
      <c r="C93" s="4" t="inlineStr">
        <is>
          <t>grow bag</t>
        </is>
      </c>
      <c r="D93" s="4" t="n"/>
      <c r="E93" s="5" t="n">
        <v>20</v>
      </c>
      <c r="F93" s="4" t="inlineStr">
        <is>
          <t>Szoros</t>
        </is>
      </c>
      <c r="G93" s="4" t="inlineStr">
        <is>
          <t>Igen</t>
        </is>
      </c>
      <c r="H93" s="4" t="inlineStr">
        <is>
          <t>Szövet / textil / filc cserép, ültető- és termesztőzsák</t>
        </is>
      </c>
      <c r="I93" s="4" t="inlineStr">
        <is>
          <t>Kategórialeírás (természetes említés)</t>
        </is>
      </c>
    </row>
    <row r="94">
      <c r="A94" s="7" t="inlineStr">
        <is>
          <t>Szövetcserép, ültetőzsák</t>
        </is>
      </c>
      <c r="B94" s="7" t="n">
        <v>10</v>
      </c>
      <c r="C94" s="7" t="inlineStr">
        <is>
          <t>krumpli termesztő zsák</t>
        </is>
      </c>
      <c r="D94" s="7" t="n"/>
      <c r="E94" s="8" t="n">
        <v>20</v>
      </c>
      <c r="F94" s="7" t="inlineStr">
        <is>
          <t>Laza</t>
        </is>
      </c>
      <c r="G94" s="7" t="inlineStr">
        <is>
          <t>Igen</t>
        </is>
      </c>
      <c r="H94" s="7" t="inlineStr">
        <is>
          <t>Szövet / textil / filc cserép, ültető- és termesztőzsák</t>
        </is>
      </c>
      <c r="I94" s="7" t="inlineStr">
        <is>
          <t>Kategórialeírás (természetes említés)</t>
        </is>
      </c>
    </row>
    <row r="95">
      <c r="A95" s="4" t="inlineStr">
        <is>
          <t>Cserépalátét</t>
        </is>
      </c>
      <c r="B95" s="4" t="n">
        <v>19</v>
      </c>
      <c r="C95" s="4" t="inlineStr">
        <is>
          <t>műanyag virágcserép alátét</t>
        </is>
      </c>
      <c r="D95" s="4" t="n"/>
      <c r="E95" s="5" t="n">
        <v>20</v>
      </c>
      <c r="F95" s="4" t="inlineStr">
        <is>
          <t>Szoros</t>
        </is>
      </c>
      <c r="G95" s="4" t="inlineStr">
        <is>
          <t>Igen</t>
        </is>
      </c>
      <c r="H95" s="4" t="inlineStr">
        <is>
          <t>Cserép alá – vízfelfogás, gurulós alátét</t>
        </is>
      </c>
      <c r="I95" s="4" t="inlineStr">
        <is>
          <t>Kategórialeírás (természetes említés)</t>
        </is>
      </c>
    </row>
    <row r="96">
      <c r="A96" s="4" t="inlineStr">
        <is>
          <t>Műanyag tálca, árapály asztal</t>
        </is>
      </c>
      <c r="B96" s="4" t="n">
        <v>18</v>
      </c>
      <c r="C96" s="4" t="inlineStr">
        <is>
          <t>növény tálca</t>
        </is>
      </c>
      <c r="D96" s="4" t="n"/>
      <c r="E96" s="5" t="n">
        <v>20</v>
      </c>
      <c r="F96" s="4" t="inlineStr">
        <is>
          <t>Szoros</t>
        </is>
      </c>
      <c r="G96" s="4" t="inlineStr">
        <is>
          <t>Igen</t>
        </is>
      </c>
      <c r="H96" s="4" t="inlineStr">
        <is>
          <t>Gyűjtőtálca termesztősátorba, árapály (ebb &amp; flow) rendszer</t>
        </is>
      </c>
      <c r="I96" s="4" t="inlineStr">
        <is>
          <t>Kategórialeírás (természetes említés)</t>
        </is>
      </c>
    </row>
    <row r="97">
      <c r="A97" s="4" t="inlineStr">
        <is>
          <t>Műanyag tálca, árapály asztal</t>
        </is>
      </c>
      <c r="B97" s="4" t="n">
        <v>19</v>
      </c>
      <c r="C97" s="4" t="inlineStr">
        <is>
          <t>vízgyűjtő tálca</t>
        </is>
      </c>
      <c r="D97" s="4" t="n"/>
      <c r="E97" s="5" t="n">
        <v>20</v>
      </c>
      <c r="F97" s="4" t="inlineStr">
        <is>
          <t>Szoros</t>
        </is>
      </c>
      <c r="G97" s="4" t="inlineStr">
        <is>
          <t>Igen</t>
        </is>
      </c>
      <c r="H97" s="4" t="inlineStr">
        <is>
          <t>Gyűjtőtálca termesztősátorba, árapály (ebb &amp; flow) rendszer</t>
        </is>
      </c>
      <c r="I97" s="4" t="inlineStr">
        <is>
          <t>Kategórialeírás (természetes említés)</t>
        </is>
      </c>
    </row>
    <row r="98">
      <c r="A98" s="7" t="inlineStr">
        <is>
          <t>Műanyag tálca, árapály asztal</t>
        </is>
      </c>
      <c r="B98" s="7" t="n">
        <v>20</v>
      </c>
      <c r="C98" s="7" t="inlineStr">
        <is>
          <t>csepegtető tálca műanyag</t>
        </is>
      </c>
      <c r="D98" s="7" t="n"/>
      <c r="E98" s="8" t="n">
        <v>20</v>
      </c>
      <c r="F98" s="7" t="inlineStr">
        <is>
          <t>Laza</t>
        </is>
      </c>
      <c r="G98" s="7" t="inlineStr">
        <is>
          <t>Igen</t>
        </is>
      </c>
      <c r="H98" s="7" t="inlineStr">
        <is>
          <t>Gyűjtőtálca termesztősátorba, árapály (ebb &amp; flow) rendszer</t>
        </is>
      </c>
      <c r="I98" s="7" t="inlineStr">
        <is>
          <t>Kategórialeírás (természetes említés)</t>
        </is>
      </c>
    </row>
    <row r="99">
      <c r="A99" s="4" t="inlineStr">
        <is>
          <t>Virágcserép</t>
        </is>
      </c>
      <c r="B99" s="4" t="n">
        <v>26</v>
      </c>
      <c r="C99" s="4" t="inlineStr">
        <is>
          <t>kerek virágcserép</t>
        </is>
      </c>
      <c r="D99" s="4" t="n"/>
      <c r="E99" s="5" t="n">
        <v>10</v>
      </c>
      <c r="F99" s="4" t="inlineStr">
        <is>
          <t>Szoros</t>
        </is>
      </c>
      <c r="G99" s="4" t="inlineStr">
        <is>
          <t>Igen</t>
        </is>
      </c>
      <c r="H99" s="4" t="inlineStr">
        <is>
          <t>Termesztő cserép – műanyag, kerek, literes méretek</t>
        </is>
      </c>
      <c r="I99" s="4" t="inlineStr">
        <is>
          <t>Kategórialeírás (természetes említés)</t>
        </is>
      </c>
    </row>
    <row r="100">
      <c r="A100" s="4" t="inlineStr">
        <is>
          <t>Virágcserép</t>
        </is>
      </c>
      <c r="B100" s="4" t="n">
        <v>27</v>
      </c>
      <c r="C100" s="4" t="inlineStr">
        <is>
          <t>virágcserép webáruház</t>
        </is>
      </c>
      <c r="D100" s="4" t="n"/>
      <c r="E100" s="5" t="n">
        <v>10</v>
      </c>
      <c r="F100" s="4" t="inlineStr">
        <is>
          <t>Szoros</t>
        </is>
      </c>
      <c r="G100" s="4" t="inlineStr">
        <is>
          <t>Igen</t>
        </is>
      </c>
      <c r="H100" s="4" t="inlineStr">
        <is>
          <t>Termesztő cserép – műanyag, kerek, literes méretek</t>
        </is>
      </c>
      <c r="I100" s="4" t="inlineStr">
        <is>
          <t>Kategórialeírás (természetes említés)</t>
        </is>
      </c>
    </row>
    <row r="101">
      <c r="A101" s="4" t="inlineStr">
        <is>
          <t>Virágcserép</t>
        </is>
      </c>
      <c r="B101" s="4" t="n">
        <v>28</v>
      </c>
      <c r="C101" s="4" t="inlineStr">
        <is>
          <t>konténer cserép</t>
        </is>
      </c>
      <c r="D101" s="4" t="n"/>
      <c r="E101" s="5" t="n">
        <v>10</v>
      </c>
      <c r="F101" s="4" t="inlineStr">
        <is>
          <t>Szoros</t>
        </is>
      </c>
      <c r="G101" s="4" t="inlineStr">
        <is>
          <t>Igen</t>
        </is>
      </c>
      <c r="H101" s="4" t="inlineStr">
        <is>
          <t>Termesztő cserép – műanyag, kerek, literes méretek</t>
        </is>
      </c>
      <c r="I101" s="4" t="inlineStr">
        <is>
          <t>Kategórialeírás (természetes említés)</t>
        </is>
      </c>
    </row>
    <row r="102">
      <c r="A102" s="4" t="inlineStr">
        <is>
          <t>Virágcserép</t>
        </is>
      </c>
      <c r="B102" s="4" t="n">
        <v>29</v>
      </c>
      <c r="C102" s="4" t="inlineStr">
        <is>
          <t>5 literes cserép</t>
        </is>
      </c>
      <c r="D102" s="4" t="n"/>
      <c r="E102" s="5" t="n">
        <v>10</v>
      </c>
      <c r="F102" s="4" t="inlineStr">
        <is>
          <t>Szoros</t>
        </is>
      </c>
      <c r="G102" s="4" t="inlineStr">
        <is>
          <t>Igen</t>
        </is>
      </c>
      <c r="H102" s="4" t="inlineStr">
        <is>
          <t>Termesztő cserép – műanyag, kerek, literes méretek</t>
        </is>
      </c>
      <c r="I102" s="4" t="inlineStr">
        <is>
          <t>Kategórialeírás (természetes említés)</t>
        </is>
      </c>
    </row>
    <row r="103">
      <c r="A103" s="4" t="inlineStr">
        <is>
          <t>Virágcserép</t>
        </is>
      </c>
      <c r="B103" s="4" t="n">
        <v>30</v>
      </c>
      <c r="C103" s="4" t="inlineStr">
        <is>
          <t>műanyag palántázó cserép</t>
        </is>
      </c>
      <c r="D103" s="4" t="n"/>
      <c r="E103" s="5" t="n">
        <v>10</v>
      </c>
      <c r="F103" s="4" t="inlineStr">
        <is>
          <t>Szoros</t>
        </is>
      </c>
      <c r="G103" s="4" t="inlineStr">
        <is>
          <t>Igen</t>
        </is>
      </c>
      <c r="H103" s="4" t="inlineStr">
        <is>
          <t>Termesztő cserép – műanyag, kerek, literes méretek</t>
        </is>
      </c>
      <c r="I103" s="4" t="inlineStr">
        <is>
          <t>Kategórialeírás (természetes említés)</t>
        </is>
      </c>
    </row>
    <row r="104">
      <c r="A104" s="4" t="inlineStr">
        <is>
          <t>Szögletes cserép</t>
        </is>
      </c>
      <c r="B104" s="4" t="n">
        <v>8</v>
      </c>
      <c r="C104" s="4" t="inlineStr">
        <is>
          <t>négyszögletes műanyag cserép</t>
        </is>
      </c>
      <c r="D104" s="4" t="n"/>
      <c r="E104" s="5" t="n">
        <v>10</v>
      </c>
      <c r="F104" s="4" t="inlineStr">
        <is>
          <t>Szoros</t>
        </is>
      </c>
      <c r="G104" s="4" t="inlineStr">
        <is>
          <t>Igen</t>
        </is>
      </c>
      <c r="H104" s="4" t="inlineStr">
        <is>
          <t>Helytakarékos termesztés sátorban / polcon</t>
        </is>
      </c>
      <c r="I104" s="4" t="inlineStr">
        <is>
          <t>Kategórialeírás (természetes említés)</t>
        </is>
      </c>
    </row>
    <row r="105">
      <c r="A105" s="4" t="inlineStr">
        <is>
          <t>Szögletes cserép</t>
        </is>
      </c>
      <c r="B105" s="4" t="n">
        <v>9</v>
      </c>
      <c r="C105" s="4" t="inlineStr">
        <is>
          <t>mély cserép</t>
        </is>
      </c>
      <c r="D105" s="4" t="n"/>
      <c r="E105" s="5" t="n">
        <v>10</v>
      </c>
      <c r="F105" s="4" t="inlineStr">
        <is>
          <t>Szoros</t>
        </is>
      </c>
      <c r="G105" s="4" t="inlineStr">
        <is>
          <t>Igen</t>
        </is>
      </c>
      <c r="H105" s="4" t="inlineStr">
        <is>
          <t>Helytakarékos termesztés sátorban / polcon</t>
        </is>
      </c>
      <c r="I105" s="4" t="inlineStr">
        <is>
          <t>Kategórialeírás (természetes említés)</t>
        </is>
      </c>
    </row>
    <row r="106">
      <c r="A106" s="4" t="inlineStr">
        <is>
          <t>Air-Pot cserép</t>
        </is>
      </c>
      <c r="B106" s="4" t="n">
        <v>3</v>
      </c>
      <c r="C106" s="4" t="inlineStr">
        <is>
          <t>air pot 50l</t>
        </is>
      </c>
      <c r="D106" s="4" t="n"/>
      <c r="E106" s="5" t="n">
        <v>10</v>
      </c>
      <c r="F106" s="4" t="inlineStr">
        <is>
          <t>Szoros</t>
        </is>
      </c>
      <c r="G106" s="4" t="inlineStr">
        <is>
          <t>Igen</t>
        </is>
      </c>
      <c r="H106" s="4" t="inlineStr">
        <is>
          <t>Gyökérlégzés, gyökérmetszés – termesztés konténerben</t>
        </is>
      </c>
      <c r="I106" s="4" t="inlineStr">
        <is>
          <t>Gyártóoldal / szűrő / termékoldal</t>
        </is>
      </c>
    </row>
    <row r="107">
      <c r="A107" s="4" t="inlineStr">
        <is>
          <t>Air-Pot cserép</t>
        </is>
      </c>
      <c r="B107" s="4" t="n">
        <v>4</v>
      </c>
      <c r="C107" s="4" t="inlineStr">
        <is>
          <t>air pot hydro</t>
        </is>
      </c>
      <c r="D107" s="4" t="n"/>
      <c r="E107" s="5" t="n">
        <v>10</v>
      </c>
      <c r="F107" s="4" t="inlineStr">
        <is>
          <t>Szoros</t>
        </is>
      </c>
      <c r="G107" s="4" t="inlineStr">
        <is>
          <t>Igen</t>
        </is>
      </c>
      <c r="H107" s="4" t="inlineStr">
        <is>
          <t>Gyökérlégzés, gyökérmetszés – termesztés konténerben</t>
        </is>
      </c>
      <c r="I107" s="4" t="inlineStr">
        <is>
          <t>Gyártóoldal / szűrő / termékoldal</t>
        </is>
      </c>
    </row>
    <row r="108">
      <c r="A108" s="4" t="inlineStr">
        <is>
          <t>Air-Pot cserép</t>
        </is>
      </c>
      <c r="B108" s="4" t="n">
        <v>5</v>
      </c>
      <c r="C108" s="4" t="inlineStr">
        <is>
          <t>air pot 9l</t>
        </is>
      </c>
      <c r="D108" s="4" t="n"/>
      <c r="E108" s="5" t="n">
        <v>10</v>
      </c>
      <c r="F108" s="4" t="inlineStr">
        <is>
          <t>Szoros</t>
        </is>
      </c>
      <c r="G108" s="4" t="inlineStr">
        <is>
          <t>Igen</t>
        </is>
      </c>
      <c r="H108" s="4" t="inlineStr">
        <is>
          <t>Gyökérlégzés, gyökérmetszés – termesztés konténerben</t>
        </is>
      </c>
      <c r="I108" s="4" t="inlineStr">
        <is>
          <t>Gyártóoldal / szűrő / termékoldal</t>
        </is>
      </c>
    </row>
    <row r="109">
      <c r="A109" s="4" t="inlineStr">
        <is>
          <t>Szövetcserép, ültetőzsák</t>
        </is>
      </c>
      <c r="B109" s="4" t="n">
        <v>11</v>
      </c>
      <c r="C109" s="4" t="inlineStr">
        <is>
          <t>szövetcserép</t>
        </is>
      </c>
      <c r="D109" s="4" t="n"/>
      <c r="E109" s="5" t="n">
        <v>10</v>
      </c>
      <c r="F109" s="4" t="inlineStr">
        <is>
          <t>Szoros</t>
        </is>
      </c>
      <c r="G109" s="4" t="inlineStr">
        <is>
          <t>Igen</t>
        </is>
      </c>
      <c r="H109" s="4" t="inlineStr">
        <is>
          <t>Szövet / textil / filc cserép, ültető- és termesztőzsák</t>
        </is>
      </c>
      <c r="I109" s="4" t="inlineStr">
        <is>
          <t>Kategórialeírás (természetes említés)</t>
        </is>
      </c>
    </row>
    <row r="110">
      <c r="A110" s="4" t="inlineStr">
        <is>
          <t>Szövetcserép, ültetőzsák</t>
        </is>
      </c>
      <c r="B110" s="4" t="n">
        <v>12</v>
      </c>
      <c r="C110" s="4" t="inlineStr">
        <is>
          <t>growbag</t>
        </is>
      </c>
      <c r="D110" s="4" t="n"/>
      <c r="E110" s="5" t="n">
        <v>10</v>
      </c>
      <c r="F110" s="4" t="inlineStr">
        <is>
          <t>Szoros</t>
        </is>
      </c>
      <c r="G110" s="4" t="inlineStr">
        <is>
          <t>Igen</t>
        </is>
      </c>
      <c r="H110" s="4" t="inlineStr">
        <is>
          <t>Szövet / textil / filc cserép, ültető- és termesztőzsák</t>
        </is>
      </c>
      <c r="I110" s="4" t="inlineStr">
        <is>
          <t>Kategórialeírás (természetes említés)</t>
        </is>
      </c>
    </row>
    <row r="111">
      <c r="A111" s="4" t="inlineStr">
        <is>
          <t>Szövetcserép, ültetőzsák</t>
        </is>
      </c>
      <c r="B111" s="4" t="n">
        <v>13</v>
      </c>
      <c r="C111" s="4" t="inlineStr">
        <is>
          <t>termesztőzsák</t>
        </is>
      </c>
      <c r="D111" s="4" t="n"/>
      <c r="E111" s="5" t="n">
        <v>10</v>
      </c>
      <c r="F111" s="4" t="inlineStr">
        <is>
          <t>Szoros</t>
        </is>
      </c>
      <c r="G111" s="4" t="inlineStr">
        <is>
          <t>Igen</t>
        </is>
      </c>
      <c r="H111" s="4" t="inlineStr">
        <is>
          <t>Szövet / textil / filc cserép, ültető- és termesztőzsák</t>
        </is>
      </c>
      <c r="I111" s="4" t="inlineStr">
        <is>
          <t>Kategórialeírás (természetes említés)</t>
        </is>
      </c>
    </row>
    <row r="112">
      <c r="A112" s="4" t="inlineStr">
        <is>
          <t>Szövetcserép, ültetőzsák</t>
        </is>
      </c>
      <c r="B112" s="4" t="n">
        <v>14</v>
      </c>
      <c r="C112" s="4" t="inlineStr">
        <is>
          <t>növénynevelő zsák</t>
        </is>
      </c>
      <c r="D112" s="4" t="n"/>
      <c r="E112" s="5" t="n">
        <v>10</v>
      </c>
      <c r="F112" s="4" t="inlineStr">
        <is>
          <t>Szoros</t>
        </is>
      </c>
      <c r="G112" s="4" t="inlineStr">
        <is>
          <t>Igen</t>
        </is>
      </c>
      <c r="H112" s="4" t="inlineStr">
        <is>
          <t>Szövet / textil / filc cserép, ültető- és termesztőzsák</t>
        </is>
      </c>
      <c r="I112" s="4" t="inlineStr">
        <is>
          <t>Kategórialeírás (természetes említés)</t>
        </is>
      </c>
    </row>
    <row r="113">
      <c r="A113" s="4" t="inlineStr">
        <is>
          <t>Szövetcserép, ültetőzsák</t>
        </is>
      </c>
      <c r="B113" s="4" t="n">
        <v>15</v>
      </c>
      <c r="C113" s="4" t="inlineStr">
        <is>
          <t>root pouch</t>
        </is>
      </c>
      <c r="D113" s="4" t="n"/>
      <c r="E113" s="5" t="n">
        <v>10</v>
      </c>
      <c r="F113" s="4" t="inlineStr">
        <is>
          <t>Szoros</t>
        </is>
      </c>
      <c r="G113" s="4" t="inlineStr">
        <is>
          <t>Igen</t>
        </is>
      </c>
      <c r="H113" s="4" t="inlineStr">
        <is>
          <t>Szövet / textil / filc cserép, ültető- és termesztőzsák</t>
        </is>
      </c>
      <c r="I113" s="4" t="inlineStr">
        <is>
          <t>Gyártóoldal / szűrő / termékoldal</t>
        </is>
      </c>
    </row>
    <row r="114">
      <c r="A114" s="4" t="inlineStr">
        <is>
          <t>Szövetcserép, ültetőzsák</t>
        </is>
      </c>
      <c r="B114" s="4" t="n">
        <v>16</v>
      </c>
      <c r="C114" s="4" t="inlineStr">
        <is>
          <t>smarpot</t>
        </is>
      </c>
      <c r="D114" s="4" t="n"/>
      <c r="E114" s="5" t="n">
        <v>10</v>
      </c>
      <c r="F114" s="4" t="inlineStr">
        <is>
          <t>Szoros</t>
        </is>
      </c>
      <c r="G114" s="4" t="inlineStr">
        <is>
          <t>Igen</t>
        </is>
      </c>
      <c r="H114" s="4" t="inlineStr">
        <is>
          <t>Szövet / textil / filc cserép, ültető- és termesztőzsák</t>
        </is>
      </c>
      <c r="I114" s="4" t="inlineStr">
        <is>
          <t>Kategórialeírás (természetes említés)</t>
        </is>
      </c>
    </row>
    <row r="115">
      <c r="A115" s="4" t="inlineStr">
        <is>
          <t>Cserépalátét</t>
        </is>
      </c>
      <c r="B115" s="4" t="n">
        <v>20</v>
      </c>
      <c r="C115" s="4" t="inlineStr">
        <is>
          <t>cserépalátét 70 cm</t>
        </is>
      </c>
      <c r="D115" s="4" t="n"/>
      <c r="E115" s="5" t="n">
        <v>10</v>
      </c>
      <c r="F115" s="4" t="inlineStr">
        <is>
          <t>Szoros</t>
        </is>
      </c>
      <c r="G115" s="4" t="inlineStr">
        <is>
          <t>Igen</t>
        </is>
      </c>
      <c r="H115" s="4" t="inlineStr">
        <is>
          <t>Cserép alá – vízfelfogás, gurulós alátét</t>
        </is>
      </c>
      <c r="I115" s="4" t="inlineStr">
        <is>
          <t>Kategórialeírás (természetes említés)</t>
        </is>
      </c>
    </row>
    <row r="116">
      <c r="A116" s="4" t="inlineStr">
        <is>
          <t>Cserépalátét</t>
        </is>
      </c>
      <c r="B116" s="4" t="n">
        <v>21</v>
      </c>
      <c r="C116" s="4" t="inlineStr">
        <is>
          <t>műanyag virágláda alátét</t>
        </is>
      </c>
      <c r="D116" s="4" t="n"/>
      <c r="E116" s="5" t="n">
        <v>10</v>
      </c>
      <c r="F116" s="4" t="inlineStr">
        <is>
          <t>Szoros</t>
        </is>
      </c>
      <c r="G116" s="4" t="inlineStr">
        <is>
          <t>Igen</t>
        </is>
      </c>
      <c r="H116" s="4" t="inlineStr">
        <is>
          <t>Cserép alá – vízfelfogás, gurulós alátét</t>
        </is>
      </c>
      <c r="I116" s="4" t="inlineStr">
        <is>
          <t>Kategórialeírás (természetes említés)</t>
        </is>
      </c>
    </row>
    <row r="117">
      <c r="A117" s="4" t="inlineStr">
        <is>
          <t>Cserépalátét</t>
        </is>
      </c>
      <c r="B117" s="4" t="n">
        <v>22</v>
      </c>
      <c r="C117" s="4" t="inlineStr">
        <is>
          <t>gurulós virágcserép alátét</t>
        </is>
      </c>
      <c r="D117" s="4" t="n"/>
      <c r="E117" s="5" t="n">
        <v>10</v>
      </c>
      <c r="F117" s="4" t="inlineStr">
        <is>
          <t>Szoros</t>
        </is>
      </c>
      <c r="G117" s="4" t="inlineStr">
        <is>
          <t>Igen</t>
        </is>
      </c>
      <c r="H117" s="4" t="inlineStr">
        <is>
          <t>Cserép alá – vízfelfogás, gurulós alátét</t>
        </is>
      </c>
      <c r="I117" s="4" t="inlineStr">
        <is>
          <t>Kategórialeírás (természetes említés)</t>
        </is>
      </c>
    </row>
    <row r="118">
      <c r="A118" s="4" t="inlineStr">
        <is>
          <t>Cserépalátét</t>
        </is>
      </c>
      <c r="B118" s="4" t="n">
        <v>23</v>
      </c>
      <c r="C118" s="4" t="inlineStr">
        <is>
          <t>virágcserép alátét méretek</t>
        </is>
      </c>
      <c r="D118" s="4" t="n"/>
      <c r="E118" s="5" t="n">
        <v>10</v>
      </c>
      <c r="F118" s="4" t="inlineStr">
        <is>
          <t>Szoros</t>
        </is>
      </c>
      <c r="G118" s="4" t="inlineStr">
        <is>
          <t>Igen</t>
        </is>
      </c>
      <c r="H118" s="4" t="inlineStr">
        <is>
          <t>Cserép alá – vízfelfogás, gurulós alátét</t>
        </is>
      </c>
      <c r="I118" s="4" t="inlineStr">
        <is>
          <t>Leírás alsó része, GYIK vagy blog</t>
        </is>
      </c>
    </row>
    <row r="119">
      <c r="A119" s="4" t="inlineStr">
        <is>
          <t>Műanyag tálca, árapály asztal</t>
        </is>
      </c>
      <c r="B119" s="4" t="n">
        <v>21</v>
      </c>
      <c r="C119" s="4" t="inlineStr">
        <is>
          <t>kerti tálca</t>
        </is>
      </c>
      <c r="D119" s="4" t="n"/>
      <c r="E119" s="5" t="n">
        <v>10</v>
      </c>
      <c r="F119" s="4" t="inlineStr">
        <is>
          <t>Szoros</t>
        </is>
      </c>
      <c r="G119" s="4" t="inlineStr">
        <is>
          <t>Igen</t>
        </is>
      </c>
      <c r="H119" s="4" t="inlineStr">
        <is>
          <t>Gyűjtőtálca termesztősátorba, árapály (ebb &amp; flow) rendszer</t>
        </is>
      </c>
      <c r="I119" s="4" t="inlineStr">
        <is>
          <t>Kategórialeírás (természetes említés)</t>
        </is>
      </c>
    </row>
  </sheetData>
  <autoFilter ref="A1:I11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0" customWidth="1" min="3" max="3"/>
    <col width="22" customWidth="1" min="4" max="4"/>
    <col width="16" customWidth="1" min="5" max="5"/>
    <col width="40" customWidth="1" min="6" max="6"/>
    <col width="40" customWidth="1" min="7" max="7"/>
  </cols>
  <sheetData>
    <row r="1">
      <c r="A1" s="1" t="inlineStr">
        <is>
          <t>Virágcserép  –  fő kulcsszó: „virágcserép”</t>
        </is>
      </c>
    </row>
    <row r="2">
      <c r="A2" s="2" t="inlineStr">
        <is>
          <t>Felhasználási terület: Termesztő cserép – műanyag, kerek, literes méretek</t>
        </is>
      </c>
    </row>
    <row r="3">
      <c r="A3" s="2" t="inlineStr">
        <is>
          <t>Megjegyzés: A literes keresések kicsik (20 literes 50, 10 literes 30, 50 literes 30, 30 literes 20, 15 literes 20) – a térfogat legyen szűrő, ne kategória. A „cserép” (2900) önmagában tetőcserép, a „műanyag vödör” (590) a Bővítés lapon van.</t>
        </is>
      </c>
    </row>
    <row r="4">
      <c r="A4" s="2" t="inlineStr">
        <is>
          <t>Felvett releváns kulcsszavak: 30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4" t="n">
        <v>1</v>
      </c>
      <c r="B7" s="4" t="inlineStr">
        <is>
          <t>virágcserép</t>
        </is>
      </c>
      <c r="C7" s="5" t="n">
        <v>2400</v>
      </c>
      <c r="D7" s="4" t="inlineStr">
        <is>
          <t>Szoros</t>
        </is>
      </c>
      <c r="E7" s="4" t="inlineStr">
        <is>
          <t>Igen</t>
        </is>
      </c>
      <c r="F7" s="4" t="inlineStr">
        <is>
          <t>Termesztő cserép – műanyag, kerek, literes méretek</t>
        </is>
      </c>
      <c r="G7" s="4" t="inlineStr">
        <is>
          <t>Kategórianév + H1 + SEO title (fő kulcsszó)</t>
        </is>
      </c>
    </row>
    <row r="8">
      <c r="A8" s="4" t="n">
        <v>2</v>
      </c>
      <c r="B8" s="4" t="inlineStr">
        <is>
          <t>műanyag virágcserép</t>
        </is>
      </c>
      <c r="C8" s="5" t="n">
        <v>590</v>
      </c>
      <c r="D8" s="4" t="inlineStr">
        <is>
          <t>Szoros</t>
        </is>
      </c>
      <c r="E8" s="4" t="inlineStr">
        <is>
          <t>Igen</t>
        </is>
      </c>
      <c r="F8" s="4" t="inlineStr">
        <is>
          <t>Termesztő cserép – műanyag, kerek, literes méretek</t>
        </is>
      </c>
      <c r="G8" s="4" t="inlineStr">
        <is>
          <t>SEO title / H1 / bevezető (másodlagos)</t>
        </is>
      </c>
    </row>
    <row r="9">
      <c r="A9" s="4" t="n">
        <v>3</v>
      </c>
      <c r="B9" s="4" t="inlineStr">
        <is>
          <t>műanyag virág cserép</t>
        </is>
      </c>
      <c r="C9" s="5" t="n">
        <v>590</v>
      </c>
      <c r="D9" s="4" t="inlineStr">
        <is>
          <t>Szoros</t>
        </is>
      </c>
      <c r="E9" s="4" t="inlineStr">
        <is>
          <t>Igen</t>
        </is>
      </c>
      <c r="F9" s="4" t="inlineStr">
        <is>
          <t>Termesztő cserép – műanyag, kerek, literes méretek</t>
        </is>
      </c>
      <c r="G9" s="4" t="inlineStr">
        <is>
          <t>Kategórialeírás (természetes említés)</t>
        </is>
      </c>
    </row>
    <row r="10">
      <c r="A10" s="4" t="n">
        <v>4</v>
      </c>
      <c r="B10" s="4" t="inlineStr">
        <is>
          <t>műanyag cserép</t>
        </is>
      </c>
      <c r="C10" s="5" t="n">
        <v>480</v>
      </c>
      <c r="D10" s="4" t="inlineStr">
        <is>
          <t>Szoros</t>
        </is>
      </c>
      <c r="E10" s="4" t="inlineStr">
        <is>
          <t>Igen</t>
        </is>
      </c>
      <c r="F10" s="4" t="inlineStr">
        <is>
          <t>Termesztő cserép – műanyag, kerek, literes méretek</t>
        </is>
      </c>
      <c r="G10" s="4" t="inlineStr">
        <is>
          <t>SEO title / H1 / bevezető (másodlagos)</t>
        </is>
      </c>
    </row>
    <row r="11">
      <c r="A11" s="4" t="n">
        <v>5</v>
      </c>
      <c r="B11" s="4" t="inlineStr">
        <is>
          <t>műanyagcserép</t>
        </is>
      </c>
      <c r="C11" s="5" t="n">
        <v>480</v>
      </c>
      <c r="D11" s="4" t="inlineStr">
        <is>
          <t>Szoros</t>
        </is>
      </c>
      <c r="E11" s="4" t="inlineStr">
        <is>
          <t>Igen</t>
        </is>
      </c>
      <c r="F11" s="4" t="inlineStr">
        <is>
          <t>Termesztő cserép – műanyag, kerek, literes méretek</t>
        </is>
      </c>
      <c r="G11" s="4" t="inlineStr">
        <is>
          <t>Kategórialeírás (természetes említés)</t>
        </is>
      </c>
    </row>
    <row r="12">
      <c r="A12" s="12" t="n">
        <v>6</v>
      </c>
      <c r="B12" s="12" t="inlineStr">
        <is>
          <t>obi virágcserép</t>
        </is>
      </c>
      <c r="C12" s="22" t="n">
        <v>320</v>
      </c>
      <c r="D12" s="12" t="inlineStr">
        <is>
          <t>Nincs (áruházi / nem vásárlási szándék)</t>
        </is>
      </c>
      <c r="E12" s="12" t="inlineStr">
        <is>
          <t>Nem – kizárandó</t>
        </is>
      </c>
      <c r="F12" s="12" t="inlineStr">
        <is>
          <t>Termesztő cserép – műanyag, kerek, literes méretek</t>
        </is>
      </c>
      <c r="G12" s="12" t="inlineStr">
        <is>
          <t>Nem használni (áruházi/nem vásárlási szándék)</t>
        </is>
      </c>
    </row>
    <row r="13">
      <c r="A13" s="4" t="n">
        <v>7</v>
      </c>
      <c r="B13" s="4" t="inlineStr">
        <is>
          <t>virágcserép műanyag</t>
        </is>
      </c>
      <c r="C13" s="5" t="n">
        <v>260</v>
      </c>
      <c r="D13" s="4" t="inlineStr">
        <is>
          <t>Szoros</t>
        </is>
      </c>
      <c r="E13" s="4" t="inlineStr">
        <is>
          <t>Igen</t>
        </is>
      </c>
      <c r="F13" s="4" t="inlineStr">
        <is>
          <t>Termesztő cserép – műanyag, kerek, literes méretek</t>
        </is>
      </c>
      <c r="G13" s="4" t="inlineStr">
        <is>
          <t>Kategórialeírás (természetes említés)</t>
        </is>
      </c>
    </row>
    <row r="14">
      <c r="A14" s="4" t="n">
        <v>8</v>
      </c>
      <c r="B14" s="4" t="inlineStr">
        <is>
          <t>könnyű cserepek</t>
        </is>
      </c>
      <c r="C14" s="5" t="n">
        <v>140</v>
      </c>
      <c r="D14" s="4" t="inlineStr">
        <is>
          <t>Szoros</t>
        </is>
      </c>
      <c r="E14" s="4" t="inlineStr">
        <is>
          <t>Igen</t>
        </is>
      </c>
      <c r="F14" s="4" t="inlineStr">
        <is>
          <t>Termesztő cserép – műanyag, kerek, literes méretek</t>
        </is>
      </c>
      <c r="G14" s="4" t="inlineStr">
        <is>
          <t>Kategórialeírás (természetes említés)</t>
        </is>
      </c>
    </row>
    <row r="15">
      <c r="A15" s="4" t="n">
        <v>9</v>
      </c>
      <c r="B15" s="4" t="inlineStr">
        <is>
          <t>cserepek</t>
        </is>
      </c>
      <c r="C15" s="5" t="n">
        <v>140</v>
      </c>
      <c r="D15" s="4" t="inlineStr">
        <is>
          <t>Szoros</t>
        </is>
      </c>
      <c r="E15" s="4" t="inlineStr">
        <is>
          <t>Igen</t>
        </is>
      </c>
      <c r="F15" s="4" t="inlineStr">
        <is>
          <t>Termesztő cserép – műanyag, kerek, literes méretek</t>
        </is>
      </c>
      <c r="G15" s="4" t="inlineStr">
        <is>
          <t>Kategórialeírás (természetes említés)</t>
        </is>
      </c>
    </row>
    <row r="16">
      <c r="A16" s="12" t="n">
        <v>10</v>
      </c>
      <c r="B16" s="12" t="inlineStr">
        <is>
          <t>praktiker virágcserép</t>
        </is>
      </c>
      <c r="C16" s="22" t="n">
        <v>140</v>
      </c>
      <c r="D16" s="12" t="inlineStr">
        <is>
          <t>Nincs (áruházi / nem vásárlási szándék)</t>
        </is>
      </c>
      <c r="E16" s="12" t="inlineStr">
        <is>
          <t>Nem – kizárandó</t>
        </is>
      </c>
      <c r="F16" s="12" t="inlineStr">
        <is>
          <t>Termesztő cserép – műanyag, kerek, literes méretek</t>
        </is>
      </c>
      <c r="G16" s="12" t="inlineStr">
        <is>
          <t>Nem használni (áruházi/nem vásárlási szándék)</t>
        </is>
      </c>
    </row>
    <row r="17">
      <c r="A17" s="4" t="n">
        <v>11</v>
      </c>
      <c r="B17" s="4" t="inlineStr">
        <is>
          <t>olcsó műanyag virágcserép</t>
        </is>
      </c>
      <c r="C17" s="5" t="n">
        <v>110</v>
      </c>
      <c r="D17" s="4" t="inlineStr">
        <is>
          <t>Szoros</t>
        </is>
      </c>
      <c r="E17" s="4" t="inlineStr">
        <is>
          <t>Igen</t>
        </is>
      </c>
      <c r="F17" s="4" t="inlineStr">
        <is>
          <t>Termesztő cserép – műanyag, kerek, literes méretek</t>
        </is>
      </c>
      <c r="G17" s="4" t="inlineStr">
        <is>
          <t>Kategórialeírás (természetes említés)</t>
        </is>
      </c>
    </row>
    <row r="18">
      <c r="A18" s="4" t="n">
        <v>12</v>
      </c>
      <c r="B18" s="4" t="inlineStr">
        <is>
          <t>virágcserepek</t>
        </is>
      </c>
      <c r="C18" s="5" t="n">
        <v>110</v>
      </c>
      <c r="D18" s="4" t="inlineStr">
        <is>
          <t>Szoros</t>
        </is>
      </c>
      <c r="E18" s="4" t="inlineStr">
        <is>
          <t>Igen</t>
        </is>
      </c>
      <c r="F18" s="4" t="inlineStr">
        <is>
          <t>Termesztő cserép – műanyag, kerek, literes méretek</t>
        </is>
      </c>
      <c r="G18" s="4" t="inlineStr">
        <is>
          <t>Kategórialeírás (természetes említés)</t>
        </is>
      </c>
    </row>
    <row r="19">
      <c r="A19" s="4" t="n">
        <v>13</v>
      </c>
      <c r="B19" s="4" t="inlineStr">
        <is>
          <t>műanyag cserép nagykereskedés</t>
        </is>
      </c>
      <c r="C19" s="5" t="n">
        <v>110</v>
      </c>
      <c r="D19" s="4" t="inlineStr">
        <is>
          <t>Szoros</t>
        </is>
      </c>
      <c r="E19" s="4" t="inlineStr">
        <is>
          <t>Igen</t>
        </is>
      </c>
      <c r="F19" s="4" t="inlineStr">
        <is>
          <t>Termesztő cserép – műanyag, kerek, literes méretek</t>
        </is>
      </c>
      <c r="G19" s="4" t="inlineStr">
        <is>
          <t>Kategórialeírás (természetes említés)</t>
        </is>
      </c>
    </row>
    <row r="20">
      <c r="A20" s="4" t="n">
        <v>14</v>
      </c>
      <c r="B20" s="4" t="inlineStr">
        <is>
          <t>virágcserép méretek</t>
        </is>
      </c>
      <c r="C20" s="5" t="n">
        <v>110</v>
      </c>
      <c r="D20" s="4" t="inlineStr">
        <is>
          <t>Szoros</t>
        </is>
      </c>
      <c r="E20" s="4" t="inlineStr">
        <is>
          <t>Igen</t>
        </is>
      </c>
      <c r="F20" s="4" t="inlineStr">
        <is>
          <t>Termesztő cserép – műanyag, kerek, literes méretek</t>
        </is>
      </c>
      <c r="G20" s="4" t="inlineStr">
        <is>
          <t>Leírás alsó része, GYIK vagy blog</t>
        </is>
      </c>
    </row>
    <row r="21">
      <c r="A21" s="4" t="n">
        <v>15</v>
      </c>
      <c r="B21" s="4" t="inlineStr">
        <is>
          <t>műanyag virágcserép 40 cm</t>
        </is>
      </c>
      <c r="C21" s="5" t="n">
        <v>70</v>
      </c>
      <c r="D21" s="4" t="inlineStr">
        <is>
          <t>Szoros</t>
        </is>
      </c>
      <c r="E21" s="4" t="inlineStr">
        <is>
          <t>Igen</t>
        </is>
      </c>
      <c r="F21" s="4" t="inlineStr">
        <is>
          <t>Termesztő cserép – műanyag, kerek, literes méretek</t>
        </is>
      </c>
      <c r="G21" s="4" t="inlineStr">
        <is>
          <t>Kategórialeírás (természetes említés)</t>
        </is>
      </c>
    </row>
    <row r="22">
      <c r="A22" s="4" t="n">
        <v>16</v>
      </c>
      <c r="B22" s="4" t="inlineStr">
        <is>
          <t>olcsó virágcserép</t>
        </is>
      </c>
      <c r="C22" s="5" t="n">
        <v>50</v>
      </c>
      <c r="D22" s="4" t="inlineStr">
        <is>
          <t>Szoros</t>
        </is>
      </c>
      <c r="E22" s="4" t="inlineStr">
        <is>
          <t>Igen</t>
        </is>
      </c>
      <c r="F22" s="4" t="inlineStr">
        <is>
          <t>Termesztő cserép – műanyag, kerek, literes méretek</t>
        </is>
      </c>
      <c r="G22" s="4" t="inlineStr">
        <is>
          <t>Kategórialeírás (természetes említés)</t>
        </is>
      </c>
    </row>
    <row r="23">
      <c r="A23" s="4" t="n">
        <v>17</v>
      </c>
      <c r="B23" s="4" t="inlineStr">
        <is>
          <t>20 literes cserép</t>
        </is>
      </c>
      <c r="C23" s="5" t="n">
        <v>50</v>
      </c>
      <c r="D23" s="4" t="inlineStr">
        <is>
          <t>Szoros</t>
        </is>
      </c>
      <c r="E23" s="4" t="inlineStr">
        <is>
          <t>Igen</t>
        </is>
      </c>
      <c r="F23" s="4" t="inlineStr">
        <is>
          <t>Termesztő cserép – műanyag, kerek, literes méretek</t>
        </is>
      </c>
      <c r="G23" s="4" t="inlineStr">
        <is>
          <t>Kategórialeírás (természetes említés)</t>
        </is>
      </c>
    </row>
    <row r="24">
      <c r="A24" s="7" t="n">
        <v>18</v>
      </c>
      <c r="B24" s="7" t="inlineStr">
        <is>
          <t>kerti cserép</t>
        </is>
      </c>
      <c r="C24" s="8" t="n">
        <v>40</v>
      </c>
      <c r="D24" s="7" t="inlineStr">
        <is>
          <t>Laza</t>
        </is>
      </c>
      <c r="E24" s="7" t="inlineStr">
        <is>
          <t>Igen</t>
        </is>
      </c>
      <c r="F24" s="7" t="inlineStr">
        <is>
          <t>Termesztő cserép – műanyag, kerek, literes méretek</t>
        </is>
      </c>
      <c r="G24" s="7" t="inlineStr">
        <is>
          <t>Kategórialeírás (természetes említés)</t>
        </is>
      </c>
    </row>
    <row r="25">
      <c r="A25" s="4" t="n">
        <v>19</v>
      </c>
      <c r="B25" s="4" t="inlineStr">
        <is>
          <t>10 literes cserép</t>
        </is>
      </c>
      <c r="C25" s="5" t="n">
        <v>30</v>
      </c>
      <c r="D25" s="4" t="inlineStr">
        <is>
          <t>Szoros</t>
        </is>
      </c>
      <c r="E25" s="4" t="inlineStr">
        <is>
          <t>Igen</t>
        </is>
      </c>
      <c r="F25" s="4" t="inlineStr">
        <is>
          <t>Termesztő cserép – műanyag, kerek, literes méretek</t>
        </is>
      </c>
      <c r="G25" s="4" t="inlineStr">
        <is>
          <t>Kategórialeírás (természetes említés)</t>
        </is>
      </c>
    </row>
    <row r="26">
      <c r="A26" s="4" t="n">
        <v>20</v>
      </c>
      <c r="B26" s="4" t="inlineStr">
        <is>
          <t>50 literes cserép</t>
        </is>
      </c>
      <c r="C26" s="5" t="n">
        <v>30</v>
      </c>
      <c r="D26" s="4" t="inlineStr">
        <is>
          <t>Szoros</t>
        </is>
      </c>
      <c r="E26" s="4" t="inlineStr">
        <is>
          <t>Igen</t>
        </is>
      </c>
      <c r="F26" s="4" t="inlineStr">
        <is>
          <t>Termesztő cserép – műanyag, kerek, literes méretek</t>
        </is>
      </c>
      <c r="G26" s="4" t="inlineStr">
        <is>
          <t>Kategórialeírás (természetes említés)</t>
        </is>
      </c>
    </row>
    <row r="27">
      <c r="A27" s="4" t="n">
        <v>21</v>
      </c>
      <c r="B27" s="4" t="inlineStr">
        <is>
          <t>virágcserép 30 cm</t>
        </is>
      </c>
      <c r="C27" s="5" t="n">
        <v>30</v>
      </c>
      <c r="D27" s="4" t="inlineStr">
        <is>
          <t>Szoros</t>
        </is>
      </c>
      <c r="E27" s="4" t="inlineStr">
        <is>
          <t>Igen</t>
        </is>
      </c>
      <c r="F27" s="4" t="inlineStr">
        <is>
          <t>Termesztő cserép – műanyag, kerek, literes méretek</t>
        </is>
      </c>
      <c r="G27" s="4" t="inlineStr">
        <is>
          <t>Kategórialeírás (természetes említés)</t>
        </is>
      </c>
    </row>
    <row r="28">
      <c r="A28" s="4" t="n">
        <v>22</v>
      </c>
      <c r="B28" s="4" t="inlineStr">
        <is>
          <t>30 literes cserép</t>
        </is>
      </c>
      <c r="C28" s="5" t="n">
        <v>20</v>
      </c>
      <c r="D28" s="4" t="inlineStr">
        <is>
          <t>Szoros</t>
        </is>
      </c>
      <c r="E28" s="4" t="inlineStr">
        <is>
          <t>Igen</t>
        </is>
      </c>
      <c r="F28" s="4" t="inlineStr">
        <is>
          <t>Termesztő cserép – műanyag, kerek, literes méretek</t>
        </is>
      </c>
      <c r="G28" s="4" t="inlineStr">
        <is>
          <t>Kategórialeírás (természetes említés)</t>
        </is>
      </c>
    </row>
    <row r="29">
      <c r="A29" s="4" t="n">
        <v>23</v>
      </c>
      <c r="B29" s="4" t="inlineStr">
        <is>
          <t>15 literes cserép</t>
        </is>
      </c>
      <c r="C29" s="5" t="n">
        <v>20</v>
      </c>
      <c r="D29" s="4" t="inlineStr">
        <is>
          <t>Szoros</t>
        </is>
      </c>
      <c r="E29" s="4" t="inlineStr">
        <is>
          <t>Igen</t>
        </is>
      </c>
      <c r="F29" s="4" t="inlineStr">
        <is>
          <t>Termesztő cserép – műanyag, kerek, literes méretek</t>
        </is>
      </c>
      <c r="G29" s="4" t="inlineStr">
        <is>
          <t>Kategórialeírás (természetes említés)</t>
        </is>
      </c>
    </row>
    <row r="30">
      <c r="A30" s="4" t="n">
        <v>24</v>
      </c>
      <c r="B30" s="4" t="inlineStr">
        <is>
          <t>műanyag virágcserepek</t>
        </is>
      </c>
      <c r="C30" s="5" t="n">
        <v>20</v>
      </c>
      <c r="D30" s="4" t="inlineStr">
        <is>
          <t>Szoros</t>
        </is>
      </c>
      <c r="E30" s="4" t="inlineStr">
        <is>
          <t>Igen</t>
        </is>
      </c>
      <c r="F30" s="4" t="inlineStr">
        <is>
          <t>Termesztő cserép – műanyag, kerek, literes méretek</t>
        </is>
      </c>
      <c r="G30" s="4" t="inlineStr">
        <is>
          <t>Kategórialeírás (természetes említés)</t>
        </is>
      </c>
    </row>
    <row r="31">
      <c r="A31" s="4" t="n">
        <v>25</v>
      </c>
      <c r="B31" s="4" t="inlineStr">
        <is>
          <t>virágcserép olcsón</t>
        </is>
      </c>
      <c r="C31" s="5" t="n">
        <v>20</v>
      </c>
      <c r="D31" s="4" t="inlineStr">
        <is>
          <t>Szoros</t>
        </is>
      </c>
      <c r="E31" s="4" t="inlineStr">
        <is>
          <t>Igen</t>
        </is>
      </c>
      <c r="F31" s="4" t="inlineStr">
        <is>
          <t>Termesztő cserép – műanyag, kerek, literes méretek</t>
        </is>
      </c>
      <c r="G31" s="4" t="inlineStr">
        <is>
          <t>Kategórialeírás (természetes említés)</t>
        </is>
      </c>
    </row>
    <row r="32">
      <c r="A32" s="4" t="n">
        <v>26</v>
      </c>
      <c r="B32" s="4" t="inlineStr">
        <is>
          <t>kerek virágcserép</t>
        </is>
      </c>
      <c r="C32" s="5" t="n">
        <v>10</v>
      </c>
      <c r="D32" s="4" t="inlineStr">
        <is>
          <t>Szoros</t>
        </is>
      </c>
      <c r="E32" s="4" t="inlineStr">
        <is>
          <t>Igen</t>
        </is>
      </c>
      <c r="F32" s="4" t="inlineStr">
        <is>
          <t>Termesztő cserép – műanyag, kerek, literes méretek</t>
        </is>
      </c>
      <c r="G32" s="4" t="inlineStr">
        <is>
          <t>Kategórialeírás (természetes említés)</t>
        </is>
      </c>
    </row>
    <row r="33">
      <c r="A33" s="4" t="n">
        <v>27</v>
      </c>
      <c r="B33" s="4" t="inlineStr">
        <is>
          <t>virágcserép webáruház</t>
        </is>
      </c>
      <c r="C33" s="5" t="n">
        <v>10</v>
      </c>
      <c r="D33" s="4" t="inlineStr">
        <is>
          <t>Szoros</t>
        </is>
      </c>
      <c r="E33" s="4" t="inlineStr">
        <is>
          <t>Igen</t>
        </is>
      </c>
      <c r="F33" s="4" t="inlineStr">
        <is>
          <t>Termesztő cserép – műanyag, kerek, literes méretek</t>
        </is>
      </c>
      <c r="G33" s="4" t="inlineStr">
        <is>
          <t>Kategórialeírás (természetes említés)</t>
        </is>
      </c>
    </row>
    <row r="34">
      <c r="A34" s="4" t="n">
        <v>28</v>
      </c>
      <c r="B34" s="4" t="inlineStr">
        <is>
          <t>konténer cserép</t>
        </is>
      </c>
      <c r="C34" s="5" t="n">
        <v>10</v>
      </c>
      <c r="D34" s="4" t="inlineStr">
        <is>
          <t>Szoros</t>
        </is>
      </c>
      <c r="E34" s="4" t="inlineStr">
        <is>
          <t>Igen</t>
        </is>
      </c>
      <c r="F34" s="4" t="inlineStr">
        <is>
          <t>Termesztő cserép – műanyag, kerek, literes méretek</t>
        </is>
      </c>
      <c r="G34" s="4" t="inlineStr">
        <is>
          <t>Kategórialeírás (természetes említés)</t>
        </is>
      </c>
    </row>
    <row r="35">
      <c r="A35" s="4" t="n">
        <v>29</v>
      </c>
      <c r="B35" s="4" t="inlineStr">
        <is>
          <t>5 literes cserép</t>
        </is>
      </c>
      <c r="C35" s="5" t="n">
        <v>10</v>
      </c>
      <c r="D35" s="4" t="inlineStr">
        <is>
          <t>Szoros</t>
        </is>
      </c>
      <c r="E35" s="4" t="inlineStr">
        <is>
          <t>Igen</t>
        </is>
      </c>
      <c r="F35" s="4" t="inlineStr">
        <is>
          <t>Termesztő cserép – műanyag, kerek, literes méretek</t>
        </is>
      </c>
      <c r="G35" s="4" t="inlineStr">
        <is>
          <t>Kategórialeírás (természetes említés)</t>
        </is>
      </c>
    </row>
    <row r="36">
      <c r="A36" s="4" t="n">
        <v>30</v>
      </c>
      <c r="B36" s="4" t="inlineStr">
        <is>
          <t>műanyag palántázó cserép</t>
        </is>
      </c>
      <c r="C36" s="5" t="n">
        <v>10</v>
      </c>
      <c r="D36" s="4" t="inlineStr">
        <is>
          <t>Szoros</t>
        </is>
      </c>
      <c r="E36" s="4" t="inlineStr">
        <is>
          <t>Igen</t>
        </is>
      </c>
      <c r="F36" s="4" t="inlineStr">
        <is>
          <t>Termesztő cserép – műanyag, kerek, literes méretek</t>
        </is>
      </c>
      <c r="G36" s="4" t="inlineStr">
        <is>
          <t>Kategórialeírás (természetes említés)</t>
        </is>
      </c>
    </row>
    <row r="37">
      <c r="B37" s="10" t="inlineStr">
        <is>
          <t>Összesen (érdemes rá oldal = Igen):</t>
        </is>
      </c>
      <c r="C37" s="23">
        <f>SUMIFS(C7:C36,E7:E36,"Igen")</f>
        <v/>
      </c>
    </row>
    <row r="39">
      <c r="A39" s="10" t="inlineStr">
        <is>
          <t>Termékek a jelenlegi kínálatból: 57 db (elsődleges + másodlagos hozzárendelés; egy termék több kategóriában is szerepelhet)</t>
        </is>
      </c>
    </row>
    <row r="40">
      <c r="A40" s="3" t="inlineStr">
        <is>
          <t>#</t>
        </is>
      </c>
      <c r="B40" s="3" t="inlineStr">
        <is>
          <t>Termékkód</t>
        </is>
      </c>
      <c r="C40" s="3" t="inlineStr">
        <is>
          <t>Terméknév</t>
        </is>
      </c>
      <c r="D40" s="3" t="inlineStr">
        <is>
          <t>Hozzárendelés</t>
        </is>
      </c>
      <c r="E40" s="3" t="inlineStr">
        <is>
          <t>Illeszkedés</t>
        </is>
      </c>
      <c r="F40" s="3" t="inlineStr">
        <is>
          <t>Megjegyzés</t>
        </is>
      </c>
    </row>
    <row r="41">
      <c r="A41" s="4" t="n">
        <v>1</v>
      </c>
      <c r="B41" s="4" t="inlineStr">
        <is>
          <t>GRO0067</t>
        </is>
      </c>
      <c r="C41" s="4" t="inlineStr">
        <is>
          <t>Szögletes műanyag cserép 6 liter, 17,5 x 17,5 x 25 cm, gyökércsavarodás gátló</t>
        </is>
      </c>
      <c r="D41" s="4" t="inlineStr">
        <is>
          <t>Elsődleges</t>
        </is>
      </c>
      <c r="E41" s="4" t="inlineStr">
        <is>
          <t>Erős</t>
        </is>
      </c>
      <c r="F41" s="4" t="inlineStr">
        <is>
          <t>Szögletes, gyökércsavarodás-gátló</t>
        </is>
      </c>
    </row>
    <row r="42">
      <c r="A42" s="4" t="n">
        <v>2</v>
      </c>
      <c r="B42" s="4" t="inlineStr">
        <is>
          <t>GRO0068</t>
        </is>
      </c>
      <c r="C42" s="4" t="inlineStr">
        <is>
          <t>Görög mintás négyzetes műanyag virágcserép 18 liter, 30,5 x 30,5 cm</t>
        </is>
      </c>
      <c r="D42" s="4" t="inlineStr">
        <is>
          <t>Elsődleges</t>
        </is>
      </c>
      <c r="E42" s="4" t="inlineStr">
        <is>
          <t>Erős</t>
        </is>
      </c>
      <c r="F42" s="4" t="inlineStr">
        <is>
          <t>Görög mintás négyzetes</t>
        </is>
      </c>
    </row>
    <row r="43">
      <c r="A43" s="4" t="n">
        <v>3</v>
      </c>
      <c r="B43" s="4" t="inlineStr">
        <is>
          <t>GRO0069</t>
        </is>
      </c>
      <c r="C43" s="4" t="inlineStr">
        <is>
          <t>Görög mintás négyzetes műanyag virágcserép 25 liter, 33,5 x 33,5 cm</t>
        </is>
      </c>
      <c r="D43" s="4" t="inlineStr">
        <is>
          <t>Elsődleges</t>
        </is>
      </c>
      <c r="E43" s="4" t="inlineStr">
        <is>
          <t>Erős</t>
        </is>
      </c>
      <c r="F43" s="4" t="inlineStr">
        <is>
          <t>Görög mintás négyzetes, 25–30 l</t>
        </is>
      </c>
    </row>
    <row r="44">
      <c r="A44" s="4" t="n">
        <v>4</v>
      </c>
      <c r="B44" s="4" t="inlineStr">
        <is>
          <t>GRO0070</t>
        </is>
      </c>
      <c r="C44" s="4" t="inlineStr">
        <is>
          <t>Görög mintás négyzetes műanyag virágcserép 30 liter, 36,5 x 36,5 cm</t>
        </is>
      </c>
      <c r="D44" s="4" t="inlineStr">
        <is>
          <t>Elsődleges</t>
        </is>
      </c>
      <c r="E44" s="4" t="inlineStr">
        <is>
          <t>Erős</t>
        </is>
      </c>
      <c r="F44" s="4" t="inlineStr">
        <is>
          <t>Görög mintás négyzetes, 25–30 l</t>
        </is>
      </c>
    </row>
    <row r="45">
      <c r="A45" s="4" t="n">
        <v>5</v>
      </c>
      <c r="B45" s="4" t="inlineStr">
        <is>
          <t>GRO0748</t>
        </is>
      </c>
      <c r="C45" s="4" t="inlineStr">
        <is>
          <t>Görög mintás négyzetes műanyag virágcserép 9 liter, 23 x 23 cm</t>
        </is>
      </c>
      <c r="D45" s="4" t="inlineStr">
        <is>
          <t>Elsődleges</t>
        </is>
      </c>
      <c r="E45" s="4" t="inlineStr">
        <is>
          <t>Erős</t>
        </is>
      </c>
      <c r="F45" s="4" t="inlineStr">
        <is>
          <t>Görög mintás négyzetes</t>
        </is>
      </c>
    </row>
    <row r="46">
      <c r="A46" s="4" t="n">
        <v>6</v>
      </c>
      <c r="B46" s="4" t="inlineStr">
        <is>
          <t>GRO1141</t>
        </is>
      </c>
      <c r="C46" s="4" t="inlineStr">
        <is>
          <t>Szögletes műanyag cserép 2,5 liter, 13 x 13 x 18 cm, gyökércsavarodás gátló</t>
        </is>
      </c>
      <c r="D46" s="4" t="inlineStr">
        <is>
          <t>Elsődleges</t>
        </is>
      </c>
      <c r="E46" s="4" t="inlineStr">
        <is>
          <t>Erős</t>
        </is>
      </c>
      <c r="F46" s="4" t="inlineStr">
        <is>
          <t>Szögletes, gyökércsavarodás-gátló</t>
        </is>
      </c>
    </row>
    <row r="47">
      <c r="A47" s="4" t="n">
        <v>7</v>
      </c>
      <c r="B47" s="4" t="inlineStr">
        <is>
          <t>GRO1143</t>
        </is>
      </c>
      <c r="C47" s="4" t="inlineStr">
        <is>
          <t>Görög mintás négyzetes műanyag virágcserép 14 liter, 28,5 x 28,5 cm</t>
        </is>
      </c>
      <c r="D47" s="4" t="inlineStr">
        <is>
          <t>Elsődleges</t>
        </is>
      </c>
      <c r="E47" s="4" t="inlineStr">
        <is>
          <t>Erős</t>
        </is>
      </c>
      <c r="F47" s="4" t="inlineStr">
        <is>
          <t>Görög mintás négyzetes</t>
        </is>
      </c>
    </row>
    <row r="48">
      <c r="A48" s="4" t="n">
        <v>8</v>
      </c>
      <c r="B48" s="4" t="inlineStr">
        <is>
          <t>GRO1160</t>
        </is>
      </c>
      <c r="C48" s="4" t="inlineStr">
        <is>
          <t>Szögletes műanyag cserép 1,4 liter, 10 x 10 x 17 cm, gyökércsavarodás gátló</t>
        </is>
      </c>
      <c r="D48" s="4" t="inlineStr">
        <is>
          <t>Elsődleges</t>
        </is>
      </c>
      <c r="E48" s="4" t="inlineStr">
        <is>
          <t>Erős</t>
        </is>
      </c>
      <c r="F48" s="4" t="inlineStr">
        <is>
          <t>Szögletes, gyökércsavarodás-gátló</t>
        </is>
      </c>
    </row>
    <row r="49">
      <c r="A49" s="4" t="n">
        <v>9</v>
      </c>
      <c r="B49" s="4" t="inlineStr">
        <is>
          <t>GRO1161</t>
        </is>
      </c>
      <c r="C49" s="4" t="inlineStr">
        <is>
          <t>Szögletes műanyag cserép 1,8 liter, 10,5 x 8,5 x 22 cm, gyökércsavarodás gátló</t>
        </is>
      </c>
      <c r="D49" s="4" t="inlineStr">
        <is>
          <t>Elsődleges</t>
        </is>
      </c>
      <c r="E49" s="4" t="inlineStr">
        <is>
          <t>Erős</t>
        </is>
      </c>
      <c r="F49" s="4" t="inlineStr">
        <is>
          <t>Szögletes, gyökércsavarodás-gátló</t>
        </is>
      </c>
    </row>
    <row r="50">
      <c r="A50" s="4" t="n">
        <v>10</v>
      </c>
      <c r="B50" s="4" t="inlineStr">
        <is>
          <t>GRO1189</t>
        </is>
      </c>
      <c r="C50" s="4" t="inlineStr">
        <is>
          <t>Görög mintás négyzetes műanyag virágcserép 11 liter, 25 x 25 cm</t>
        </is>
      </c>
      <c r="D50" s="4" t="inlineStr">
        <is>
          <t>Elsődleges</t>
        </is>
      </c>
      <c r="E50" s="4" t="inlineStr">
        <is>
          <t>Erős</t>
        </is>
      </c>
      <c r="F50" s="4" t="inlineStr">
        <is>
          <t>Görög mintás négyzetes</t>
        </is>
      </c>
    </row>
    <row r="51">
      <c r="A51" s="4" t="n">
        <v>11</v>
      </c>
      <c r="B51" s="4" t="inlineStr">
        <is>
          <t>GRO1259</t>
        </is>
      </c>
      <c r="C51" s="4" t="inlineStr">
        <is>
          <t>Szögletes műanyag cserép 1,5 liter, 12 x 12 x 13 cm, gyökércsavarodás gátló</t>
        </is>
      </c>
      <c r="D51" s="4" t="inlineStr">
        <is>
          <t>Elsődleges</t>
        </is>
      </c>
      <c r="E51" s="4" t="inlineStr">
        <is>
          <t>Erős</t>
        </is>
      </c>
      <c r="F51" s="4" t="inlineStr">
        <is>
          <t>Szögletes, gyökércsavarodás-gátló</t>
        </is>
      </c>
    </row>
    <row r="52">
      <c r="A52" s="4" t="n">
        <v>12</v>
      </c>
      <c r="B52" s="4" t="inlineStr">
        <is>
          <t>GRO1261</t>
        </is>
      </c>
      <c r="C52" s="4" t="inlineStr">
        <is>
          <t>Szögletes műanyag cserép 15 x 15 x 20 cm, gyökércsavarodás gátló</t>
        </is>
      </c>
      <c r="D52" s="4" t="inlineStr">
        <is>
          <t>Elsődleges</t>
        </is>
      </c>
      <c r="E52" s="4" t="inlineStr">
        <is>
          <t>Erős</t>
        </is>
      </c>
      <c r="F52" s="4" t="inlineStr">
        <is>
          <t>Szögletes, gyökércsavarodás-gátló</t>
        </is>
      </c>
    </row>
    <row r="53">
      <c r="A53" s="4" t="n">
        <v>13</v>
      </c>
      <c r="B53" s="4" t="inlineStr">
        <is>
          <t>GRO1806</t>
        </is>
      </c>
      <c r="C53" s="4" t="inlineStr">
        <is>
          <t>Lyukacsos kerek virágcserép 2 liter, 16 x 14 cm, spirálgyökér gátló</t>
        </is>
      </c>
      <c r="D53" s="4" t="inlineStr">
        <is>
          <t>Elsődleges</t>
        </is>
      </c>
      <c r="E53" s="4" t="inlineStr">
        <is>
          <t>Erős</t>
        </is>
      </c>
      <c r="F53" s="4" t="inlineStr">
        <is>
          <t>Lyukacsos kerek, spirálgyökér-gátló</t>
        </is>
      </c>
    </row>
    <row r="54">
      <c r="A54" s="4" t="n">
        <v>14</v>
      </c>
      <c r="B54" s="4" t="inlineStr">
        <is>
          <t>GRO1807</t>
        </is>
      </c>
      <c r="C54" s="4" t="inlineStr">
        <is>
          <t>Lyukacsos kerek virágcserép 19x17 cm 3 liter</t>
        </is>
      </c>
      <c r="D54" s="4" t="inlineStr">
        <is>
          <t>Elsődleges</t>
        </is>
      </c>
      <c r="E54" s="4" t="inlineStr">
        <is>
          <t>Erős</t>
        </is>
      </c>
      <c r="F54" s="4" t="inlineStr">
        <is>
          <t>Lyukacsos kerek, spirálgyökér-gátló</t>
        </is>
      </c>
    </row>
    <row r="55">
      <c r="A55" s="4" t="n">
        <v>15</v>
      </c>
      <c r="B55" s="4" t="inlineStr">
        <is>
          <t>GRO1808</t>
        </is>
      </c>
      <c r="C55" s="4" t="inlineStr">
        <is>
          <t>Lyukacsos kerek virágcserép 7,5 liter, 26 x 22 cm, spirálgyökér gátló</t>
        </is>
      </c>
      <c r="D55" s="4" t="inlineStr">
        <is>
          <t>Elsődleges</t>
        </is>
      </c>
      <c r="E55" s="4" t="inlineStr">
        <is>
          <t>Erős</t>
        </is>
      </c>
      <c r="F55" s="4" t="inlineStr">
        <is>
          <t>Lyukacsos kerek, spirálgyökér-gátló</t>
        </is>
      </c>
    </row>
    <row r="56">
      <c r="A56" s="4" t="n">
        <v>16</v>
      </c>
      <c r="B56" s="4" t="inlineStr">
        <is>
          <t>GRO1809</t>
        </is>
      </c>
      <c r="C56" s="4" t="inlineStr">
        <is>
          <t>Lyukacsos kerek virágcserép 9,5 liter, 28,5 x 24 cm, spirálgyökér gátló</t>
        </is>
      </c>
      <c r="D56" s="4" t="inlineStr">
        <is>
          <t>Elsődleges</t>
        </is>
      </c>
      <c r="E56" s="4" t="inlineStr">
        <is>
          <t>Erős</t>
        </is>
      </c>
      <c r="F56" s="4" t="inlineStr">
        <is>
          <t>Lyukacsos kerek, spirálgyökér-gátló</t>
        </is>
      </c>
    </row>
    <row r="57">
      <c r="A57" s="4" t="n">
        <v>17</v>
      </c>
      <c r="B57" s="4" t="inlineStr">
        <is>
          <t>GRO1810</t>
        </is>
      </c>
      <c r="C57" s="4" t="inlineStr">
        <is>
          <t>Lyukacsos kerek virágcserép 12 liter, 30,5 x 26,5 cm, spirálgyökér gátló</t>
        </is>
      </c>
      <c r="D57" s="4" t="inlineStr">
        <is>
          <t>Elsődleges</t>
        </is>
      </c>
      <c r="E57" s="4" t="inlineStr">
        <is>
          <t>Erős</t>
        </is>
      </c>
      <c r="F57" s="4" t="inlineStr">
        <is>
          <t>Lyukacsos kerek, spirálgyökér-gátló</t>
        </is>
      </c>
    </row>
    <row r="58">
      <c r="A58" s="4" t="n">
        <v>18</v>
      </c>
      <c r="B58" s="4" t="inlineStr">
        <is>
          <t>GRO2099</t>
        </is>
      </c>
      <c r="C58" s="4" t="inlineStr">
        <is>
          <t>Kerek műanyag virágcserép 3 liter, 16 x 16 cm, fekete, újrahasznosított PE</t>
        </is>
      </c>
      <c r="D58" s="4" t="inlineStr">
        <is>
          <t>Elsődleges</t>
        </is>
      </c>
      <c r="E58" s="4" t="inlineStr">
        <is>
          <t>Erős</t>
        </is>
      </c>
      <c r="F58" s="4" t="inlineStr">
        <is>
          <t>Kerek fekete műanyag cserép</t>
        </is>
      </c>
    </row>
    <row r="59">
      <c r="A59" s="4" t="n">
        <v>19</v>
      </c>
      <c r="B59" s="4" t="inlineStr">
        <is>
          <t>GRO2100</t>
        </is>
      </c>
      <c r="C59" s="4" t="inlineStr">
        <is>
          <t>Kerek műanyag virágcserép 5 liter, 20 x 20 cm, fekete, újrahasznosított PE</t>
        </is>
      </c>
      <c r="D59" s="4" t="inlineStr">
        <is>
          <t>Elsődleges</t>
        </is>
      </c>
      <c r="E59" s="4" t="inlineStr">
        <is>
          <t>Erős</t>
        </is>
      </c>
      <c r="F59" s="4" t="inlineStr">
        <is>
          <t>Kerek fekete műanyag cserép</t>
        </is>
      </c>
    </row>
    <row r="60">
      <c r="A60" s="4" t="n">
        <v>20</v>
      </c>
      <c r="B60" s="4" t="inlineStr">
        <is>
          <t>GRO2101</t>
        </is>
      </c>
      <c r="C60" s="4" t="inlineStr">
        <is>
          <t>Kerek műanyag virágcserép 7 liter, 22 x 22 cm, fekete, újrahasznosított PE</t>
        </is>
      </c>
      <c r="D60" s="4" t="inlineStr">
        <is>
          <t>Elsődleges</t>
        </is>
      </c>
      <c r="E60" s="4" t="inlineStr">
        <is>
          <t>Erős</t>
        </is>
      </c>
      <c r="F60" s="4" t="inlineStr">
        <is>
          <t>Kerek fekete műanyag cserép</t>
        </is>
      </c>
    </row>
    <row r="61">
      <c r="A61" s="4" t="n">
        <v>21</v>
      </c>
      <c r="B61" s="4" t="inlineStr">
        <is>
          <t>GRO2102</t>
        </is>
      </c>
      <c r="C61" s="4" t="inlineStr">
        <is>
          <t>Kerek műanyag virágcserép 9,5 liter, 24 x 24 cm, fekete, újrahasznosított PE</t>
        </is>
      </c>
      <c r="D61" s="4" t="inlineStr">
        <is>
          <t>Elsődleges</t>
        </is>
      </c>
      <c r="E61" s="4" t="inlineStr">
        <is>
          <t>Erős</t>
        </is>
      </c>
      <c r="F61" s="4" t="inlineStr">
        <is>
          <t>Kerek fekete műanyag cserép</t>
        </is>
      </c>
    </row>
    <row r="62">
      <c r="A62" s="4" t="n">
        <v>22</v>
      </c>
      <c r="B62" s="4" t="inlineStr">
        <is>
          <t>GRO2103</t>
        </is>
      </c>
      <c r="C62" s="4" t="inlineStr">
        <is>
          <t>Kerek műanyag virágcserép 12 liter, 26 x 26 cm, fekete, újrahasznosított PE</t>
        </is>
      </c>
      <c r="D62" s="4" t="inlineStr">
        <is>
          <t>Elsődleges</t>
        </is>
      </c>
      <c r="E62" s="4" t="inlineStr">
        <is>
          <t>Erős</t>
        </is>
      </c>
      <c r="F62" s="4" t="inlineStr">
        <is>
          <t>Kerek fekete műanyag cserép</t>
        </is>
      </c>
    </row>
    <row r="63">
      <c r="A63" s="4" t="n">
        <v>23</v>
      </c>
      <c r="B63" s="4" t="inlineStr">
        <is>
          <t>GRO2104</t>
        </is>
      </c>
      <c r="C63" s="4" t="inlineStr">
        <is>
          <t>Kerek műanyag virágcserép 15 liter, 28 x 28 cm, fekete, újrahasznosított PE</t>
        </is>
      </c>
      <c r="D63" s="4" t="inlineStr">
        <is>
          <t>Elsődleges</t>
        </is>
      </c>
      <c r="E63" s="4" t="inlineStr">
        <is>
          <t>Erős</t>
        </is>
      </c>
      <c r="F63" s="4" t="inlineStr">
        <is>
          <t>Kerek fekete műanyag cserép</t>
        </is>
      </c>
    </row>
    <row r="64">
      <c r="A64" s="4" t="n">
        <v>24</v>
      </c>
      <c r="B64" s="4" t="inlineStr">
        <is>
          <t>GRO2107</t>
        </is>
      </c>
      <c r="C64" s="4" t="inlineStr">
        <is>
          <t>Lyukacsos szögletes műanyag cserép 9,6 liter, 20 x 23 x 28 cm, hidropóniához is</t>
        </is>
      </c>
      <c r="D64" s="4" t="inlineStr">
        <is>
          <t>Elsődleges</t>
        </is>
      </c>
      <c r="E64" s="4" t="inlineStr">
        <is>
          <t>Erős</t>
        </is>
      </c>
      <c r="F64" s="4" t="inlineStr">
        <is>
          <t>Lyukacsos szögletes, hidropóniához is</t>
        </is>
      </c>
    </row>
    <row r="65">
      <c r="A65" s="4" t="n">
        <v>25</v>
      </c>
      <c r="B65" s="4" t="inlineStr">
        <is>
          <t>GRO2108</t>
        </is>
      </c>
      <c r="C65" s="4" t="inlineStr">
        <is>
          <t>Lyukacsos kerek virágcserép 5 liter, 23 x 20 cm, spirálgyökér gátló</t>
        </is>
      </c>
      <c r="D65" s="4" t="inlineStr">
        <is>
          <t>Elsődleges</t>
        </is>
      </c>
      <c r="E65" s="4" t="inlineStr">
        <is>
          <t>Erős</t>
        </is>
      </c>
      <c r="F65" s="4" t="inlineStr">
        <is>
          <t>Lyukacsos kerek, spirálgyökér-gátló</t>
        </is>
      </c>
    </row>
    <row r="66">
      <c r="A66" s="4" t="n">
        <v>26</v>
      </c>
      <c r="B66" s="4" t="inlineStr">
        <is>
          <t>GRO2109</t>
        </is>
      </c>
      <c r="C66" s="4" t="inlineStr">
        <is>
          <t>Lyukacsos kerek virágcserép 20 liter, 33 x 29 cm, spirálgyökér gátló</t>
        </is>
      </c>
      <c r="D66" s="4" t="inlineStr">
        <is>
          <t>Elsődleges</t>
        </is>
      </c>
      <c r="E66" s="4" t="inlineStr">
        <is>
          <t>Erős</t>
        </is>
      </c>
      <c r="F66" s="4" t="inlineStr">
        <is>
          <t>Lyukacsos kerek, 20–90 l</t>
        </is>
      </c>
    </row>
    <row r="67">
      <c r="A67" s="4" t="n">
        <v>27</v>
      </c>
      <c r="B67" s="4" t="inlineStr">
        <is>
          <t>GRO2110</t>
        </is>
      </c>
      <c r="C67" s="4" t="inlineStr">
        <is>
          <t>Lyukacsos kerek virágcserép 25 liter, 37,5 x 32 cm, spirálgyökér gátló</t>
        </is>
      </c>
      <c r="D67" s="4" t="inlineStr">
        <is>
          <t>Elsődleges</t>
        </is>
      </c>
      <c r="E67" s="4" t="inlineStr">
        <is>
          <t>Erős</t>
        </is>
      </c>
      <c r="F67" s="4" t="inlineStr">
        <is>
          <t>Lyukacsos kerek, 20–90 l</t>
        </is>
      </c>
    </row>
    <row r="68">
      <c r="A68" s="4" t="n">
        <v>28</v>
      </c>
      <c r="B68" s="4" t="inlineStr">
        <is>
          <t>GRO2111</t>
        </is>
      </c>
      <c r="C68" s="4" t="inlineStr">
        <is>
          <t>Lyukacsos kerek virágcserép 35 liter, 42 x 36 cm, spirálgyökér gátló</t>
        </is>
      </c>
      <c r="D68" s="4" t="inlineStr">
        <is>
          <t>Elsődleges</t>
        </is>
      </c>
      <c r="E68" s="4" t="inlineStr">
        <is>
          <t>Erős</t>
        </is>
      </c>
      <c r="F68" s="4" t="inlineStr">
        <is>
          <t>Lyukacsos kerek, 20–90 l</t>
        </is>
      </c>
    </row>
    <row r="69">
      <c r="A69" s="4" t="n">
        <v>29</v>
      </c>
      <c r="B69" s="4" t="inlineStr">
        <is>
          <t>GRO2356</t>
        </is>
      </c>
      <c r="C69" s="4" t="inlineStr">
        <is>
          <t>Görög mintás négyzetes műanyag virágcserép 6 liter, 21 x 19,2 cm</t>
        </is>
      </c>
      <c r="D69" s="4" t="inlineStr">
        <is>
          <t>Elsődleges</t>
        </is>
      </c>
      <c r="E69" s="4" t="inlineStr">
        <is>
          <t>Erős</t>
        </is>
      </c>
      <c r="F69" s="4" t="inlineStr">
        <is>
          <t>Görög mintás négyzetes</t>
        </is>
      </c>
    </row>
    <row r="70">
      <c r="A70" s="4" t="n">
        <v>30</v>
      </c>
      <c r="B70" s="4" t="inlineStr">
        <is>
          <t>GRO2359</t>
        </is>
      </c>
      <c r="C70" s="4" t="inlineStr">
        <is>
          <t>Görög mintás négyzetes műanyag virágcserép 2 liter, 14 x 14 cm</t>
        </is>
      </c>
      <c r="D70" s="4" t="inlineStr">
        <is>
          <t>Elsődleges</t>
        </is>
      </c>
      <c r="E70" s="4" t="inlineStr">
        <is>
          <t>Erős</t>
        </is>
      </c>
      <c r="F70" s="4" t="inlineStr">
        <is>
          <t>Görög mintás négyzetes</t>
        </is>
      </c>
    </row>
    <row r="71">
      <c r="A71" s="4" t="n">
        <v>31</v>
      </c>
      <c r="B71" s="4" t="inlineStr">
        <is>
          <t>GRO2360</t>
        </is>
      </c>
      <c r="C71" s="4" t="inlineStr">
        <is>
          <t>Szögletes műanyag cserép 11 liter, 23 x 23 x 26 cm, gyökércsavarodás gátló</t>
        </is>
      </c>
      <c r="D71" s="4" t="inlineStr">
        <is>
          <t>Elsődleges</t>
        </is>
      </c>
      <c r="E71" s="4" t="inlineStr">
        <is>
          <t>Erős</t>
        </is>
      </c>
      <c r="F71" s="4" t="inlineStr">
        <is>
          <t>Szögletes, gyökércsavarodás-gátló</t>
        </is>
      </c>
    </row>
    <row r="72">
      <c r="A72" s="4" t="n">
        <v>32</v>
      </c>
      <c r="B72" s="4" t="inlineStr">
        <is>
          <t>GRO2494</t>
        </is>
      </c>
      <c r="C72" s="4" t="inlineStr">
        <is>
          <t>Lyukacsos kerek virágcserép 50 liter, 50 x 39 cm, spirálgyökér gátló</t>
        </is>
      </c>
      <c r="D72" s="4" t="inlineStr">
        <is>
          <t>Elsődleges</t>
        </is>
      </c>
      <c r="E72" s="4" t="inlineStr">
        <is>
          <t>Erős</t>
        </is>
      </c>
      <c r="F72" s="4" t="inlineStr">
        <is>
          <t>Lyukacsos kerek, 20–90 l</t>
        </is>
      </c>
    </row>
    <row r="73">
      <c r="A73" s="4" t="n">
        <v>33</v>
      </c>
      <c r="B73" s="4" t="inlineStr">
        <is>
          <t>GRO2495</t>
        </is>
      </c>
      <c r="C73" s="4" t="inlineStr">
        <is>
          <t>Lyukacsos kerek virágcserép 70 liter, 55 x 45 cm, spirálgyökér gátló</t>
        </is>
      </c>
      <c r="D73" s="4" t="inlineStr">
        <is>
          <t>Elsődleges</t>
        </is>
      </c>
      <c r="E73" s="4" t="inlineStr">
        <is>
          <t>Erős</t>
        </is>
      </c>
      <c r="F73" s="4" t="inlineStr">
        <is>
          <t>Lyukacsos kerek, 20–90 l</t>
        </is>
      </c>
    </row>
    <row r="74">
      <c r="A74" s="4" t="n">
        <v>34</v>
      </c>
      <c r="B74" s="4" t="inlineStr">
        <is>
          <t>GRO2496</t>
        </is>
      </c>
      <c r="C74" s="4" t="inlineStr">
        <is>
          <t>Lyukacsos kerek virágcserép 90 liter, 60 x 46 cm, spirálgyökér gátló</t>
        </is>
      </c>
      <c r="D74" s="4" t="inlineStr">
        <is>
          <t>Elsődleges</t>
        </is>
      </c>
      <c r="E74" s="4" t="inlineStr">
        <is>
          <t>Erős</t>
        </is>
      </c>
      <c r="F74" s="4" t="inlineStr">
        <is>
          <t>Lyukacsos kerek, 20–90 l</t>
        </is>
      </c>
    </row>
    <row r="75">
      <c r="A75" s="4" t="n">
        <v>35</v>
      </c>
      <c r="B75" s="4" t="inlineStr">
        <is>
          <t>GRO2497</t>
        </is>
      </c>
      <c r="C75" s="4" t="inlineStr">
        <is>
          <t>Lyukacsos szögletes műanyag cserép 6,5 liter, 20 x 20 x 25,5 cm, hidropóniához is</t>
        </is>
      </c>
      <c r="D75" s="4" t="inlineStr">
        <is>
          <t>Elsődleges</t>
        </is>
      </c>
      <c r="E75" s="4" t="inlineStr">
        <is>
          <t>Erős</t>
        </is>
      </c>
      <c r="F75" s="4" t="inlineStr">
        <is>
          <t>Lyukacsos szögletes, hidropóniához is</t>
        </is>
      </c>
    </row>
    <row r="76">
      <c r="A76" s="4" t="n">
        <v>36</v>
      </c>
      <c r="B76" s="4" t="inlineStr">
        <is>
          <t>GRO2498</t>
        </is>
      </c>
      <c r="C76" s="4" t="inlineStr">
        <is>
          <t>Kerek műanyag virágcserép 18,5 liter, 30 x 30 cm, fekete, újrahasznosított PE</t>
        </is>
      </c>
      <c r="D76" s="4" t="inlineStr">
        <is>
          <t>Elsődleges</t>
        </is>
      </c>
      <c r="E76" s="4" t="inlineStr">
        <is>
          <t>Erős</t>
        </is>
      </c>
      <c r="F76" s="4" t="inlineStr">
        <is>
          <t>Kerek fekete műanyag cserép</t>
        </is>
      </c>
    </row>
    <row r="77">
      <c r="A77" s="4" t="n">
        <v>37</v>
      </c>
      <c r="B77" s="4" t="inlineStr">
        <is>
          <t>GRO2499</t>
        </is>
      </c>
      <c r="C77" s="4" t="inlineStr">
        <is>
          <t>Műanyag virágcserép (kerek) 33x33 cm 25 liter</t>
        </is>
      </c>
      <c r="D77" s="4" t="inlineStr">
        <is>
          <t>Elsődleges</t>
        </is>
      </c>
      <c r="E77" s="4" t="inlineStr">
        <is>
          <t>Erős</t>
        </is>
      </c>
      <c r="F77" s="4" t="inlineStr">
        <is>
          <t>Kerek fekete műanyag cserép, 25–30 l</t>
        </is>
      </c>
    </row>
    <row r="78">
      <c r="A78" s="4" t="n">
        <v>38</v>
      </c>
      <c r="B78" s="4" t="inlineStr">
        <is>
          <t>GRO2500</t>
        </is>
      </c>
      <c r="C78" s="4" t="inlineStr">
        <is>
          <t>Kerek műanyag virágcserép 30 liter, 35 x 37 cm, fekete, újrahasznosított PE</t>
        </is>
      </c>
      <c r="D78" s="4" t="inlineStr">
        <is>
          <t>Elsődleges</t>
        </is>
      </c>
      <c r="E78" s="4" t="inlineStr">
        <is>
          <t>Erős</t>
        </is>
      </c>
      <c r="F78" s="4" t="inlineStr">
        <is>
          <t>Kerek fekete műanyag cserép, 25–30 l</t>
        </is>
      </c>
    </row>
    <row r="79">
      <c r="A79" s="4" t="n">
        <v>39</v>
      </c>
      <c r="B79" s="4" t="inlineStr">
        <is>
          <t>GRO4240</t>
        </is>
      </c>
      <c r="C79" s="4" t="inlineStr">
        <is>
          <t>GF Cserép economic 10 L 10 db</t>
        </is>
      </c>
      <c r="D79" s="4" t="inlineStr">
        <is>
          <t>Elsődleges</t>
        </is>
      </c>
      <c r="E79" s="4" t="inlineStr">
        <is>
          <t>Erős</t>
        </is>
      </c>
      <c r="F79" s="4" t="inlineStr">
        <is>
          <t>Gyűjtőcsomag (10 db)</t>
        </is>
      </c>
    </row>
    <row r="80">
      <c r="A80" s="4" t="n">
        <v>40</v>
      </c>
      <c r="B80" s="4" t="inlineStr">
        <is>
          <t>GRO4241</t>
        </is>
      </c>
      <c r="C80" s="4" t="inlineStr">
        <is>
          <t>GF Cserép economic 15 L 10 db</t>
        </is>
      </c>
      <c r="D80" s="4" t="inlineStr">
        <is>
          <t>Elsődleges</t>
        </is>
      </c>
      <c r="E80" s="4" t="inlineStr">
        <is>
          <t>Erős</t>
        </is>
      </c>
      <c r="F80" s="4" t="inlineStr">
        <is>
          <t>Gyűjtőcsomag (10 db)</t>
        </is>
      </c>
    </row>
    <row r="81">
      <c r="A81" s="7" t="n">
        <v>41</v>
      </c>
      <c r="B81" s="7" t="inlineStr">
        <is>
          <t>GRO4613</t>
        </is>
      </c>
      <c r="C81" s="7" t="inlineStr">
        <is>
          <t>Garland magas falú cserép 37,5x23x12,5 cm</t>
        </is>
      </c>
      <c r="D81" s="7" t="inlineStr">
        <is>
          <t>Elsődleges</t>
        </is>
      </c>
      <c r="E81" s="7" t="inlineStr">
        <is>
          <t>Laza</t>
        </is>
      </c>
      <c r="F81" s="7" t="inlineStr">
        <is>
          <t>Garland magas falú (tálcaszerű) cserép</t>
        </is>
      </c>
    </row>
    <row r="82">
      <c r="A82" s="4" t="n">
        <v>42</v>
      </c>
      <c r="B82" s="4" t="inlineStr">
        <is>
          <t>GRO2501</t>
        </is>
      </c>
      <c r="C82" s="4" t="inlineStr">
        <is>
          <t>Lyukacsos konténer műanyag cserép 43 liter</t>
        </is>
      </c>
      <c r="D82" s="4" t="inlineStr">
        <is>
          <t>Másodlagos</t>
        </is>
      </c>
      <c r="E82" s="4" t="inlineStr">
        <is>
          <t>Erős</t>
        </is>
      </c>
      <c r="F82" s="4" t="inlineStr">
        <is>
          <t>Konténer, 43–155 l</t>
        </is>
      </c>
    </row>
    <row r="83">
      <c r="A83" s="4" t="n">
        <v>43</v>
      </c>
      <c r="B83" s="4" t="inlineStr">
        <is>
          <t>GRO2502</t>
        </is>
      </c>
      <c r="C83" s="4" t="inlineStr">
        <is>
          <t>Lyukacsos konténer műanyag cserép 50 liter</t>
        </is>
      </c>
      <c r="D83" s="4" t="inlineStr">
        <is>
          <t>Másodlagos</t>
        </is>
      </c>
      <c r="E83" s="4" t="inlineStr">
        <is>
          <t>Erős</t>
        </is>
      </c>
      <c r="F83" s="4" t="inlineStr">
        <is>
          <t>Konténer, 43–155 l</t>
        </is>
      </c>
    </row>
    <row r="84">
      <c r="A84" s="4" t="n">
        <v>44</v>
      </c>
      <c r="B84" s="4" t="inlineStr">
        <is>
          <t>GRO2503</t>
        </is>
      </c>
      <c r="C84" s="4" t="inlineStr">
        <is>
          <t>Lyukacsos konténer műanyag cserép 60 liter</t>
        </is>
      </c>
      <c r="D84" s="4" t="inlineStr">
        <is>
          <t>Másodlagos</t>
        </is>
      </c>
      <c r="E84" s="4" t="inlineStr">
        <is>
          <t>Erős</t>
        </is>
      </c>
      <c r="F84" s="4" t="inlineStr">
        <is>
          <t>Konténer, 43–155 l</t>
        </is>
      </c>
    </row>
    <row r="85">
      <c r="A85" s="4" t="n">
        <v>45</v>
      </c>
      <c r="B85" s="4" t="inlineStr">
        <is>
          <t>GRO2504</t>
        </is>
      </c>
      <c r="C85" s="4" t="inlineStr">
        <is>
          <t>Lyukacsos konténer műanyag cserép 70 liter</t>
        </is>
      </c>
      <c r="D85" s="4" t="inlineStr">
        <is>
          <t>Másodlagos</t>
        </is>
      </c>
      <c r="E85" s="4" t="inlineStr">
        <is>
          <t>Erős</t>
        </is>
      </c>
      <c r="F85" s="4" t="inlineStr">
        <is>
          <t>Konténer, 43–155 l</t>
        </is>
      </c>
    </row>
    <row r="86">
      <c r="A86" s="4" t="n">
        <v>46</v>
      </c>
      <c r="B86" s="4" t="inlineStr">
        <is>
          <t>GRO2505</t>
        </is>
      </c>
      <c r="C86" s="4" t="inlineStr">
        <is>
          <t>Lyukacsos konténer műanyag cserép 80 liter, 60 x 43 cm, fogantyúval</t>
        </is>
      </c>
      <c r="D86" s="4" t="inlineStr">
        <is>
          <t>Másodlagos</t>
        </is>
      </c>
      <c r="E86" s="4" t="inlineStr">
        <is>
          <t>Erős</t>
        </is>
      </c>
      <c r="F86" s="4" t="inlineStr">
        <is>
          <t>Konténer, 43–155 l</t>
        </is>
      </c>
    </row>
    <row r="87">
      <c r="A87" s="4" t="n">
        <v>47</v>
      </c>
      <c r="B87" s="4" t="inlineStr">
        <is>
          <t>GRO2506</t>
        </is>
      </c>
      <c r="C87" s="4" t="inlineStr">
        <is>
          <t>Lyukacsos konténer műanyag cserép 100 liter, 60 x 51 cm, fogantyúval</t>
        </is>
      </c>
      <c r="D87" s="4" t="inlineStr">
        <is>
          <t>Másodlagos</t>
        </is>
      </c>
      <c r="E87" s="4" t="inlineStr">
        <is>
          <t>Erős</t>
        </is>
      </c>
      <c r="F87" s="4" t="inlineStr">
        <is>
          <t>Konténer, 43–155 l</t>
        </is>
      </c>
    </row>
    <row r="88">
      <c r="A88" s="7" t="n">
        <v>48</v>
      </c>
      <c r="B88" s="7" t="inlineStr">
        <is>
          <t>GRO4621</t>
        </is>
      </c>
      <c r="C88" s="7" t="inlineStr">
        <is>
          <t>Vékonyfalú kerek cserép 8,5 cm</t>
        </is>
      </c>
      <c r="D88" s="7" t="inlineStr">
        <is>
          <t>Másodlagos</t>
        </is>
      </c>
      <c r="E88" s="7" t="inlineStr">
        <is>
          <t>Laza</t>
        </is>
      </c>
      <c r="F88" s="7" t="inlineStr">
        <is>
          <t>Vékonyfalú kerek kiscserép</t>
        </is>
      </c>
    </row>
    <row r="89">
      <c r="A89" s="7" t="n">
        <v>49</v>
      </c>
      <c r="B89" s="7" t="inlineStr">
        <is>
          <t>GRO4622</t>
        </is>
      </c>
      <c r="C89" s="7" t="inlineStr">
        <is>
          <t>Vékonyfalú kerek cserép 12 cm</t>
        </is>
      </c>
      <c r="D89" s="7" t="inlineStr">
        <is>
          <t>Másodlagos</t>
        </is>
      </c>
      <c r="E89" s="7" t="inlineStr">
        <is>
          <t>Laza</t>
        </is>
      </c>
      <c r="F89" s="7" t="inlineStr">
        <is>
          <t>Vékonyfalú kerek kiscserép</t>
        </is>
      </c>
    </row>
    <row r="90">
      <c r="A90" s="4" t="n">
        <v>50</v>
      </c>
      <c r="B90" s="4" t="inlineStr">
        <is>
          <t>GRO4644</t>
        </is>
      </c>
      <c r="C90" s="4" t="inlineStr">
        <is>
          <t>Kerek műanyag konténer fogantyúval, 43 L (45x34 cm)</t>
        </is>
      </c>
      <c r="D90" s="4" t="inlineStr">
        <is>
          <t>Másodlagos</t>
        </is>
      </c>
      <c r="E90" s="4" t="inlineStr">
        <is>
          <t>Erős</t>
        </is>
      </c>
      <c r="F90" s="4" t="inlineStr">
        <is>
          <t>Konténer, 43–155 l</t>
        </is>
      </c>
    </row>
    <row r="91">
      <c r="A91" s="4" t="n">
        <v>51</v>
      </c>
      <c r="B91" s="4" t="inlineStr">
        <is>
          <t>GRO4645</t>
        </is>
      </c>
      <c r="C91" s="4" t="inlineStr">
        <is>
          <t>Kerek műanyag konténer fogantyúval, 50 L (45x41 cm)</t>
        </is>
      </c>
      <c r="D91" s="4" t="inlineStr">
        <is>
          <t>Másodlagos</t>
        </is>
      </c>
      <c r="E91" s="4" t="inlineStr">
        <is>
          <t>Erős</t>
        </is>
      </c>
      <c r="F91" s="4" t="inlineStr">
        <is>
          <t>Konténer, 43–155 l</t>
        </is>
      </c>
    </row>
    <row r="92">
      <c r="A92" s="4" t="n">
        <v>52</v>
      </c>
      <c r="B92" s="4" t="inlineStr">
        <is>
          <t>GRO4646</t>
        </is>
      </c>
      <c r="C92" s="4" t="inlineStr">
        <is>
          <t>Kerek műanyag konténer fogantyúval, 60 L (50x38 cm)</t>
        </is>
      </c>
      <c r="D92" s="4" t="inlineStr">
        <is>
          <t>Másodlagos</t>
        </is>
      </c>
      <c r="E92" s="4" t="inlineStr">
        <is>
          <t>Erős</t>
        </is>
      </c>
      <c r="F92" s="4" t="inlineStr">
        <is>
          <t>Konténer, 43–155 l</t>
        </is>
      </c>
    </row>
    <row r="93">
      <c r="A93" s="4" t="n">
        <v>53</v>
      </c>
      <c r="B93" s="4" t="inlineStr">
        <is>
          <t>GRO4647</t>
        </is>
      </c>
      <c r="C93" s="4" t="inlineStr">
        <is>
          <t>Kerek műanyag konténer fogantyúval, 70 L (50x44 cm)</t>
        </is>
      </c>
      <c r="D93" s="4" t="inlineStr">
        <is>
          <t>Másodlagos</t>
        </is>
      </c>
      <c r="E93" s="4" t="inlineStr">
        <is>
          <t>Erős</t>
        </is>
      </c>
      <c r="F93" s="4" t="inlineStr">
        <is>
          <t>Konténer, 43–155 l</t>
        </is>
      </c>
    </row>
    <row r="94">
      <c r="A94" s="4" t="n">
        <v>54</v>
      </c>
      <c r="B94" s="4" t="inlineStr">
        <is>
          <t>GRO4648</t>
        </is>
      </c>
      <c r="C94" s="4" t="inlineStr">
        <is>
          <t>Kerek műanyag konténer fogantyúval, 80 L (55x43 cm)</t>
        </is>
      </c>
      <c r="D94" s="4" t="inlineStr">
        <is>
          <t>Másodlagos</t>
        </is>
      </c>
      <c r="E94" s="4" t="inlineStr">
        <is>
          <t>Erős</t>
        </is>
      </c>
      <c r="F94" s="4" t="inlineStr">
        <is>
          <t>Konténer, 43–155 l</t>
        </is>
      </c>
    </row>
    <row r="95">
      <c r="A95" s="4" t="n">
        <v>55</v>
      </c>
      <c r="B95" s="4" t="inlineStr">
        <is>
          <t>GRO4649</t>
        </is>
      </c>
      <c r="C95" s="4" t="inlineStr">
        <is>
          <t>Kerek műanyag konténer fogantyúval 100 L (55x51 cm)</t>
        </is>
      </c>
      <c r="D95" s="4" t="inlineStr">
        <is>
          <t>Másodlagos</t>
        </is>
      </c>
      <c r="E95" s="4" t="inlineStr">
        <is>
          <t>Erős</t>
        </is>
      </c>
      <c r="F95" s="4" t="inlineStr">
        <is>
          <t>Konténer, 43–155 l</t>
        </is>
      </c>
    </row>
    <row r="96">
      <c r="A96" s="4" t="n">
        <v>56</v>
      </c>
      <c r="B96" s="4" t="inlineStr">
        <is>
          <t>GRO4652</t>
        </is>
      </c>
      <c r="C96" s="4" t="inlineStr">
        <is>
          <t>Kerek műanyag konténer fogantyúval, 130 L (65x51 cm)</t>
        </is>
      </c>
      <c r="D96" s="4" t="inlineStr">
        <is>
          <t>Másodlagos</t>
        </is>
      </c>
      <c r="E96" s="4" t="inlineStr">
        <is>
          <t>Erős</t>
        </is>
      </c>
      <c r="F96" s="4" t="inlineStr">
        <is>
          <t>Konténer, 43–155 l</t>
        </is>
      </c>
    </row>
    <row r="97">
      <c r="A97" s="4" t="n">
        <v>57</v>
      </c>
      <c r="B97" s="4" t="inlineStr">
        <is>
          <t>GRO4653</t>
        </is>
      </c>
      <c r="C97" s="4" t="inlineStr">
        <is>
          <t>Kerek műanyag konténer fogantyúval, 155 L (70x51 cm)</t>
        </is>
      </c>
      <c r="D97" s="4" t="inlineStr">
        <is>
          <t>Másodlagos</t>
        </is>
      </c>
      <c r="E97" s="4" t="inlineStr">
        <is>
          <t>Erős</t>
        </is>
      </c>
      <c r="F97" s="4" t="inlineStr">
        <is>
          <t>Konténer, 43–155 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0" customWidth="1" min="3" max="3"/>
    <col width="22" customWidth="1" min="4" max="4"/>
    <col width="16" customWidth="1" min="5" max="5"/>
    <col width="40" customWidth="1" min="6" max="6"/>
    <col width="40" customWidth="1" min="7" max="7"/>
  </cols>
  <sheetData>
    <row r="1">
      <c r="A1" s="1" t="inlineStr">
        <is>
          <t>Nagy virágcserép  –  fő kulcsszó: „nagy virágcserép”</t>
        </is>
      </c>
    </row>
    <row r="2">
      <c r="A2" s="2" t="inlineStr">
        <is>
          <t>Felhasználási terület: Nagy térfogatú cserép – 20–100 literes termesztés, kültér</t>
        </is>
      </c>
    </row>
    <row r="3">
      <c r="A3" s="2" t="inlineStr">
        <is>
          <t>Megjegyzés: Erős klaszter (nagy virágcserép 480, nagyméretű műanyag virágcserép 320, virágcserép nagy 260). A „műanyag virágcserép 100 cm” (390) / „60 cm” (320) főleg dekor balkon- és teraszcserép.</t>
        </is>
      </c>
    </row>
    <row r="4">
      <c r="A4" s="2" t="inlineStr">
        <is>
          <t>Felvett releváns kulcsszavak: 14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4" t="n">
        <v>1</v>
      </c>
      <c r="B7" s="4" t="inlineStr">
        <is>
          <t>nagy virágcserép</t>
        </is>
      </c>
      <c r="C7" s="5" t="n">
        <v>480</v>
      </c>
      <c r="D7" s="4" t="inlineStr">
        <is>
          <t>Szoros</t>
        </is>
      </c>
      <c r="E7" s="4" t="inlineStr">
        <is>
          <t>Igen</t>
        </is>
      </c>
      <c r="F7" s="4" t="inlineStr">
        <is>
          <t>Nagy térfogatú cserép – 20–100 literes termesztés, kültér</t>
        </is>
      </c>
      <c r="G7" s="4" t="inlineStr">
        <is>
          <t>Kategórianév + H1 + SEO title (fő kulcsszó)</t>
        </is>
      </c>
    </row>
    <row r="8">
      <c r="A8" s="11" t="n">
        <v>2</v>
      </c>
      <c r="B8" s="11" t="inlineStr">
        <is>
          <t>műanyag virágcserép 100 cm</t>
        </is>
      </c>
      <c r="C8" s="21" t="n">
        <v>390</v>
      </c>
      <c r="D8" s="11" t="inlineStr">
        <is>
          <t>Laza</t>
        </is>
      </c>
      <c r="E8" s="11" t="inlineStr">
        <is>
          <t>Nem</t>
        </is>
      </c>
      <c r="F8" s="11" t="inlineStr">
        <is>
          <t>Nagy térfogatú cserép – 20–100 literes termesztés, kültér</t>
        </is>
      </c>
      <c r="G8" s="11" t="inlineStr">
        <is>
          <t>Nem célozni külön oldallal (max. említés)</t>
        </is>
      </c>
    </row>
    <row r="9">
      <c r="A9" s="4" t="n">
        <v>3</v>
      </c>
      <c r="B9" s="4" t="inlineStr">
        <is>
          <t>nagyméretű műanyag virágcserép</t>
        </is>
      </c>
      <c r="C9" s="5" t="n">
        <v>320</v>
      </c>
      <c r="D9" s="4" t="inlineStr">
        <is>
          <t>Szoros</t>
        </is>
      </c>
      <c r="E9" s="4" t="inlineStr">
        <is>
          <t>Igen</t>
        </is>
      </c>
      <c r="F9" s="4" t="inlineStr">
        <is>
          <t>Nagy térfogatú cserép – 20–100 literes termesztés, kültér</t>
        </is>
      </c>
      <c r="G9" s="4" t="inlineStr">
        <is>
          <t>SEO title / H1 / bevezető (másodlagos)</t>
        </is>
      </c>
    </row>
    <row r="10">
      <c r="A10" s="11" t="n">
        <v>4</v>
      </c>
      <c r="B10" s="11" t="inlineStr">
        <is>
          <t>műanyag virágcserép 60 cm</t>
        </is>
      </c>
      <c r="C10" s="21" t="n">
        <v>320</v>
      </c>
      <c r="D10" s="11" t="inlineStr">
        <is>
          <t>Laza</t>
        </is>
      </c>
      <c r="E10" s="11" t="inlineStr">
        <is>
          <t>Nem</t>
        </is>
      </c>
      <c r="F10" s="11" t="inlineStr">
        <is>
          <t>Nagy térfogatú cserép – 20–100 literes termesztés, kültér</t>
        </is>
      </c>
      <c r="G10" s="11" t="inlineStr">
        <is>
          <t>Nem célozni külön oldallal (max. említés)</t>
        </is>
      </c>
    </row>
    <row r="11">
      <c r="A11" s="4" t="n">
        <v>5</v>
      </c>
      <c r="B11" s="4" t="inlineStr">
        <is>
          <t>virágcserép nagy</t>
        </is>
      </c>
      <c r="C11" s="5" t="n">
        <v>260</v>
      </c>
      <c r="D11" s="4" t="inlineStr">
        <is>
          <t>Szoros</t>
        </is>
      </c>
      <c r="E11" s="4" t="inlineStr">
        <is>
          <t>Igen</t>
        </is>
      </c>
      <c r="F11" s="4" t="inlineStr">
        <is>
          <t>Nagy térfogatú cserép – 20–100 literes termesztés, kültér</t>
        </is>
      </c>
      <c r="G11" s="4" t="inlineStr">
        <is>
          <t>SEO title / H1 / bevezető (másodlagos)</t>
        </is>
      </c>
    </row>
    <row r="12">
      <c r="A12" s="4" t="n">
        <v>6</v>
      </c>
      <c r="B12" s="4" t="inlineStr">
        <is>
          <t>nagy cserép</t>
        </is>
      </c>
      <c r="C12" s="5" t="n">
        <v>140</v>
      </c>
      <c r="D12" s="4" t="inlineStr">
        <is>
          <t>Szoros</t>
        </is>
      </c>
      <c r="E12" s="4" t="inlineStr">
        <is>
          <t>Igen</t>
        </is>
      </c>
      <c r="F12" s="4" t="inlineStr">
        <is>
          <t>Nagy térfogatú cserép – 20–100 literes termesztés, kültér</t>
        </is>
      </c>
      <c r="G12" s="4" t="inlineStr">
        <is>
          <t>SEO title / H1 / bevezető (másodlagos)</t>
        </is>
      </c>
    </row>
    <row r="13">
      <c r="A13" s="4" t="n">
        <v>7</v>
      </c>
      <c r="B13" s="4" t="inlineStr">
        <is>
          <t>nagy méretű virágcserép</t>
        </is>
      </c>
      <c r="C13" s="5" t="n">
        <v>90</v>
      </c>
      <c r="D13" s="4" t="inlineStr">
        <is>
          <t>Szoros</t>
        </is>
      </c>
      <c r="E13" s="4" t="inlineStr">
        <is>
          <t>Igen</t>
        </is>
      </c>
      <c r="F13" s="4" t="inlineStr">
        <is>
          <t>Nagy térfogatú cserép – 20–100 literes termesztés, kültér</t>
        </is>
      </c>
      <c r="G13" s="4" t="inlineStr">
        <is>
          <t>Kategórialeírás (természetes említés)</t>
        </is>
      </c>
    </row>
    <row r="14">
      <c r="A14" s="4" t="n">
        <v>8</v>
      </c>
      <c r="B14" s="4" t="inlineStr">
        <is>
          <t>nagyméretű cserép</t>
        </is>
      </c>
      <c r="C14" s="5" t="n">
        <v>70</v>
      </c>
      <c r="D14" s="4" t="inlineStr">
        <is>
          <t>Szoros</t>
        </is>
      </c>
      <c r="E14" s="4" t="inlineStr">
        <is>
          <t>Igen</t>
        </is>
      </c>
      <c r="F14" s="4" t="inlineStr">
        <is>
          <t>Nagy térfogatú cserép – 20–100 literes termesztés, kültér</t>
        </is>
      </c>
      <c r="G14" s="4" t="inlineStr">
        <is>
          <t>Kategórialeírás (természetes említés)</t>
        </is>
      </c>
    </row>
    <row r="15">
      <c r="A15" s="4" t="n">
        <v>9</v>
      </c>
      <c r="B15" s="4" t="inlineStr">
        <is>
          <t>nagy virágcserép olcsón</t>
        </is>
      </c>
      <c r="C15" s="5" t="n">
        <v>70</v>
      </c>
      <c r="D15" s="4" t="inlineStr">
        <is>
          <t>Szoros</t>
        </is>
      </c>
      <c r="E15" s="4" t="inlineStr">
        <is>
          <t>Igen</t>
        </is>
      </c>
      <c r="F15" s="4" t="inlineStr">
        <is>
          <t>Nagy térfogatú cserép – 20–100 literes termesztés, kültér</t>
        </is>
      </c>
      <c r="G15" s="4" t="inlineStr">
        <is>
          <t>Kategórialeírás (természetes említés)</t>
        </is>
      </c>
    </row>
    <row r="16">
      <c r="A16" s="4" t="n">
        <v>10</v>
      </c>
      <c r="B16" s="4" t="inlineStr">
        <is>
          <t>nagy műanyag cserép</t>
        </is>
      </c>
      <c r="C16" s="5" t="n">
        <v>50</v>
      </c>
      <c r="D16" s="4" t="inlineStr">
        <is>
          <t>Szoros</t>
        </is>
      </c>
      <c r="E16" s="4" t="inlineStr">
        <is>
          <t>Igen</t>
        </is>
      </c>
      <c r="F16" s="4" t="inlineStr">
        <is>
          <t>Nagy térfogatú cserép – 20–100 literes termesztés, kültér</t>
        </is>
      </c>
      <c r="G16" s="4" t="inlineStr">
        <is>
          <t>Kategórialeírás (természetes említés)</t>
        </is>
      </c>
    </row>
    <row r="17">
      <c r="A17" s="4" t="n">
        <v>11</v>
      </c>
      <c r="B17" s="4" t="inlineStr">
        <is>
          <t>nagy műanyag virágcserép</t>
        </is>
      </c>
      <c r="C17" s="5" t="n">
        <v>40</v>
      </c>
      <c r="D17" s="4" t="inlineStr">
        <is>
          <t>Szoros</t>
        </is>
      </c>
      <c r="E17" s="4" t="inlineStr">
        <is>
          <t>Igen</t>
        </is>
      </c>
      <c r="F17" s="4" t="inlineStr">
        <is>
          <t>Nagy térfogatú cserép – 20–100 literes termesztés, kültér</t>
        </is>
      </c>
      <c r="G17" s="4" t="inlineStr">
        <is>
          <t>Kategórialeírás (természetes említés)</t>
        </is>
      </c>
    </row>
    <row r="18">
      <c r="A18" s="4" t="n">
        <v>12</v>
      </c>
      <c r="B18" s="4" t="inlineStr">
        <is>
          <t>nagyméretű műanyag cserép</t>
        </is>
      </c>
      <c r="C18" s="5" t="n">
        <v>40</v>
      </c>
      <c r="D18" s="4" t="inlineStr">
        <is>
          <t>Szoros</t>
        </is>
      </c>
      <c r="E18" s="4" t="inlineStr">
        <is>
          <t>Igen</t>
        </is>
      </c>
      <c r="F18" s="4" t="inlineStr">
        <is>
          <t>Nagy térfogatú cserép – 20–100 literes termesztés, kültér</t>
        </is>
      </c>
      <c r="G18" s="4" t="inlineStr">
        <is>
          <t>Kategórialeírás (természetes említés)</t>
        </is>
      </c>
    </row>
    <row r="19">
      <c r="A19" s="7" t="n">
        <v>13</v>
      </c>
      <c r="B19" s="7" t="inlineStr">
        <is>
          <t>xxl cserép</t>
        </is>
      </c>
      <c r="C19" s="8" t="n">
        <v>40</v>
      </c>
      <c r="D19" s="7" t="inlineStr">
        <is>
          <t>Laza</t>
        </is>
      </c>
      <c r="E19" s="7" t="inlineStr">
        <is>
          <t>Igen</t>
        </is>
      </c>
      <c r="F19" s="7" t="inlineStr">
        <is>
          <t>Nagy térfogatú cserép – 20–100 literes termesztés, kültér</t>
        </is>
      </c>
      <c r="G19" s="7" t="inlineStr">
        <is>
          <t>Kategórialeírás (természetes említés)</t>
        </is>
      </c>
    </row>
    <row r="20">
      <c r="A20" s="4" t="n">
        <v>14</v>
      </c>
      <c r="B20" s="4" t="inlineStr">
        <is>
          <t>50 literes virágcserép</t>
        </is>
      </c>
      <c r="C20" s="5" t="n">
        <v>20</v>
      </c>
      <c r="D20" s="4" t="inlineStr">
        <is>
          <t>Szoros</t>
        </is>
      </c>
      <c r="E20" s="4" t="inlineStr">
        <is>
          <t>Igen</t>
        </is>
      </c>
      <c r="F20" s="4" t="inlineStr">
        <is>
          <t>Nagy térfogatú cserép – 20–100 literes termesztés, kültér</t>
        </is>
      </c>
      <c r="G20" s="4" t="inlineStr">
        <is>
          <t>Kategórialeírás (természetes említés)</t>
        </is>
      </c>
    </row>
    <row r="21">
      <c r="B21" s="10" t="inlineStr">
        <is>
          <t>Összesen (érdemes rá oldal = Igen):</t>
        </is>
      </c>
      <c r="C21" s="23">
        <f>SUMIFS(C7:C20,E7:E20,"Igen")</f>
        <v/>
      </c>
    </row>
    <row r="23">
      <c r="A23" s="10" t="inlineStr">
        <is>
          <t>Termékek a jelenlegi kínálatból: 25 db (elsődleges + másodlagos hozzárendelés; egy termék több kategóriában is szerepelhet)</t>
        </is>
      </c>
    </row>
    <row r="24">
      <c r="A24" s="3" t="inlineStr">
        <is>
          <t>#</t>
        </is>
      </c>
      <c r="B24" s="3" t="inlineStr">
        <is>
          <t>Termékkód</t>
        </is>
      </c>
      <c r="C24" s="3" t="inlineStr">
        <is>
          <t>Terméknév</t>
        </is>
      </c>
      <c r="D24" s="3" t="inlineStr">
        <is>
          <t>Hozzárendelés</t>
        </is>
      </c>
      <c r="E24" s="3" t="inlineStr">
        <is>
          <t>Illeszkedés</t>
        </is>
      </c>
      <c r="F24" s="3" t="inlineStr">
        <is>
          <t>Megjegyzés</t>
        </is>
      </c>
    </row>
    <row r="25">
      <c r="A25" s="4" t="n">
        <v>1</v>
      </c>
      <c r="B25" s="4" t="inlineStr">
        <is>
          <t>GRO2501</t>
        </is>
      </c>
      <c r="C25" s="4" t="inlineStr">
        <is>
          <t>Lyukacsos konténer műanyag cserép 43 liter</t>
        </is>
      </c>
      <c r="D25" s="4" t="inlineStr">
        <is>
          <t>Elsődleges</t>
        </is>
      </c>
      <c r="E25" s="4" t="inlineStr">
        <is>
          <t>Erős</t>
        </is>
      </c>
      <c r="F25" s="4" t="inlineStr">
        <is>
          <t>Konténer, 43–155 l</t>
        </is>
      </c>
    </row>
    <row r="26">
      <c r="A26" s="4" t="n">
        <v>2</v>
      </c>
      <c r="B26" s="4" t="inlineStr">
        <is>
          <t>GRO2502</t>
        </is>
      </c>
      <c r="C26" s="4" t="inlineStr">
        <is>
          <t>Lyukacsos konténer műanyag cserép 50 liter</t>
        </is>
      </c>
      <c r="D26" s="4" t="inlineStr">
        <is>
          <t>Elsődleges</t>
        </is>
      </c>
      <c r="E26" s="4" t="inlineStr">
        <is>
          <t>Erős</t>
        </is>
      </c>
      <c r="F26" s="4" t="inlineStr">
        <is>
          <t>Konténer, 43–155 l</t>
        </is>
      </c>
    </row>
    <row r="27">
      <c r="A27" s="4" t="n">
        <v>3</v>
      </c>
      <c r="B27" s="4" t="inlineStr">
        <is>
          <t>GRO2503</t>
        </is>
      </c>
      <c r="C27" s="4" t="inlineStr">
        <is>
          <t>Lyukacsos konténer műanyag cserép 60 liter</t>
        </is>
      </c>
      <c r="D27" s="4" t="inlineStr">
        <is>
          <t>Elsődleges</t>
        </is>
      </c>
      <c r="E27" s="4" t="inlineStr">
        <is>
          <t>Erős</t>
        </is>
      </c>
      <c r="F27" s="4" t="inlineStr">
        <is>
          <t>Konténer, 43–155 l</t>
        </is>
      </c>
    </row>
    <row r="28">
      <c r="A28" s="4" t="n">
        <v>4</v>
      </c>
      <c r="B28" s="4" t="inlineStr">
        <is>
          <t>GRO2504</t>
        </is>
      </c>
      <c r="C28" s="4" t="inlineStr">
        <is>
          <t>Lyukacsos konténer műanyag cserép 70 liter</t>
        </is>
      </c>
      <c r="D28" s="4" t="inlineStr">
        <is>
          <t>Elsődleges</t>
        </is>
      </c>
      <c r="E28" s="4" t="inlineStr">
        <is>
          <t>Erős</t>
        </is>
      </c>
      <c r="F28" s="4" t="inlineStr">
        <is>
          <t>Konténer, 43–155 l</t>
        </is>
      </c>
    </row>
    <row r="29">
      <c r="A29" s="4" t="n">
        <v>5</v>
      </c>
      <c r="B29" s="4" t="inlineStr">
        <is>
          <t>GRO2505</t>
        </is>
      </c>
      <c r="C29" s="4" t="inlineStr">
        <is>
          <t>Lyukacsos konténer műanyag cserép 80 liter, 60 x 43 cm, fogantyúval</t>
        </is>
      </c>
      <c r="D29" s="4" t="inlineStr">
        <is>
          <t>Elsődleges</t>
        </is>
      </c>
      <c r="E29" s="4" t="inlineStr">
        <is>
          <t>Erős</t>
        </is>
      </c>
      <c r="F29" s="4" t="inlineStr">
        <is>
          <t>Konténer, 43–155 l</t>
        </is>
      </c>
    </row>
    <row r="30">
      <c r="A30" s="4" t="n">
        <v>6</v>
      </c>
      <c r="B30" s="4" t="inlineStr">
        <is>
          <t>GRO2506</t>
        </is>
      </c>
      <c r="C30" s="4" t="inlineStr">
        <is>
          <t>Lyukacsos konténer műanyag cserép 100 liter, 60 x 51 cm, fogantyúval</t>
        </is>
      </c>
      <c r="D30" s="4" t="inlineStr">
        <is>
          <t>Elsődleges</t>
        </is>
      </c>
      <c r="E30" s="4" t="inlineStr">
        <is>
          <t>Erős</t>
        </is>
      </c>
      <c r="F30" s="4" t="inlineStr">
        <is>
          <t>Konténer, 43–155 l</t>
        </is>
      </c>
    </row>
    <row r="31">
      <c r="A31" s="4" t="n">
        <v>7</v>
      </c>
      <c r="B31" s="4" t="inlineStr">
        <is>
          <t>GRO4644</t>
        </is>
      </c>
      <c r="C31" s="4" t="inlineStr">
        <is>
          <t>Kerek műanyag konténer fogantyúval, 43 L (45x34 cm)</t>
        </is>
      </c>
      <c r="D31" s="4" t="inlineStr">
        <is>
          <t>Elsődleges</t>
        </is>
      </c>
      <c r="E31" s="4" t="inlineStr">
        <is>
          <t>Erős</t>
        </is>
      </c>
      <c r="F31" s="4" t="inlineStr">
        <is>
          <t>Konténer, 43–155 l</t>
        </is>
      </c>
    </row>
    <row r="32">
      <c r="A32" s="4" t="n">
        <v>8</v>
      </c>
      <c r="B32" s="4" t="inlineStr">
        <is>
          <t>GRO4645</t>
        </is>
      </c>
      <c r="C32" s="4" t="inlineStr">
        <is>
          <t>Kerek műanyag konténer fogantyúval, 50 L (45x41 cm)</t>
        </is>
      </c>
      <c r="D32" s="4" t="inlineStr">
        <is>
          <t>Elsődleges</t>
        </is>
      </c>
      <c r="E32" s="4" t="inlineStr">
        <is>
          <t>Erős</t>
        </is>
      </c>
      <c r="F32" s="4" t="inlineStr">
        <is>
          <t>Konténer, 43–155 l</t>
        </is>
      </c>
    </row>
    <row r="33">
      <c r="A33" s="4" t="n">
        <v>9</v>
      </c>
      <c r="B33" s="4" t="inlineStr">
        <is>
          <t>GRO4646</t>
        </is>
      </c>
      <c r="C33" s="4" t="inlineStr">
        <is>
          <t>Kerek műanyag konténer fogantyúval, 60 L (50x38 cm)</t>
        </is>
      </c>
      <c r="D33" s="4" t="inlineStr">
        <is>
          <t>Elsődleges</t>
        </is>
      </c>
      <c r="E33" s="4" t="inlineStr">
        <is>
          <t>Erős</t>
        </is>
      </c>
      <c r="F33" s="4" t="inlineStr">
        <is>
          <t>Konténer, 43–155 l</t>
        </is>
      </c>
    </row>
    <row r="34">
      <c r="A34" s="4" t="n">
        <v>10</v>
      </c>
      <c r="B34" s="4" t="inlineStr">
        <is>
          <t>GRO4647</t>
        </is>
      </c>
      <c r="C34" s="4" t="inlineStr">
        <is>
          <t>Kerek műanyag konténer fogantyúval, 70 L (50x44 cm)</t>
        </is>
      </c>
      <c r="D34" s="4" t="inlineStr">
        <is>
          <t>Elsődleges</t>
        </is>
      </c>
      <c r="E34" s="4" t="inlineStr">
        <is>
          <t>Erős</t>
        </is>
      </c>
      <c r="F34" s="4" t="inlineStr">
        <is>
          <t>Konténer, 43–155 l</t>
        </is>
      </c>
    </row>
    <row r="35">
      <c r="A35" s="4" t="n">
        <v>11</v>
      </c>
      <c r="B35" s="4" t="inlineStr">
        <is>
          <t>GRO4648</t>
        </is>
      </c>
      <c r="C35" s="4" t="inlineStr">
        <is>
          <t>Kerek műanyag konténer fogantyúval, 80 L (55x43 cm)</t>
        </is>
      </c>
      <c r="D35" s="4" t="inlineStr">
        <is>
          <t>Elsődleges</t>
        </is>
      </c>
      <c r="E35" s="4" t="inlineStr">
        <is>
          <t>Erős</t>
        </is>
      </c>
      <c r="F35" s="4" t="inlineStr">
        <is>
          <t>Konténer, 43–155 l</t>
        </is>
      </c>
    </row>
    <row r="36">
      <c r="A36" s="4" t="n">
        <v>12</v>
      </c>
      <c r="B36" s="4" t="inlineStr">
        <is>
          <t>GRO4649</t>
        </is>
      </c>
      <c r="C36" s="4" t="inlineStr">
        <is>
          <t>Kerek műanyag konténer fogantyúval 100 L (55x51 cm)</t>
        </is>
      </c>
      <c r="D36" s="4" t="inlineStr">
        <is>
          <t>Elsődleges</t>
        </is>
      </c>
      <c r="E36" s="4" t="inlineStr">
        <is>
          <t>Erős</t>
        </is>
      </c>
      <c r="F36" s="4" t="inlineStr">
        <is>
          <t>Konténer, 43–155 l</t>
        </is>
      </c>
    </row>
    <row r="37">
      <c r="A37" s="4" t="n">
        <v>13</v>
      </c>
      <c r="B37" s="4" t="inlineStr">
        <is>
          <t>GRO4652</t>
        </is>
      </c>
      <c r="C37" s="4" t="inlineStr">
        <is>
          <t>Kerek műanyag konténer fogantyúval, 130 L (65x51 cm)</t>
        </is>
      </c>
      <c r="D37" s="4" t="inlineStr">
        <is>
          <t>Elsődleges</t>
        </is>
      </c>
      <c r="E37" s="4" t="inlineStr">
        <is>
          <t>Erős</t>
        </is>
      </c>
      <c r="F37" s="4" t="inlineStr">
        <is>
          <t>Konténer, 43–155 l</t>
        </is>
      </c>
    </row>
    <row r="38">
      <c r="A38" s="4" t="n">
        <v>14</v>
      </c>
      <c r="B38" s="4" t="inlineStr">
        <is>
          <t>GRO4653</t>
        </is>
      </c>
      <c r="C38" s="4" t="inlineStr">
        <is>
          <t>Kerek műanyag konténer fogantyúval, 155 L (70x51 cm)</t>
        </is>
      </c>
      <c r="D38" s="4" t="inlineStr">
        <is>
          <t>Elsődleges</t>
        </is>
      </c>
      <c r="E38" s="4" t="inlineStr">
        <is>
          <t>Erős</t>
        </is>
      </c>
      <c r="F38" s="4" t="inlineStr">
        <is>
          <t>Konténer, 43–155 l</t>
        </is>
      </c>
    </row>
    <row r="39">
      <c r="A39" s="4" t="n">
        <v>15</v>
      </c>
      <c r="B39" s="4" t="inlineStr">
        <is>
          <t>GRO0069</t>
        </is>
      </c>
      <c r="C39" s="4" t="inlineStr">
        <is>
          <t>Görög mintás négyzetes műanyag virágcserép 25 liter, 33,5 x 33,5 cm</t>
        </is>
      </c>
      <c r="D39" s="4" t="inlineStr">
        <is>
          <t>Másodlagos</t>
        </is>
      </c>
      <c r="E39" s="4" t="inlineStr">
        <is>
          <t>Erős</t>
        </is>
      </c>
      <c r="F39" s="4" t="inlineStr">
        <is>
          <t>Görög mintás négyzetes, 25–30 l</t>
        </is>
      </c>
    </row>
    <row r="40">
      <c r="A40" s="4" t="n">
        <v>16</v>
      </c>
      <c r="B40" s="4" t="inlineStr">
        <is>
          <t>GRO0070</t>
        </is>
      </c>
      <c r="C40" s="4" t="inlineStr">
        <is>
          <t>Görög mintás négyzetes műanyag virágcserép 30 liter, 36,5 x 36,5 cm</t>
        </is>
      </c>
      <c r="D40" s="4" t="inlineStr">
        <is>
          <t>Másodlagos</t>
        </is>
      </c>
      <c r="E40" s="4" t="inlineStr">
        <is>
          <t>Erős</t>
        </is>
      </c>
      <c r="F40" s="4" t="inlineStr">
        <is>
          <t>Görög mintás négyzetes, 25–30 l</t>
        </is>
      </c>
    </row>
    <row r="41">
      <c r="A41" s="4" t="n">
        <v>17</v>
      </c>
      <c r="B41" s="4" t="inlineStr">
        <is>
          <t>GRO2109</t>
        </is>
      </c>
      <c r="C41" s="4" t="inlineStr">
        <is>
          <t>Lyukacsos kerek virágcserép 20 liter, 33 x 29 cm, spirálgyökér gátló</t>
        </is>
      </c>
      <c r="D41" s="4" t="inlineStr">
        <is>
          <t>Másodlagos</t>
        </is>
      </c>
      <c r="E41" s="4" t="inlineStr">
        <is>
          <t>Erős</t>
        </is>
      </c>
      <c r="F41" s="4" t="inlineStr">
        <is>
          <t>Lyukacsos kerek, 20–90 l</t>
        </is>
      </c>
    </row>
    <row r="42">
      <c r="A42" s="4" t="n">
        <v>18</v>
      </c>
      <c r="B42" s="4" t="inlineStr">
        <is>
          <t>GRO2110</t>
        </is>
      </c>
      <c r="C42" s="4" t="inlineStr">
        <is>
          <t>Lyukacsos kerek virágcserép 25 liter, 37,5 x 32 cm, spirálgyökér gátló</t>
        </is>
      </c>
      <c r="D42" s="4" t="inlineStr">
        <is>
          <t>Másodlagos</t>
        </is>
      </c>
      <c r="E42" s="4" t="inlineStr">
        <is>
          <t>Erős</t>
        </is>
      </c>
      <c r="F42" s="4" t="inlineStr">
        <is>
          <t>Lyukacsos kerek, 20–90 l</t>
        </is>
      </c>
    </row>
    <row r="43">
      <c r="A43" s="4" t="n">
        <v>19</v>
      </c>
      <c r="B43" s="4" t="inlineStr">
        <is>
          <t>GRO2111</t>
        </is>
      </c>
      <c r="C43" s="4" t="inlineStr">
        <is>
          <t>Lyukacsos kerek virágcserép 35 liter, 42 x 36 cm, spirálgyökér gátló</t>
        </is>
      </c>
      <c r="D43" s="4" t="inlineStr">
        <is>
          <t>Másodlagos</t>
        </is>
      </c>
      <c r="E43" s="4" t="inlineStr">
        <is>
          <t>Erős</t>
        </is>
      </c>
      <c r="F43" s="4" t="inlineStr">
        <is>
          <t>Lyukacsos kerek, 20–90 l</t>
        </is>
      </c>
    </row>
    <row r="44">
      <c r="A44" s="4" t="n">
        <v>20</v>
      </c>
      <c r="B44" s="4" t="inlineStr">
        <is>
          <t>GRO2494</t>
        </is>
      </c>
      <c r="C44" s="4" t="inlineStr">
        <is>
          <t>Lyukacsos kerek virágcserép 50 liter, 50 x 39 cm, spirálgyökér gátló</t>
        </is>
      </c>
      <c r="D44" s="4" t="inlineStr">
        <is>
          <t>Másodlagos</t>
        </is>
      </c>
      <c r="E44" s="4" t="inlineStr">
        <is>
          <t>Erős</t>
        </is>
      </c>
      <c r="F44" s="4" t="inlineStr">
        <is>
          <t>Lyukacsos kerek, 20–90 l</t>
        </is>
      </c>
    </row>
    <row r="45">
      <c r="A45" s="4" t="n">
        <v>21</v>
      </c>
      <c r="B45" s="4" t="inlineStr">
        <is>
          <t>GRO2495</t>
        </is>
      </c>
      <c r="C45" s="4" t="inlineStr">
        <is>
          <t>Lyukacsos kerek virágcserép 70 liter, 55 x 45 cm, spirálgyökér gátló</t>
        </is>
      </c>
      <c r="D45" s="4" t="inlineStr">
        <is>
          <t>Másodlagos</t>
        </is>
      </c>
      <c r="E45" s="4" t="inlineStr">
        <is>
          <t>Erős</t>
        </is>
      </c>
      <c r="F45" s="4" t="inlineStr">
        <is>
          <t>Lyukacsos kerek, 20–90 l</t>
        </is>
      </c>
    </row>
    <row r="46">
      <c r="A46" s="4" t="n">
        <v>22</v>
      </c>
      <c r="B46" s="4" t="inlineStr">
        <is>
          <t>GRO2496</t>
        </is>
      </c>
      <c r="C46" s="4" t="inlineStr">
        <is>
          <t>Lyukacsos kerek virágcserép 90 liter, 60 x 46 cm, spirálgyökér gátló</t>
        </is>
      </c>
      <c r="D46" s="4" t="inlineStr">
        <is>
          <t>Másodlagos</t>
        </is>
      </c>
      <c r="E46" s="4" t="inlineStr">
        <is>
          <t>Erős</t>
        </is>
      </c>
      <c r="F46" s="4" t="inlineStr">
        <is>
          <t>Lyukacsos kerek, 20–90 l</t>
        </is>
      </c>
    </row>
    <row r="47">
      <c r="A47" s="4" t="n">
        <v>23</v>
      </c>
      <c r="B47" s="4" t="inlineStr">
        <is>
          <t>GRO2499</t>
        </is>
      </c>
      <c r="C47" s="4" t="inlineStr">
        <is>
          <t>Műanyag virágcserép (kerek) 33x33 cm 25 liter</t>
        </is>
      </c>
      <c r="D47" s="4" t="inlineStr">
        <is>
          <t>Másodlagos</t>
        </is>
      </c>
      <c r="E47" s="4" t="inlineStr">
        <is>
          <t>Erős</t>
        </is>
      </c>
      <c r="F47" s="4" t="inlineStr">
        <is>
          <t>Kerek fekete műanyag cserép, 25–30 l</t>
        </is>
      </c>
    </row>
    <row r="48">
      <c r="A48" s="4" t="n">
        <v>24</v>
      </c>
      <c r="B48" s="4" t="inlineStr">
        <is>
          <t>GRO2500</t>
        </is>
      </c>
      <c r="C48" s="4" t="inlineStr">
        <is>
          <t>Kerek műanyag virágcserép 30 liter, 35 x 37 cm, fekete, újrahasznosított PE</t>
        </is>
      </c>
      <c r="D48" s="4" t="inlineStr">
        <is>
          <t>Másodlagos</t>
        </is>
      </c>
      <c r="E48" s="4" t="inlineStr">
        <is>
          <t>Erős</t>
        </is>
      </c>
      <c r="F48" s="4" t="inlineStr">
        <is>
          <t>Kerek fekete műanyag cserép, 25–30 l</t>
        </is>
      </c>
    </row>
    <row r="49">
      <c r="A49" s="4" t="n">
        <v>25</v>
      </c>
      <c r="B49" s="4" t="inlineStr">
        <is>
          <t>GRO2571</t>
        </is>
      </c>
      <c r="C49" s="4" t="inlineStr">
        <is>
          <t>Air-Pot klón 50 literes perforált, légáteresztő műanyag edény erős gyökérzethez</t>
        </is>
      </c>
      <c r="D49" s="4" t="inlineStr">
        <is>
          <t>Másodlagos</t>
        </is>
      </c>
      <c r="E49" s="4" t="inlineStr">
        <is>
          <t>Erős</t>
        </is>
      </c>
      <c r="F49" s="4" t="inlineStr">
        <is>
          <t>Air-Pot klón 50 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0" customWidth="1" min="3" max="3"/>
    <col width="22" customWidth="1" min="4" max="4"/>
    <col width="16" customWidth="1" min="5" max="5"/>
    <col width="40" customWidth="1" min="6" max="6"/>
    <col width="40" customWidth="1" min="7" max="7"/>
  </cols>
  <sheetData>
    <row r="1">
      <c r="A1" s="1" t="inlineStr">
        <is>
          <t>Szögletes cserép  –  fő kulcsszó: „szögletes virágcserép”</t>
        </is>
      </c>
    </row>
    <row r="2">
      <c r="A2" s="2" t="inlineStr">
        <is>
          <t>Felhasználási terület: Helytakarékos termesztés sátorban / polcon</t>
        </is>
      </c>
    </row>
    <row r="3">
      <c r="A3" s="2" t="inlineStr">
        <is>
          <t>Megjegyzés: A „négyzetes cserép” kifejezésre nincs mérhető keresés – a „szögletes” a vásárlói szó.</t>
        </is>
      </c>
    </row>
    <row r="4">
      <c r="A4" s="2" t="inlineStr">
        <is>
          <t>Felvett releváns kulcsszavak: 9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4" t="n">
        <v>1</v>
      </c>
      <c r="B7" s="4" t="inlineStr">
        <is>
          <t>szögletes virágcserép</t>
        </is>
      </c>
      <c r="C7" s="5" t="n">
        <v>90</v>
      </c>
      <c r="D7" s="4" t="inlineStr">
        <is>
          <t>Szoros</t>
        </is>
      </c>
      <c r="E7" s="4" t="inlineStr">
        <is>
          <t>Igen</t>
        </is>
      </c>
      <c r="F7" s="4" t="inlineStr">
        <is>
          <t>Helytakarékos termesztés sátorban / polcon</t>
        </is>
      </c>
      <c r="G7" s="4" t="inlineStr">
        <is>
          <t>Kategórianév + H1 + SEO title (fő kulcsszó)</t>
        </is>
      </c>
    </row>
    <row r="8">
      <c r="A8" s="4" t="n">
        <v>2</v>
      </c>
      <c r="B8" s="4" t="inlineStr">
        <is>
          <t>magas cserép</t>
        </is>
      </c>
      <c r="C8" s="5" t="n">
        <v>70</v>
      </c>
      <c r="D8" s="4" t="inlineStr">
        <is>
          <t>Szoros</t>
        </is>
      </c>
      <c r="E8" s="4" t="inlineStr">
        <is>
          <t>Igen</t>
        </is>
      </c>
      <c r="F8" s="4" t="inlineStr">
        <is>
          <t>Helytakarékos termesztés sátorban / polcon</t>
        </is>
      </c>
      <c r="G8" s="4" t="inlineStr">
        <is>
          <t>SEO title / H1 / bevezető (másodlagos)</t>
        </is>
      </c>
    </row>
    <row r="9">
      <c r="A9" s="4" t="n">
        <v>3</v>
      </c>
      <c r="B9" s="4" t="inlineStr">
        <is>
          <t>szögletes cserép</t>
        </is>
      </c>
      <c r="C9" s="5" t="n">
        <v>40</v>
      </c>
      <c r="D9" s="4" t="inlineStr">
        <is>
          <t>Szoros</t>
        </is>
      </c>
      <c r="E9" s="4" t="inlineStr">
        <is>
          <t>Igen</t>
        </is>
      </c>
      <c r="F9" s="4" t="inlineStr">
        <is>
          <t>Helytakarékos termesztés sátorban / polcon</t>
        </is>
      </c>
      <c r="G9" s="4" t="inlineStr">
        <is>
          <t>SEO title / H1 / bevezető (másodlagos)</t>
        </is>
      </c>
    </row>
    <row r="10">
      <c r="A10" s="4" t="n">
        <v>4</v>
      </c>
      <c r="B10" s="4" t="inlineStr">
        <is>
          <t>szögletes műanyag cserép</t>
        </is>
      </c>
      <c r="C10" s="5" t="n">
        <v>30</v>
      </c>
      <c r="D10" s="4" t="inlineStr">
        <is>
          <t>Szoros</t>
        </is>
      </c>
      <c r="E10" s="4" t="inlineStr">
        <is>
          <t>Igen</t>
        </is>
      </c>
      <c r="F10" s="4" t="inlineStr">
        <is>
          <t>Helytakarékos termesztés sátorban / polcon</t>
        </is>
      </c>
      <c r="G10" s="4" t="inlineStr">
        <is>
          <t>SEO title / H1 / bevezető (másodlagos)</t>
        </is>
      </c>
    </row>
    <row r="11">
      <c r="A11" s="4" t="n">
        <v>5</v>
      </c>
      <c r="B11" s="4" t="inlineStr">
        <is>
          <t>magas műanyag virágcserép</t>
        </is>
      </c>
      <c r="C11" s="5" t="n">
        <v>20</v>
      </c>
      <c r="D11" s="4" t="inlineStr">
        <is>
          <t>Szoros</t>
        </is>
      </c>
      <c r="E11" s="4" t="inlineStr">
        <is>
          <t>Igen</t>
        </is>
      </c>
      <c r="F11" s="4" t="inlineStr">
        <is>
          <t>Helytakarékos termesztés sátorban / polcon</t>
        </is>
      </c>
      <c r="G11" s="4" t="inlineStr">
        <is>
          <t>Kategórialeírás (természetes említés)</t>
        </is>
      </c>
    </row>
    <row r="12">
      <c r="A12" s="4" t="n">
        <v>6</v>
      </c>
      <c r="B12" s="4" t="inlineStr">
        <is>
          <t>négyszögletes virágcserép</t>
        </is>
      </c>
      <c r="C12" s="5" t="n">
        <v>20</v>
      </c>
      <c r="D12" s="4" t="inlineStr">
        <is>
          <t>Szoros</t>
        </is>
      </c>
      <c r="E12" s="4" t="inlineStr">
        <is>
          <t>Igen</t>
        </is>
      </c>
      <c r="F12" s="4" t="inlineStr">
        <is>
          <t>Helytakarékos termesztés sátorban / polcon</t>
        </is>
      </c>
      <c r="G12" s="4" t="inlineStr">
        <is>
          <t>Kategórialeírás (természetes említés)</t>
        </is>
      </c>
    </row>
    <row r="13">
      <c r="A13" s="4" t="n">
        <v>7</v>
      </c>
      <c r="B13" s="4" t="inlineStr">
        <is>
          <t>négyzet alakú virágcserép</t>
        </is>
      </c>
      <c r="C13" s="5" t="n">
        <v>20</v>
      </c>
      <c r="D13" s="4" t="inlineStr">
        <is>
          <t>Szoros</t>
        </is>
      </c>
      <c r="E13" s="4" t="inlineStr">
        <is>
          <t>Igen</t>
        </is>
      </c>
      <c r="F13" s="4" t="inlineStr">
        <is>
          <t>Helytakarékos termesztés sátorban / polcon</t>
        </is>
      </c>
      <c r="G13" s="4" t="inlineStr">
        <is>
          <t>Kategórialeírás (természetes említés)</t>
        </is>
      </c>
    </row>
    <row r="14">
      <c r="A14" s="4" t="n">
        <v>8</v>
      </c>
      <c r="B14" s="4" t="inlineStr">
        <is>
          <t>négyszögletes műanyag cserép</t>
        </is>
      </c>
      <c r="C14" s="5" t="n">
        <v>10</v>
      </c>
      <c r="D14" s="4" t="inlineStr">
        <is>
          <t>Szoros</t>
        </is>
      </c>
      <c r="E14" s="4" t="inlineStr">
        <is>
          <t>Igen</t>
        </is>
      </c>
      <c r="F14" s="4" t="inlineStr">
        <is>
          <t>Helytakarékos termesztés sátorban / polcon</t>
        </is>
      </c>
      <c r="G14" s="4" t="inlineStr">
        <is>
          <t>Kategórialeírás (természetes említés)</t>
        </is>
      </c>
    </row>
    <row r="15">
      <c r="A15" s="4" t="n">
        <v>9</v>
      </c>
      <c r="B15" s="4" t="inlineStr">
        <is>
          <t>mély cserép</t>
        </is>
      </c>
      <c r="C15" s="5" t="n">
        <v>10</v>
      </c>
      <c r="D15" s="4" t="inlineStr">
        <is>
          <t>Szoros</t>
        </is>
      </c>
      <c r="E15" s="4" t="inlineStr">
        <is>
          <t>Igen</t>
        </is>
      </c>
      <c r="F15" s="4" t="inlineStr">
        <is>
          <t>Helytakarékos termesztés sátorban / polcon</t>
        </is>
      </c>
      <c r="G15" s="4" t="inlineStr">
        <is>
          <t>Kategórialeírás (természetes említés)</t>
        </is>
      </c>
    </row>
    <row r="16">
      <c r="B16" s="10" t="inlineStr">
        <is>
          <t>Összesen (érdemes rá oldal = Igen):</t>
        </is>
      </c>
      <c r="C16" s="23">
        <f>SUMIFS(C7:C15,E7:E15,"Igen")</f>
        <v/>
      </c>
    </row>
    <row r="18">
      <c r="A18" s="10" t="inlineStr">
        <is>
          <t>Termékek a jelenlegi kínálatból: 24 db (elsődleges + másodlagos hozzárendelés; egy termék több kategóriában is szerepelhet)</t>
        </is>
      </c>
    </row>
    <row r="19">
      <c r="A19" s="3" t="inlineStr">
        <is>
          <t>#</t>
        </is>
      </c>
      <c r="B19" s="3" t="inlineStr">
        <is>
          <t>Termékkód</t>
        </is>
      </c>
      <c r="C19" s="3" t="inlineStr">
        <is>
          <t>Terméknév</t>
        </is>
      </c>
      <c r="D19" s="3" t="inlineStr">
        <is>
          <t>Hozzárendelés</t>
        </is>
      </c>
      <c r="E19" s="3" t="inlineStr">
        <is>
          <t>Illeszkedés</t>
        </is>
      </c>
      <c r="F19" s="3" t="inlineStr">
        <is>
          <t>Megjegyzés</t>
        </is>
      </c>
    </row>
    <row r="20">
      <c r="A20" s="4" t="n">
        <v>1</v>
      </c>
      <c r="B20" s="4" t="inlineStr">
        <is>
          <t>GRO0067</t>
        </is>
      </c>
      <c r="C20" s="4" t="inlineStr">
        <is>
          <t>Szögletes műanyag cserép 6 liter, 17,5 x 17,5 x 25 cm, gyökércsavarodás gátló</t>
        </is>
      </c>
      <c r="D20" s="4" t="inlineStr">
        <is>
          <t>Másodlagos</t>
        </is>
      </c>
      <c r="E20" s="4" t="inlineStr">
        <is>
          <t>Erős</t>
        </is>
      </c>
      <c r="F20" s="4" t="inlineStr">
        <is>
          <t>Szögletes, gyökércsavarodás-gátló</t>
        </is>
      </c>
    </row>
    <row r="21">
      <c r="A21" s="4" t="n">
        <v>2</v>
      </c>
      <c r="B21" s="4" t="inlineStr">
        <is>
          <t>GRO0068</t>
        </is>
      </c>
      <c r="C21" s="4" t="inlineStr">
        <is>
          <t>Görög mintás négyzetes műanyag virágcserép 18 liter, 30,5 x 30,5 cm</t>
        </is>
      </c>
      <c r="D21" s="4" t="inlineStr">
        <is>
          <t>Másodlagos</t>
        </is>
      </c>
      <c r="E21" s="4" t="inlineStr">
        <is>
          <t>Erős</t>
        </is>
      </c>
      <c r="F21" s="4" t="inlineStr">
        <is>
          <t>Görög mintás négyzetes</t>
        </is>
      </c>
    </row>
    <row r="22">
      <c r="A22" s="4" t="n">
        <v>3</v>
      </c>
      <c r="B22" s="4" t="inlineStr">
        <is>
          <t>GRO0069</t>
        </is>
      </c>
      <c r="C22" s="4" t="inlineStr">
        <is>
          <t>Görög mintás négyzetes műanyag virágcserép 25 liter, 33,5 x 33,5 cm</t>
        </is>
      </c>
      <c r="D22" s="4" t="inlineStr">
        <is>
          <t>Másodlagos</t>
        </is>
      </c>
      <c r="E22" s="4" t="inlineStr">
        <is>
          <t>Erős</t>
        </is>
      </c>
      <c r="F22" s="4" t="inlineStr">
        <is>
          <t>Görög mintás négyzetes, 25–30 l</t>
        </is>
      </c>
    </row>
    <row r="23">
      <c r="A23" s="4" t="n">
        <v>4</v>
      </c>
      <c r="B23" s="4" t="inlineStr">
        <is>
          <t>GRO0070</t>
        </is>
      </c>
      <c r="C23" s="4" t="inlineStr">
        <is>
          <t>Görög mintás négyzetes műanyag virágcserép 30 liter, 36,5 x 36,5 cm</t>
        </is>
      </c>
      <c r="D23" s="4" t="inlineStr">
        <is>
          <t>Másodlagos</t>
        </is>
      </c>
      <c r="E23" s="4" t="inlineStr">
        <is>
          <t>Erős</t>
        </is>
      </c>
      <c r="F23" s="4" t="inlineStr">
        <is>
          <t>Görög mintás négyzetes, 25–30 l</t>
        </is>
      </c>
    </row>
    <row r="24">
      <c r="A24" s="4" t="n">
        <v>5</v>
      </c>
      <c r="B24" s="4" t="inlineStr">
        <is>
          <t>GRO0748</t>
        </is>
      </c>
      <c r="C24" s="4" t="inlineStr">
        <is>
          <t>Görög mintás négyzetes műanyag virágcserép 9 liter, 23 x 23 cm</t>
        </is>
      </c>
      <c r="D24" s="4" t="inlineStr">
        <is>
          <t>Másodlagos</t>
        </is>
      </c>
      <c r="E24" s="4" t="inlineStr">
        <is>
          <t>Erős</t>
        </is>
      </c>
      <c r="F24" s="4" t="inlineStr">
        <is>
          <t>Görög mintás négyzetes</t>
        </is>
      </c>
    </row>
    <row r="25">
      <c r="A25" s="4" t="n">
        <v>6</v>
      </c>
      <c r="B25" s="4" t="inlineStr">
        <is>
          <t>GRO1141</t>
        </is>
      </c>
      <c r="C25" s="4" t="inlineStr">
        <is>
          <t>Szögletes műanyag cserép 2,5 liter, 13 x 13 x 18 cm, gyökércsavarodás gátló</t>
        </is>
      </c>
      <c r="D25" s="4" t="inlineStr">
        <is>
          <t>Másodlagos</t>
        </is>
      </c>
      <c r="E25" s="4" t="inlineStr">
        <is>
          <t>Erős</t>
        </is>
      </c>
      <c r="F25" s="4" t="inlineStr">
        <is>
          <t>Szögletes, gyökércsavarodás-gátló</t>
        </is>
      </c>
    </row>
    <row r="26">
      <c r="A26" s="4" t="n">
        <v>7</v>
      </c>
      <c r="B26" s="4" t="inlineStr">
        <is>
          <t>GRO1143</t>
        </is>
      </c>
      <c r="C26" s="4" t="inlineStr">
        <is>
          <t>Görög mintás négyzetes műanyag virágcserép 14 liter, 28,5 x 28,5 cm</t>
        </is>
      </c>
      <c r="D26" s="4" t="inlineStr">
        <is>
          <t>Másodlagos</t>
        </is>
      </c>
      <c r="E26" s="4" t="inlineStr">
        <is>
          <t>Erős</t>
        </is>
      </c>
      <c r="F26" s="4" t="inlineStr">
        <is>
          <t>Görög mintás négyzetes</t>
        </is>
      </c>
    </row>
    <row r="27">
      <c r="A27" s="4" t="n">
        <v>8</v>
      </c>
      <c r="B27" s="4" t="inlineStr">
        <is>
          <t>GRO1160</t>
        </is>
      </c>
      <c r="C27" s="4" t="inlineStr">
        <is>
          <t>Szögletes műanyag cserép 1,4 liter, 10 x 10 x 17 cm, gyökércsavarodás gátló</t>
        </is>
      </c>
      <c r="D27" s="4" t="inlineStr">
        <is>
          <t>Másodlagos</t>
        </is>
      </c>
      <c r="E27" s="4" t="inlineStr">
        <is>
          <t>Erős</t>
        </is>
      </c>
      <c r="F27" s="4" t="inlineStr">
        <is>
          <t>Szögletes, gyökércsavarodás-gátló</t>
        </is>
      </c>
    </row>
    <row r="28">
      <c r="A28" s="4" t="n">
        <v>9</v>
      </c>
      <c r="B28" s="4" t="inlineStr">
        <is>
          <t>GRO1161</t>
        </is>
      </c>
      <c r="C28" s="4" t="inlineStr">
        <is>
          <t>Szögletes műanyag cserép 1,8 liter, 10,5 x 8,5 x 22 cm, gyökércsavarodás gátló</t>
        </is>
      </c>
      <c r="D28" s="4" t="inlineStr">
        <is>
          <t>Másodlagos</t>
        </is>
      </c>
      <c r="E28" s="4" t="inlineStr">
        <is>
          <t>Erős</t>
        </is>
      </c>
      <c r="F28" s="4" t="inlineStr">
        <is>
          <t>Szögletes, gyökércsavarodás-gátló</t>
        </is>
      </c>
    </row>
    <row r="29">
      <c r="A29" s="4" t="n">
        <v>10</v>
      </c>
      <c r="B29" s="4" t="inlineStr">
        <is>
          <t>GRO1189</t>
        </is>
      </c>
      <c r="C29" s="4" t="inlineStr">
        <is>
          <t>Görög mintás négyzetes műanyag virágcserép 11 liter, 25 x 25 cm</t>
        </is>
      </c>
      <c r="D29" s="4" t="inlineStr">
        <is>
          <t>Másodlagos</t>
        </is>
      </c>
      <c r="E29" s="4" t="inlineStr">
        <is>
          <t>Erős</t>
        </is>
      </c>
      <c r="F29" s="4" t="inlineStr">
        <is>
          <t>Görög mintás négyzetes</t>
        </is>
      </c>
    </row>
    <row r="30">
      <c r="A30" s="4" t="n">
        <v>11</v>
      </c>
      <c r="B30" s="4" t="inlineStr">
        <is>
          <t>GRO1259</t>
        </is>
      </c>
      <c r="C30" s="4" t="inlineStr">
        <is>
          <t>Szögletes műanyag cserép 1,5 liter, 12 x 12 x 13 cm, gyökércsavarodás gátló</t>
        </is>
      </c>
      <c r="D30" s="4" t="inlineStr">
        <is>
          <t>Másodlagos</t>
        </is>
      </c>
      <c r="E30" s="4" t="inlineStr">
        <is>
          <t>Erős</t>
        </is>
      </c>
      <c r="F30" s="4" t="inlineStr">
        <is>
          <t>Szögletes, gyökércsavarodás-gátló</t>
        </is>
      </c>
    </row>
    <row r="31">
      <c r="A31" s="4" t="n">
        <v>12</v>
      </c>
      <c r="B31" s="4" t="inlineStr">
        <is>
          <t>GRO1261</t>
        </is>
      </c>
      <c r="C31" s="4" t="inlineStr">
        <is>
          <t>Szögletes műanyag cserép 15 x 15 x 20 cm, gyökércsavarodás gátló</t>
        </is>
      </c>
      <c r="D31" s="4" t="inlineStr">
        <is>
          <t>Másodlagos</t>
        </is>
      </c>
      <c r="E31" s="4" t="inlineStr">
        <is>
          <t>Erős</t>
        </is>
      </c>
      <c r="F31" s="4" t="inlineStr">
        <is>
          <t>Szögletes, gyökércsavarodás-gátló</t>
        </is>
      </c>
    </row>
    <row r="32">
      <c r="A32" s="4" t="n">
        <v>13</v>
      </c>
      <c r="B32" s="4" t="inlineStr">
        <is>
          <t>GRO2107</t>
        </is>
      </c>
      <c r="C32" s="4" t="inlineStr">
        <is>
          <t>Lyukacsos szögletes műanyag cserép 9,6 liter, 20 x 23 x 28 cm, hidropóniához is</t>
        </is>
      </c>
      <c r="D32" s="4" t="inlineStr">
        <is>
          <t>Másodlagos</t>
        </is>
      </c>
      <c r="E32" s="4" t="inlineStr">
        <is>
          <t>Erős</t>
        </is>
      </c>
      <c r="F32" s="4" t="inlineStr">
        <is>
          <t>Lyukacsos szögletes, hidropóniához is</t>
        </is>
      </c>
    </row>
    <row r="33">
      <c r="A33" s="4" t="n">
        <v>14</v>
      </c>
      <c r="B33" s="4" t="inlineStr">
        <is>
          <t>GRO2356</t>
        </is>
      </c>
      <c r="C33" s="4" t="inlineStr">
        <is>
          <t>Görög mintás négyzetes műanyag virágcserép 6 liter, 21 x 19,2 cm</t>
        </is>
      </c>
      <c r="D33" s="4" t="inlineStr">
        <is>
          <t>Másodlagos</t>
        </is>
      </c>
      <c r="E33" s="4" t="inlineStr">
        <is>
          <t>Erős</t>
        </is>
      </c>
      <c r="F33" s="4" t="inlineStr">
        <is>
          <t>Görög mintás négyzetes</t>
        </is>
      </c>
    </row>
    <row r="34">
      <c r="A34" s="4" t="n">
        <v>15</v>
      </c>
      <c r="B34" s="4" t="inlineStr">
        <is>
          <t>GRO2359</t>
        </is>
      </c>
      <c r="C34" s="4" t="inlineStr">
        <is>
          <t>Görög mintás négyzetes műanyag virágcserép 2 liter, 14 x 14 cm</t>
        </is>
      </c>
      <c r="D34" s="4" t="inlineStr">
        <is>
          <t>Másodlagos</t>
        </is>
      </c>
      <c r="E34" s="4" t="inlineStr">
        <is>
          <t>Erős</t>
        </is>
      </c>
      <c r="F34" s="4" t="inlineStr">
        <is>
          <t>Görög mintás négyzetes</t>
        </is>
      </c>
    </row>
    <row r="35">
      <c r="A35" s="4" t="n">
        <v>16</v>
      </c>
      <c r="B35" s="4" t="inlineStr">
        <is>
          <t>GRO2360</t>
        </is>
      </c>
      <c r="C35" s="4" t="inlineStr">
        <is>
          <t>Szögletes műanyag cserép 11 liter, 23 x 23 x 26 cm, gyökércsavarodás gátló</t>
        </is>
      </c>
      <c r="D35" s="4" t="inlineStr">
        <is>
          <t>Másodlagos</t>
        </is>
      </c>
      <c r="E35" s="4" t="inlineStr">
        <is>
          <t>Erős</t>
        </is>
      </c>
      <c r="F35" s="4" t="inlineStr">
        <is>
          <t>Szögletes, gyökércsavarodás-gátló</t>
        </is>
      </c>
    </row>
    <row r="36">
      <c r="A36" s="4" t="n">
        <v>17</v>
      </c>
      <c r="B36" s="4" t="inlineStr">
        <is>
          <t>GRO2497</t>
        </is>
      </c>
      <c r="C36" s="4" t="inlineStr">
        <is>
          <t>Lyukacsos szögletes műanyag cserép 6,5 liter, 20 x 20 x 25,5 cm, hidropóniához is</t>
        </is>
      </c>
      <c r="D36" s="4" t="inlineStr">
        <is>
          <t>Másodlagos</t>
        </is>
      </c>
      <c r="E36" s="4" t="inlineStr">
        <is>
          <t>Erős</t>
        </is>
      </c>
      <c r="F36" s="4" t="inlineStr">
        <is>
          <t>Lyukacsos szögletes, hidropóniához is</t>
        </is>
      </c>
    </row>
    <row r="37">
      <c r="A37" s="7" t="n">
        <v>18</v>
      </c>
      <c r="B37" s="7" t="inlineStr">
        <is>
          <t>GRO2900</t>
        </is>
      </c>
      <c r="C37" s="7" t="inlineStr">
        <is>
          <t>Palántázócserép 7 x 7 x 6 cm, rugalmas, négyzetes műanyag cserép palántákhoz</t>
        </is>
      </c>
      <c r="D37" s="7" t="inlineStr">
        <is>
          <t>Másodlagos</t>
        </is>
      </c>
      <c r="E37" s="7" t="inlineStr">
        <is>
          <t>Laza</t>
        </is>
      </c>
      <c r="F37" s="7" t="inlineStr">
        <is>
          <t>Palántázó kiscserép (4–9 cm)</t>
        </is>
      </c>
    </row>
    <row r="38">
      <c r="A38" s="7" t="n">
        <v>19</v>
      </c>
      <c r="B38" s="7" t="inlineStr">
        <is>
          <t>GRO3232</t>
        </is>
      </c>
      <c r="C38" s="7" t="inlineStr">
        <is>
          <t>Négyzetes műanyag cserép 9 x 9 x 10 cm palántázáshoz és továbbneveléshez</t>
        </is>
      </c>
      <c r="D38" s="7" t="inlineStr">
        <is>
          <t>Másodlagos</t>
        </is>
      </c>
      <c r="E38" s="7" t="inlineStr">
        <is>
          <t>Laza</t>
        </is>
      </c>
      <c r="F38" s="7" t="inlineStr">
        <is>
          <t>Palántázó kiscserép (4–9 cm)</t>
        </is>
      </c>
    </row>
    <row r="39">
      <c r="A39" s="7" t="n">
        <v>20</v>
      </c>
      <c r="B39" s="7" t="inlineStr">
        <is>
          <t>GRO3233</t>
        </is>
      </c>
      <c r="C39" s="7" t="inlineStr">
        <is>
          <t>Cserép négyzetes 7x7x8 cm</t>
        </is>
      </c>
      <c r="D39" s="7" t="inlineStr">
        <is>
          <t>Másodlagos</t>
        </is>
      </c>
      <c r="E39" s="7" t="inlineStr">
        <is>
          <t>Laza</t>
        </is>
      </c>
      <c r="F39" s="7" t="inlineStr">
        <is>
          <t>Palántázó kiscserép (4–9 cm)</t>
        </is>
      </c>
    </row>
    <row r="40">
      <c r="A40" s="7" t="n">
        <v>21</v>
      </c>
      <c r="B40" s="7" t="inlineStr">
        <is>
          <t>GRO4623</t>
        </is>
      </c>
      <c r="C40" s="7" t="inlineStr">
        <is>
          <t>Négyzetes cserép 5x5 cm</t>
        </is>
      </c>
      <c r="D40" s="7" t="inlineStr">
        <is>
          <t>Másodlagos</t>
        </is>
      </c>
      <c r="E40" s="7" t="inlineStr">
        <is>
          <t>Laza</t>
        </is>
      </c>
      <c r="F40" s="7" t="inlineStr">
        <is>
          <t>Palántázó kiscserép (4–9 cm)</t>
        </is>
      </c>
    </row>
    <row r="41">
      <c r="A41" s="7" t="n">
        <v>22</v>
      </c>
      <c r="B41" s="7" t="inlineStr">
        <is>
          <t>GRO4624</t>
        </is>
      </c>
      <c r="C41" s="7" t="inlineStr">
        <is>
          <t>Négyzetes cserép 7x7 cm</t>
        </is>
      </c>
      <c r="D41" s="7" t="inlineStr">
        <is>
          <t>Másodlagos</t>
        </is>
      </c>
      <c r="E41" s="7" t="inlineStr">
        <is>
          <t>Laza</t>
        </is>
      </c>
      <c r="F41" s="7" t="inlineStr">
        <is>
          <t>Palántázó kiscserép (4–9 cm)</t>
        </is>
      </c>
    </row>
    <row r="42">
      <c r="A42" s="7" t="n">
        <v>23</v>
      </c>
      <c r="B42" s="7" t="inlineStr">
        <is>
          <t>GRO4625</t>
        </is>
      </c>
      <c r="C42" s="7" t="inlineStr">
        <is>
          <t>Vékonyfalú négyzetes cserép 7x7 cm</t>
        </is>
      </c>
      <c r="D42" s="7" t="inlineStr">
        <is>
          <t>Másodlagos</t>
        </is>
      </c>
      <c r="E42" s="7" t="inlineStr">
        <is>
          <t>Laza</t>
        </is>
      </c>
      <c r="F42" s="7" t="inlineStr">
        <is>
          <t>Palántázó kiscserép (4–9 cm)</t>
        </is>
      </c>
    </row>
    <row r="43">
      <c r="A43" s="7" t="n">
        <v>24</v>
      </c>
      <c r="B43" s="7" t="inlineStr">
        <is>
          <t>GRO4626</t>
        </is>
      </c>
      <c r="C43" s="7" t="inlineStr">
        <is>
          <t>Négyzetes cserép 4x4 cm</t>
        </is>
      </c>
      <c r="D43" s="7" t="inlineStr">
        <is>
          <t>Másodlagos</t>
        </is>
      </c>
      <c r="E43" s="7" t="inlineStr">
        <is>
          <t>Laza</t>
        </is>
      </c>
      <c r="F43" s="7" t="inlineStr">
        <is>
          <t>Palántázó kiscserép (4–9 cm)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0" customWidth="1" min="3" max="3"/>
    <col width="22" customWidth="1" min="4" max="4"/>
    <col width="16" customWidth="1" min="5" max="5"/>
    <col width="40" customWidth="1" min="6" max="6"/>
    <col width="40" customWidth="1" min="7" max="7"/>
  </cols>
  <sheetData>
    <row r="1">
      <c r="A1" s="1" t="inlineStr">
        <is>
          <t>Air-Pot cserép  –  fő kulcsszó: „airpot”</t>
        </is>
      </c>
    </row>
    <row r="2">
      <c r="A2" s="2" t="inlineStr">
        <is>
          <t>Felhasználási terület: Gyökérlégzés, gyökérmetszés – termesztés konténerben</t>
        </is>
      </c>
    </row>
    <row r="3">
      <c r="A3" s="2" t="inlineStr">
        <is>
          <t>Megjegyzés: A „légmetsző / légmetszéses / gyökérlégző cserép” kifejezésekre nincs mérhető keresés – a vásárlók a márkanevet keresik.</t>
        </is>
      </c>
    </row>
    <row r="4">
      <c r="A4" s="2" t="inlineStr">
        <is>
          <t>Felvett releváns kulcsszavak: 5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4" t="n">
        <v>1</v>
      </c>
      <c r="B7" s="4" t="inlineStr">
        <is>
          <t>airpot</t>
        </is>
      </c>
      <c r="C7" s="5" t="n">
        <v>140</v>
      </c>
      <c r="D7" s="4" t="inlineStr">
        <is>
          <t>Szoros</t>
        </is>
      </c>
      <c r="E7" s="4" t="inlineStr">
        <is>
          <t>Igen</t>
        </is>
      </c>
      <c r="F7" s="4" t="inlineStr">
        <is>
          <t>Gyökérlégzés, gyökérmetszés – termesztés konténerben</t>
        </is>
      </c>
      <c r="G7" s="4" t="inlineStr">
        <is>
          <t>Kategórianév + H1 + SEO title (fő kulcsszó)</t>
        </is>
      </c>
    </row>
    <row r="8">
      <c r="A8" s="4" t="n">
        <v>2</v>
      </c>
      <c r="B8" s="4" t="inlineStr">
        <is>
          <t>air pot</t>
        </is>
      </c>
      <c r="C8" s="5" t="n">
        <v>90</v>
      </c>
      <c r="D8" s="4" t="inlineStr">
        <is>
          <t>Szoros</t>
        </is>
      </c>
      <c r="E8" s="4" t="inlineStr">
        <is>
          <t>Igen</t>
        </is>
      </c>
      <c r="F8" s="4" t="inlineStr">
        <is>
          <t>Gyökérlégzés, gyökérmetszés – termesztés konténerben</t>
        </is>
      </c>
      <c r="G8" s="4" t="inlineStr">
        <is>
          <t>SEO title / H1 / bevezető (másodlagos)</t>
        </is>
      </c>
    </row>
    <row r="9">
      <c r="A9" s="4" t="n">
        <v>3</v>
      </c>
      <c r="B9" s="4" t="inlineStr">
        <is>
          <t>air pot 50l</t>
        </is>
      </c>
      <c r="C9" s="5" t="n">
        <v>10</v>
      </c>
      <c r="D9" s="4" t="inlineStr">
        <is>
          <t>Szoros</t>
        </is>
      </c>
      <c r="E9" s="4" t="inlineStr">
        <is>
          <t>Igen</t>
        </is>
      </c>
      <c r="F9" s="4" t="inlineStr">
        <is>
          <t>Gyökérlégzés, gyökérmetszés – termesztés konténerben</t>
        </is>
      </c>
      <c r="G9" s="4" t="inlineStr">
        <is>
          <t>Gyártóoldal / szűrő / termékoldal</t>
        </is>
      </c>
    </row>
    <row r="10">
      <c r="A10" s="4" t="n">
        <v>4</v>
      </c>
      <c r="B10" s="4" t="inlineStr">
        <is>
          <t>air pot hydro</t>
        </is>
      </c>
      <c r="C10" s="5" t="n">
        <v>10</v>
      </c>
      <c r="D10" s="4" t="inlineStr">
        <is>
          <t>Szoros</t>
        </is>
      </c>
      <c r="E10" s="4" t="inlineStr">
        <is>
          <t>Igen</t>
        </is>
      </c>
      <c r="F10" s="4" t="inlineStr">
        <is>
          <t>Gyökérlégzés, gyökérmetszés – termesztés konténerben</t>
        </is>
      </c>
      <c r="G10" s="4" t="inlineStr">
        <is>
          <t>Gyártóoldal / szűrő / termékoldal</t>
        </is>
      </c>
    </row>
    <row r="11">
      <c r="A11" s="4" t="n">
        <v>5</v>
      </c>
      <c r="B11" s="4" t="inlineStr">
        <is>
          <t>air pot 9l</t>
        </is>
      </c>
      <c r="C11" s="5" t="n">
        <v>10</v>
      </c>
      <c r="D11" s="4" t="inlineStr">
        <is>
          <t>Szoros</t>
        </is>
      </c>
      <c r="E11" s="4" t="inlineStr">
        <is>
          <t>Igen</t>
        </is>
      </c>
      <c r="F11" s="4" t="inlineStr">
        <is>
          <t>Gyökérlégzés, gyökérmetszés – termesztés konténerben</t>
        </is>
      </c>
      <c r="G11" s="4" t="inlineStr">
        <is>
          <t>Gyártóoldal / szűrő / termékoldal</t>
        </is>
      </c>
    </row>
    <row r="12">
      <c r="B12" s="10" t="inlineStr">
        <is>
          <t>Összesen (érdemes rá oldal = Igen):</t>
        </is>
      </c>
      <c r="C12" s="23">
        <f>SUMIFS(C7:C11,E7:E11,"Igen")</f>
        <v/>
      </c>
    </row>
    <row r="14">
      <c r="A14" s="10" t="inlineStr">
        <is>
          <t>Termékek a jelenlegi kínálatból: 13 db (elsődleges + másodlagos hozzárendelés; egy termék több kategóriában is szerepelhet)</t>
        </is>
      </c>
    </row>
    <row r="15">
      <c r="A15" s="3" t="inlineStr">
        <is>
          <t>#</t>
        </is>
      </c>
      <c r="B15" s="3" t="inlineStr">
        <is>
          <t>Termékkód</t>
        </is>
      </c>
      <c r="C15" s="3" t="inlineStr">
        <is>
          <t>Terméknév</t>
        </is>
      </c>
      <c r="D15" s="3" t="inlineStr">
        <is>
          <t>Hozzárendelés</t>
        </is>
      </c>
      <c r="E15" s="3" t="inlineStr">
        <is>
          <t>Illeszkedés</t>
        </is>
      </c>
      <c r="F15" s="3" t="inlineStr">
        <is>
          <t>Megjegyzés</t>
        </is>
      </c>
    </row>
    <row r="16">
      <c r="A16" s="4" t="n">
        <v>1</v>
      </c>
      <c r="B16" s="4" t="inlineStr">
        <is>
          <t>GRO1890</t>
        </is>
      </c>
      <c r="C16" s="4" t="inlineStr">
        <is>
          <t>Air-Pot klón 1 literes perforált, légáteresztő műanyag edény erős gyökérzethez</t>
        </is>
      </c>
      <c r="D16" s="4" t="inlineStr">
        <is>
          <t>Elsődleges</t>
        </is>
      </c>
      <c r="E16" s="4" t="inlineStr">
        <is>
          <t>Erős</t>
        </is>
      </c>
      <c r="F16" s="4" t="inlineStr">
        <is>
          <t>Air-Pot (klón) perforált cserép</t>
        </is>
      </c>
    </row>
    <row r="17">
      <c r="A17" s="4" t="n">
        <v>2</v>
      </c>
      <c r="B17" s="4" t="inlineStr">
        <is>
          <t>GRO1891</t>
        </is>
      </c>
      <c r="C17" s="4" t="inlineStr">
        <is>
          <t>Air-Pot klón 3 literes perforált, légáteresztő műanyag edény erős gyökérzethez</t>
        </is>
      </c>
      <c r="D17" s="4" t="inlineStr">
        <is>
          <t>Elsődleges</t>
        </is>
      </c>
      <c r="E17" s="4" t="inlineStr">
        <is>
          <t>Erős</t>
        </is>
      </c>
      <c r="F17" s="4" t="inlineStr">
        <is>
          <t>Air-Pot (klón) perforált cserép</t>
        </is>
      </c>
    </row>
    <row r="18">
      <c r="A18" s="4" t="n">
        <v>3</v>
      </c>
      <c r="B18" s="4" t="inlineStr">
        <is>
          <t>GRO1892</t>
        </is>
      </c>
      <c r="C18" s="4" t="inlineStr">
        <is>
          <t>Air-Pot klón 6 literes perforált, légáteresztő műanyag edény erős gyökérzethez</t>
        </is>
      </c>
      <c r="D18" s="4" t="inlineStr">
        <is>
          <t>Elsődleges</t>
        </is>
      </c>
      <c r="E18" s="4" t="inlineStr">
        <is>
          <t>Erős</t>
        </is>
      </c>
      <c r="F18" s="4" t="inlineStr">
        <is>
          <t>Air-Pot (klón) perforált cserép</t>
        </is>
      </c>
    </row>
    <row r="19">
      <c r="A19" s="4" t="n">
        <v>4</v>
      </c>
      <c r="B19" s="4" t="inlineStr">
        <is>
          <t>GRO1893</t>
        </is>
      </c>
      <c r="C19" s="4" t="inlineStr">
        <is>
          <t>Air-Pot klón 10 literes perforált, légáteresztő műanyag edény erős gyökérzethez</t>
        </is>
      </c>
      <c r="D19" s="4" t="inlineStr">
        <is>
          <t>Elsődleges</t>
        </is>
      </c>
      <c r="E19" s="4" t="inlineStr">
        <is>
          <t>Erős</t>
        </is>
      </c>
      <c r="F19" s="4" t="inlineStr">
        <is>
          <t>Air-Pot (klón) perforált cserép</t>
        </is>
      </c>
    </row>
    <row r="20">
      <c r="A20" s="4" t="n">
        <v>5</v>
      </c>
      <c r="B20" s="4" t="inlineStr">
        <is>
          <t>GRO1894</t>
        </is>
      </c>
      <c r="C20" s="4" t="inlineStr">
        <is>
          <t>Air-Pot klón 15 literes perforált, légáteresztő műanyag edény erős gyökérzethez</t>
        </is>
      </c>
      <c r="D20" s="4" t="inlineStr">
        <is>
          <t>Elsődleges</t>
        </is>
      </c>
      <c r="E20" s="4" t="inlineStr">
        <is>
          <t>Erős</t>
        </is>
      </c>
      <c r="F20" s="4" t="inlineStr">
        <is>
          <t>Air-Pot (klón) perforált cserép</t>
        </is>
      </c>
    </row>
    <row r="21">
      <c r="A21" s="4" t="n">
        <v>6</v>
      </c>
      <c r="B21" s="4" t="inlineStr">
        <is>
          <t>GRO1895</t>
        </is>
      </c>
      <c r="C21" s="4" t="inlineStr">
        <is>
          <t>Air-Pot klón 25 literes perforált, légáteresztő műanyag edény erős gyökérzethez</t>
        </is>
      </c>
      <c r="D21" s="4" t="inlineStr">
        <is>
          <t>Elsődleges</t>
        </is>
      </c>
      <c r="E21" s="4" t="inlineStr">
        <is>
          <t>Erős</t>
        </is>
      </c>
      <c r="F21" s="4" t="inlineStr">
        <is>
          <t>Air-Pot (klón) perforált cserép</t>
        </is>
      </c>
    </row>
    <row r="22">
      <c r="A22" s="4" t="n">
        <v>7</v>
      </c>
      <c r="B22" s="4" t="inlineStr">
        <is>
          <t>GRO2571</t>
        </is>
      </c>
      <c r="C22" s="4" t="inlineStr">
        <is>
          <t>Air-Pot klón 50 literes perforált, légáteresztő műanyag edény erős gyökérzethez</t>
        </is>
      </c>
      <c r="D22" s="4" t="inlineStr">
        <is>
          <t>Elsődleges</t>
        </is>
      </c>
      <c r="E22" s="4" t="inlineStr">
        <is>
          <t>Erős</t>
        </is>
      </c>
      <c r="F22" s="4" t="inlineStr">
        <is>
          <t>Air-Pot klón 50 l</t>
        </is>
      </c>
    </row>
    <row r="23">
      <c r="A23" s="4" t="n">
        <v>8</v>
      </c>
      <c r="B23" s="4" t="inlineStr">
        <is>
          <t>GRO3346</t>
        </is>
      </c>
      <c r="C23" s="4" t="inlineStr">
        <is>
          <t>Air-pot cserép 3 liter</t>
        </is>
      </c>
      <c r="D23" s="4" t="inlineStr">
        <is>
          <t>Elsődleges</t>
        </is>
      </c>
      <c r="E23" s="4" t="inlineStr">
        <is>
          <t>Erős</t>
        </is>
      </c>
      <c r="F23" s="4" t="inlineStr">
        <is>
          <t>Air-Pot (klón) perforált cserép</t>
        </is>
      </c>
    </row>
    <row r="24">
      <c r="A24" s="4" t="n">
        <v>9</v>
      </c>
      <c r="B24" s="4" t="inlineStr">
        <is>
          <t>GRO3525</t>
        </is>
      </c>
      <c r="C24" s="4" t="inlineStr">
        <is>
          <t>Air-pot cserép 5 liter</t>
        </is>
      </c>
      <c r="D24" s="4" t="inlineStr">
        <is>
          <t>Elsődleges</t>
        </is>
      </c>
      <c r="E24" s="4" t="inlineStr">
        <is>
          <t>Erős</t>
        </is>
      </c>
      <c r="F24" s="4" t="inlineStr">
        <is>
          <t>Air-Pot (klón) perforált cserép</t>
        </is>
      </c>
    </row>
    <row r="25">
      <c r="A25" s="4" t="n">
        <v>10</v>
      </c>
      <c r="B25" s="4" t="inlineStr">
        <is>
          <t>GRO3526</t>
        </is>
      </c>
      <c r="C25" s="4" t="inlineStr">
        <is>
          <t>Air-pot cserép 9 liter</t>
        </is>
      </c>
      <c r="D25" s="4" t="inlineStr">
        <is>
          <t>Elsődleges</t>
        </is>
      </c>
      <c r="E25" s="4" t="inlineStr">
        <is>
          <t>Erős</t>
        </is>
      </c>
      <c r="F25" s="4" t="inlineStr">
        <is>
          <t>Air-Pot (klón) perforált cserép</t>
        </is>
      </c>
    </row>
    <row r="26">
      <c r="A26" s="7" t="n">
        <v>11</v>
      </c>
      <c r="B26" s="7" t="inlineStr">
        <is>
          <t>GRO3348</t>
        </is>
      </c>
      <c r="C26" s="7" t="inlineStr">
        <is>
          <t>Venti Pot hidro cserép 3,5 liter</t>
        </is>
      </c>
      <c r="D26" s="7" t="inlineStr">
        <is>
          <t>Másodlagos</t>
        </is>
      </c>
      <c r="E26" s="7" t="inlineStr">
        <is>
          <t>Laza</t>
        </is>
      </c>
      <c r="F26" s="7" t="inlineStr">
        <is>
          <t>Venti Pot – perforált hidro cserép</t>
        </is>
      </c>
    </row>
    <row r="27">
      <c r="A27" s="7" t="n">
        <v>12</v>
      </c>
      <c r="B27" s="7" t="inlineStr">
        <is>
          <t>GRO3349</t>
        </is>
      </c>
      <c r="C27" s="7" t="inlineStr">
        <is>
          <t>Venti Pot hidro cserép 12 liter</t>
        </is>
      </c>
      <c r="D27" s="7" t="inlineStr">
        <is>
          <t>Másodlagos</t>
        </is>
      </c>
      <c r="E27" s="7" t="inlineStr">
        <is>
          <t>Laza</t>
        </is>
      </c>
      <c r="F27" s="7" t="inlineStr">
        <is>
          <t>Venti Pot – perforált hidro cserép</t>
        </is>
      </c>
    </row>
    <row r="28">
      <c r="A28" s="7" t="n">
        <v>13</v>
      </c>
      <c r="B28" s="7" t="inlineStr">
        <is>
          <t>GRO3350</t>
        </is>
      </c>
      <c r="C28" s="7" t="inlineStr">
        <is>
          <t>Venti Pot hidro cserép 25 liter</t>
        </is>
      </c>
      <c r="D28" s="7" t="inlineStr">
        <is>
          <t>Másodlagos</t>
        </is>
      </c>
      <c r="E28" s="7" t="inlineStr">
        <is>
          <t>Laza</t>
        </is>
      </c>
      <c r="F28" s="7" t="inlineStr">
        <is>
          <t>Venti Pot – perforált hidro cserép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0" customWidth="1" min="3" max="3"/>
    <col width="22" customWidth="1" min="4" max="4"/>
    <col width="16" customWidth="1" min="5" max="5"/>
    <col width="40" customWidth="1" min="6" max="6"/>
    <col width="40" customWidth="1" min="7" max="7"/>
  </cols>
  <sheetData>
    <row r="1">
      <c r="A1" s="1" t="inlineStr">
        <is>
          <t>Szövetcserép, ültetőzsák  –  fő kulcsszó: „ültetőzsák”</t>
        </is>
      </c>
    </row>
    <row r="2">
      <c r="A2" s="2" t="inlineStr">
        <is>
          <t>Felhasználási terület: Szövet / textil / filc cserép, ültető- és termesztőzsák</t>
        </is>
      </c>
    </row>
    <row r="3">
      <c r="A3" s="2" t="inlineStr">
        <is>
          <t>Megjegyzés: A „szövetcserép” egybeírva csak 10; a „szövet cserép”, „textil cserép”, „textil virágcserép”, „smart pot”, „grow bag” egyenként 20. A legerősebb az „ültetőzsák” (90 + ékezet nélkül 50), de ennek egy része burgonyás zsák.</t>
        </is>
      </c>
    </row>
    <row r="4">
      <c r="A4" s="2" t="inlineStr">
        <is>
          <t>Felvett releváns kulcsszavak: 16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4" t="n">
        <v>1</v>
      </c>
      <c r="B7" s="4" t="inlineStr">
        <is>
          <t>ültetőzsák</t>
        </is>
      </c>
      <c r="C7" s="5" t="n">
        <v>90</v>
      </c>
      <c r="D7" s="4" t="inlineStr">
        <is>
          <t>Szoros</t>
        </is>
      </c>
      <c r="E7" s="4" t="inlineStr">
        <is>
          <t>Igen</t>
        </is>
      </c>
      <c r="F7" s="4" t="inlineStr">
        <is>
          <t>Szövet / textil / filc cserép, ültető- és termesztőzsák</t>
        </is>
      </c>
      <c r="G7" s="4" t="inlineStr">
        <is>
          <t>Kategórianév + H1 + SEO title (fő kulcsszó)</t>
        </is>
      </c>
    </row>
    <row r="8">
      <c r="A8" s="4" t="n">
        <v>2</v>
      </c>
      <c r="B8" s="4" t="inlineStr">
        <is>
          <t>ultetozsak</t>
        </is>
      </c>
      <c r="C8" s="5" t="n">
        <v>50</v>
      </c>
      <c r="D8" s="4" t="inlineStr">
        <is>
          <t>Szoros</t>
        </is>
      </c>
      <c r="E8" s="4" t="inlineStr">
        <is>
          <t>Igen</t>
        </is>
      </c>
      <c r="F8" s="4" t="inlineStr">
        <is>
          <t>Szövet / textil / filc cserép, ültető- és termesztőzsák</t>
        </is>
      </c>
      <c r="G8" s="4" t="inlineStr">
        <is>
          <t>Kategórialeírás (természetes említés)</t>
        </is>
      </c>
    </row>
    <row r="9">
      <c r="A9" s="7" t="n">
        <v>3</v>
      </c>
      <c r="B9" s="7" t="inlineStr">
        <is>
          <t>burgonya ültető zsák</t>
        </is>
      </c>
      <c r="C9" s="8" t="n">
        <v>40</v>
      </c>
      <c r="D9" s="7" t="inlineStr">
        <is>
          <t>Laza</t>
        </is>
      </c>
      <c r="E9" s="7" t="inlineStr">
        <is>
          <t>Igen</t>
        </is>
      </c>
      <c r="F9" s="7" t="inlineStr">
        <is>
          <t>Szövet / textil / filc cserép, ültető- és termesztőzsák</t>
        </is>
      </c>
      <c r="G9" s="7" t="inlineStr">
        <is>
          <t>Kategórialeírás (természetes említés)</t>
        </is>
      </c>
    </row>
    <row r="10">
      <c r="A10" s="7" t="n">
        <v>4</v>
      </c>
      <c r="B10" s="7" t="inlineStr">
        <is>
          <t>krumpli ültető zsák</t>
        </is>
      </c>
      <c r="C10" s="8" t="n">
        <v>40</v>
      </c>
      <c r="D10" s="7" t="inlineStr">
        <is>
          <t>Laza</t>
        </is>
      </c>
      <c r="E10" s="7" t="inlineStr">
        <is>
          <t>Igen</t>
        </is>
      </c>
      <c r="F10" s="7" t="inlineStr">
        <is>
          <t>Szövet / textil / filc cserép, ültető- és termesztőzsák</t>
        </is>
      </c>
      <c r="G10" s="7" t="inlineStr">
        <is>
          <t>Kategórialeírás (természetes említés)</t>
        </is>
      </c>
    </row>
    <row r="11">
      <c r="A11" s="4" t="n">
        <v>5</v>
      </c>
      <c r="B11" s="4" t="inlineStr">
        <is>
          <t>szövet cserép</t>
        </is>
      </c>
      <c r="C11" s="5" t="n">
        <v>20</v>
      </c>
      <c r="D11" s="4" t="inlineStr">
        <is>
          <t>Szoros</t>
        </is>
      </c>
      <c r="E11" s="4" t="inlineStr">
        <is>
          <t>Igen</t>
        </is>
      </c>
      <c r="F11" s="4" t="inlineStr">
        <is>
          <t>Szövet / textil / filc cserép, ültető- és termesztőzsák</t>
        </is>
      </c>
      <c r="G11" s="4" t="inlineStr">
        <is>
          <t>SEO title / H1 / bevezető (másodlagos)</t>
        </is>
      </c>
    </row>
    <row r="12">
      <c r="A12" s="4" t="n">
        <v>6</v>
      </c>
      <c r="B12" s="4" t="inlineStr">
        <is>
          <t>textil cserép</t>
        </is>
      </c>
      <c r="C12" s="5" t="n">
        <v>20</v>
      </c>
      <c r="D12" s="4" t="inlineStr">
        <is>
          <t>Szoros</t>
        </is>
      </c>
      <c r="E12" s="4" t="inlineStr">
        <is>
          <t>Igen</t>
        </is>
      </c>
      <c r="F12" s="4" t="inlineStr">
        <is>
          <t>Szövet / textil / filc cserép, ültető- és termesztőzsák</t>
        </is>
      </c>
      <c r="G12" s="4" t="inlineStr">
        <is>
          <t>SEO title / H1 / bevezető (másodlagos)</t>
        </is>
      </c>
    </row>
    <row r="13">
      <c r="A13" s="4" t="n">
        <v>7</v>
      </c>
      <c r="B13" s="4" t="inlineStr">
        <is>
          <t>textil virágcserép</t>
        </is>
      </c>
      <c r="C13" s="5" t="n">
        <v>20</v>
      </c>
      <c r="D13" s="4" t="inlineStr">
        <is>
          <t>Szoros</t>
        </is>
      </c>
      <c r="E13" s="4" t="inlineStr">
        <is>
          <t>Igen</t>
        </is>
      </c>
      <c r="F13" s="4" t="inlineStr">
        <is>
          <t>Szövet / textil / filc cserép, ültető- és termesztőzsák</t>
        </is>
      </c>
      <c r="G13" s="4" t="inlineStr">
        <is>
          <t>SEO title / H1 / bevezető (másodlagos)</t>
        </is>
      </c>
    </row>
    <row r="14">
      <c r="A14" s="4" t="n">
        <v>8</v>
      </c>
      <c r="B14" s="4" t="inlineStr">
        <is>
          <t>smart pot</t>
        </is>
      </c>
      <c r="C14" s="5" t="n">
        <v>20</v>
      </c>
      <c r="D14" s="4" t="inlineStr">
        <is>
          <t>Szoros</t>
        </is>
      </c>
      <c r="E14" s="4" t="inlineStr">
        <is>
          <t>Igen</t>
        </is>
      </c>
      <c r="F14" s="4" t="inlineStr">
        <is>
          <t>Szövet / textil / filc cserép, ültető- és termesztőzsák</t>
        </is>
      </c>
      <c r="G14" s="4" t="inlineStr">
        <is>
          <t>Kategórialeírás (természetes említés)</t>
        </is>
      </c>
    </row>
    <row r="15">
      <c r="A15" s="4" t="n">
        <v>9</v>
      </c>
      <c r="B15" s="4" t="inlineStr">
        <is>
          <t>grow bag</t>
        </is>
      </c>
      <c r="C15" s="5" t="n">
        <v>20</v>
      </c>
      <c r="D15" s="4" t="inlineStr">
        <is>
          <t>Szoros</t>
        </is>
      </c>
      <c r="E15" s="4" t="inlineStr">
        <is>
          <t>Igen</t>
        </is>
      </c>
      <c r="F15" s="4" t="inlineStr">
        <is>
          <t>Szövet / textil / filc cserép, ültető- és termesztőzsák</t>
        </is>
      </c>
      <c r="G15" s="4" t="inlineStr">
        <is>
          <t>Kategórialeírás (természetes említés)</t>
        </is>
      </c>
    </row>
    <row r="16">
      <c r="A16" s="7" t="n">
        <v>10</v>
      </c>
      <c r="B16" s="7" t="inlineStr">
        <is>
          <t>krumpli termesztő zsák</t>
        </is>
      </c>
      <c r="C16" s="8" t="n">
        <v>20</v>
      </c>
      <c r="D16" s="7" t="inlineStr">
        <is>
          <t>Laza</t>
        </is>
      </c>
      <c r="E16" s="7" t="inlineStr">
        <is>
          <t>Igen</t>
        </is>
      </c>
      <c r="F16" s="7" t="inlineStr">
        <is>
          <t>Szövet / textil / filc cserép, ültető- és termesztőzsák</t>
        </is>
      </c>
      <c r="G16" s="7" t="inlineStr">
        <is>
          <t>Kategórialeírás (természetes említés)</t>
        </is>
      </c>
    </row>
    <row r="17">
      <c r="A17" s="4" t="n">
        <v>11</v>
      </c>
      <c r="B17" s="4" t="inlineStr">
        <is>
          <t>szövetcserép</t>
        </is>
      </c>
      <c r="C17" s="5" t="n">
        <v>10</v>
      </c>
      <c r="D17" s="4" t="inlineStr">
        <is>
          <t>Szoros</t>
        </is>
      </c>
      <c r="E17" s="4" t="inlineStr">
        <is>
          <t>Igen</t>
        </is>
      </c>
      <c r="F17" s="4" t="inlineStr">
        <is>
          <t>Szövet / textil / filc cserép, ültető- és termesztőzsák</t>
        </is>
      </c>
      <c r="G17" s="4" t="inlineStr">
        <is>
          <t>Kategórialeírás (természetes említés)</t>
        </is>
      </c>
    </row>
    <row r="18">
      <c r="A18" s="4" t="n">
        <v>12</v>
      </c>
      <c r="B18" s="4" t="inlineStr">
        <is>
          <t>growbag</t>
        </is>
      </c>
      <c r="C18" s="5" t="n">
        <v>10</v>
      </c>
      <c r="D18" s="4" t="inlineStr">
        <is>
          <t>Szoros</t>
        </is>
      </c>
      <c r="E18" s="4" t="inlineStr">
        <is>
          <t>Igen</t>
        </is>
      </c>
      <c r="F18" s="4" t="inlineStr">
        <is>
          <t>Szövet / textil / filc cserép, ültető- és termesztőzsák</t>
        </is>
      </c>
      <c r="G18" s="4" t="inlineStr">
        <is>
          <t>Kategórialeírás (természetes említés)</t>
        </is>
      </c>
    </row>
    <row r="19">
      <c r="A19" s="4" t="n">
        <v>13</v>
      </c>
      <c r="B19" s="4" t="inlineStr">
        <is>
          <t>termesztőzsák</t>
        </is>
      </c>
      <c r="C19" s="5" t="n">
        <v>10</v>
      </c>
      <c r="D19" s="4" t="inlineStr">
        <is>
          <t>Szoros</t>
        </is>
      </c>
      <c r="E19" s="4" t="inlineStr">
        <is>
          <t>Igen</t>
        </is>
      </c>
      <c r="F19" s="4" t="inlineStr">
        <is>
          <t>Szövet / textil / filc cserép, ültető- és termesztőzsák</t>
        </is>
      </c>
      <c r="G19" s="4" t="inlineStr">
        <is>
          <t>Kategórialeírás (természetes említés)</t>
        </is>
      </c>
    </row>
    <row r="20">
      <c r="A20" s="4" t="n">
        <v>14</v>
      </c>
      <c r="B20" s="4" t="inlineStr">
        <is>
          <t>növénynevelő zsák</t>
        </is>
      </c>
      <c r="C20" s="5" t="n">
        <v>10</v>
      </c>
      <c r="D20" s="4" t="inlineStr">
        <is>
          <t>Szoros</t>
        </is>
      </c>
      <c r="E20" s="4" t="inlineStr">
        <is>
          <t>Igen</t>
        </is>
      </c>
      <c r="F20" s="4" t="inlineStr">
        <is>
          <t>Szövet / textil / filc cserép, ültető- és termesztőzsák</t>
        </is>
      </c>
      <c r="G20" s="4" t="inlineStr">
        <is>
          <t>Kategórialeírás (természetes említés)</t>
        </is>
      </c>
    </row>
    <row r="21">
      <c r="A21" s="4" t="n">
        <v>15</v>
      </c>
      <c r="B21" s="4" t="inlineStr">
        <is>
          <t>root pouch</t>
        </is>
      </c>
      <c r="C21" s="5" t="n">
        <v>10</v>
      </c>
      <c r="D21" s="4" t="inlineStr">
        <is>
          <t>Szoros</t>
        </is>
      </c>
      <c r="E21" s="4" t="inlineStr">
        <is>
          <t>Igen</t>
        </is>
      </c>
      <c r="F21" s="4" t="inlineStr">
        <is>
          <t>Szövet / textil / filc cserép, ültető- és termesztőzsák</t>
        </is>
      </c>
      <c r="G21" s="4" t="inlineStr">
        <is>
          <t>Gyártóoldal / szűrő / termékoldal</t>
        </is>
      </c>
    </row>
    <row r="22">
      <c r="A22" s="4" t="n">
        <v>16</v>
      </c>
      <c r="B22" s="4" t="inlineStr">
        <is>
          <t>smarpot</t>
        </is>
      </c>
      <c r="C22" s="5" t="n">
        <v>10</v>
      </c>
      <c r="D22" s="4" t="inlineStr">
        <is>
          <t>Szoros</t>
        </is>
      </c>
      <c r="E22" s="4" t="inlineStr">
        <is>
          <t>Igen</t>
        </is>
      </c>
      <c r="F22" s="4" t="inlineStr">
        <is>
          <t>Szövet / textil / filc cserép, ültető- és termesztőzsák</t>
        </is>
      </c>
      <c r="G22" s="4" t="inlineStr">
        <is>
          <t>Kategórialeírás (természetes említés)</t>
        </is>
      </c>
    </row>
    <row r="23">
      <c r="B23" s="10" t="inlineStr">
        <is>
          <t>Összesen (érdemes rá oldal = Igen):</t>
        </is>
      </c>
      <c r="C23" s="23">
        <f>SUMIFS(C7:C22,E7:E22,"Igen")</f>
        <v/>
      </c>
    </row>
    <row r="25">
      <c r="A25" s="10" t="inlineStr">
        <is>
          <t>Termékek a jelenlegi kínálatból: 28 db (elsődleges + másodlagos hozzárendelés; egy termék több kategóriában is szerepelhet)</t>
        </is>
      </c>
    </row>
    <row r="26">
      <c r="A26" s="3" t="inlineStr">
        <is>
          <t>#</t>
        </is>
      </c>
      <c r="B26" s="3" t="inlineStr">
        <is>
          <t>Termékkód</t>
        </is>
      </c>
      <c r="C26" s="3" t="inlineStr">
        <is>
          <t>Terméknév</t>
        </is>
      </c>
      <c r="D26" s="3" t="inlineStr">
        <is>
          <t>Hozzárendelés</t>
        </is>
      </c>
      <c r="E26" s="3" t="inlineStr">
        <is>
          <t>Illeszkedés</t>
        </is>
      </c>
      <c r="F26" s="3" t="inlineStr">
        <is>
          <t>Megjegyzés</t>
        </is>
      </c>
    </row>
    <row r="27">
      <c r="A27" s="4" t="n">
        <v>1</v>
      </c>
      <c r="B27" s="4" t="inlineStr">
        <is>
          <t>GRO0822</t>
        </is>
      </c>
      <c r="C27" s="4" t="inlineStr">
        <is>
          <t>Szövet edény 3 liter, Smart Pot klón légáteresztő textilcserép</t>
        </is>
      </c>
      <c r="D27" s="4" t="inlineStr">
        <is>
          <t>Elsődleges</t>
        </is>
      </c>
      <c r="E27" s="4" t="inlineStr">
        <is>
          <t>Erős</t>
        </is>
      </c>
      <c r="F27" s="4" t="inlineStr">
        <is>
          <t>Szövet- / textilcserép (Smart Pot típus)</t>
        </is>
      </c>
    </row>
    <row r="28">
      <c r="A28" s="4" t="n">
        <v>2</v>
      </c>
      <c r="B28" s="4" t="inlineStr">
        <is>
          <t>GRO0823</t>
        </is>
      </c>
      <c r="C28" s="4" t="inlineStr">
        <is>
          <t>Szövet edény 15 liter, Smart Pot klón légáteresztő textilcserép</t>
        </is>
      </c>
      <c r="D28" s="4" t="inlineStr">
        <is>
          <t>Elsődleges</t>
        </is>
      </c>
      <c r="E28" s="4" t="inlineStr">
        <is>
          <t>Erős</t>
        </is>
      </c>
      <c r="F28" s="4" t="inlineStr">
        <is>
          <t>Szövet- / textilcserép (Smart Pot típus)</t>
        </is>
      </c>
    </row>
    <row r="29">
      <c r="A29" s="4" t="n">
        <v>3</v>
      </c>
      <c r="B29" s="4" t="inlineStr">
        <is>
          <t>GRO0824</t>
        </is>
      </c>
      <c r="C29" s="4" t="inlineStr">
        <is>
          <t>Szövet edény 25 liter, Smart Pot klón légáteresztő textilcserép</t>
        </is>
      </c>
      <c r="D29" s="4" t="inlineStr">
        <is>
          <t>Elsődleges</t>
        </is>
      </c>
      <c r="E29" s="4" t="inlineStr">
        <is>
          <t>Erős</t>
        </is>
      </c>
      <c r="F29" s="4" t="inlineStr">
        <is>
          <t>Szövet- / textilcserép (Smart Pot típus)</t>
        </is>
      </c>
    </row>
    <row r="30">
      <c r="A30" s="4" t="n">
        <v>4</v>
      </c>
      <c r="B30" s="4" t="inlineStr">
        <is>
          <t>GRO1110</t>
        </is>
      </c>
      <c r="C30" s="4" t="inlineStr">
        <is>
          <t>Szövet edény 7 liter, Smart Pot klón légáteresztő textilcserép</t>
        </is>
      </c>
      <c r="D30" s="4" t="inlineStr">
        <is>
          <t>Elsődleges</t>
        </is>
      </c>
      <c r="E30" s="4" t="inlineStr">
        <is>
          <t>Erős</t>
        </is>
      </c>
      <c r="F30" s="4" t="inlineStr">
        <is>
          <t>Szövet- / textilcserép (Smart Pot típus)</t>
        </is>
      </c>
    </row>
    <row r="31">
      <c r="A31" s="4" t="n">
        <v>5</v>
      </c>
      <c r="B31" s="4" t="inlineStr">
        <is>
          <t>GRO1111</t>
        </is>
      </c>
      <c r="C31" s="4" t="inlineStr">
        <is>
          <t>Szövet edény 10 liter, Smart Pot klón légáteresztő textilcserép</t>
        </is>
      </c>
      <c r="D31" s="4" t="inlineStr">
        <is>
          <t>Elsődleges</t>
        </is>
      </c>
      <c r="E31" s="4" t="inlineStr">
        <is>
          <t>Erős</t>
        </is>
      </c>
      <c r="F31" s="4" t="inlineStr">
        <is>
          <t>Szövet- / textilcserép (Smart Pot típus)</t>
        </is>
      </c>
    </row>
    <row r="32">
      <c r="A32" s="4" t="n">
        <v>6</v>
      </c>
      <c r="B32" s="4" t="inlineStr">
        <is>
          <t>GRO2492</t>
        </is>
      </c>
      <c r="C32" s="4" t="inlineStr">
        <is>
          <t>Szövet edény 1 liter, Smart Pot klón légáteresztő textilcserép</t>
        </is>
      </c>
      <c r="D32" s="4" t="inlineStr">
        <is>
          <t>Elsődleges</t>
        </is>
      </c>
      <c r="E32" s="4" t="inlineStr">
        <is>
          <t>Erős</t>
        </is>
      </c>
      <c r="F32" s="4" t="inlineStr">
        <is>
          <t>Szövet- / textilcserép (Smart Pot típus)</t>
        </is>
      </c>
    </row>
    <row r="33">
      <c r="A33" s="4" t="n">
        <v>7</v>
      </c>
      <c r="B33" s="4" t="inlineStr">
        <is>
          <t>GRO2572</t>
        </is>
      </c>
      <c r="C33" s="4" t="inlineStr">
        <is>
          <t>Szövet edény 50 liter, Smart Pot klón légáteresztő textilcserép</t>
        </is>
      </c>
      <c r="D33" s="4" t="inlineStr">
        <is>
          <t>Elsődleges</t>
        </is>
      </c>
      <c r="E33" s="4" t="inlineStr">
        <is>
          <t>Erős</t>
        </is>
      </c>
      <c r="F33" s="4" t="inlineStr">
        <is>
          <t>Nagy szövetcserép, 39–550 l</t>
        </is>
      </c>
    </row>
    <row r="34">
      <c r="A34" s="4" t="n">
        <v>8</v>
      </c>
      <c r="B34" s="4" t="inlineStr">
        <is>
          <t>GRO3225</t>
        </is>
      </c>
      <c r="C34" s="4" t="inlineStr">
        <is>
          <t>Urban Garden szövetcserép 4 liter, légáteresztő textil termesztőedény (14 x 14 x 20 cm)</t>
        </is>
      </c>
      <c r="D34" s="4" t="inlineStr">
        <is>
          <t>Elsődleges</t>
        </is>
      </c>
      <c r="E34" s="4" t="inlineStr">
        <is>
          <t>Erős</t>
        </is>
      </c>
      <c r="F34" s="4" t="inlineStr">
        <is>
          <t>Szövet- / textilcserép (Smart Pot típus)</t>
        </is>
      </c>
    </row>
    <row r="35">
      <c r="A35" s="4" t="n">
        <v>9</v>
      </c>
      <c r="B35" s="4" t="inlineStr">
        <is>
          <t>GRO3226</t>
        </is>
      </c>
      <c r="C35" s="4" t="inlineStr">
        <is>
          <t>Urban Garden szövetcserép 8 liter, légáteresztő textil termesztőedény (18 x 18 x 25,5 cm)</t>
        </is>
      </c>
      <c r="D35" s="4" t="inlineStr">
        <is>
          <t>Elsődleges</t>
        </is>
      </c>
      <c r="E35" s="4" t="inlineStr">
        <is>
          <t>Erős</t>
        </is>
      </c>
      <c r="F35" s="4" t="inlineStr">
        <is>
          <t>Szövet- / textilcserép (Smart Pot típus)</t>
        </is>
      </c>
    </row>
    <row r="36">
      <c r="A36" s="4" t="n">
        <v>10</v>
      </c>
      <c r="B36" s="4" t="inlineStr">
        <is>
          <t>GRO3227</t>
        </is>
      </c>
      <c r="C36" s="4" t="inlineStr">
        <is>
          <t>Urban Garden szövetcserép 11 liter</t>
        </is>
      </c>
      <c r="D36" s="4" t="inlineStr">
        <is>
          <t>Elsődleges</t>
        </is>
      </c>
      <c r="E36" s="4" t="inlineStr">
        <is>
          <t>Erős</t>
        </is>
      </c>
      <c r="F36" s="4" t="inlineStr">
        <is>
          <t>Szövet- / textilcserép (Smart Pot típus)</t>
        </is>
      </c>
    </row>
    <row r="37">
      <c r="A37" s="4" t="n">
        <v>11</v>
      </c>
      <c r="B37" s="4" t="inlineStr">
        <is>
          <t>GRO3228</t>
        </is>
      </c>
      <c r="C37" s="4" t="inlineStr">
        <is>
          <t>Urban Garden szövetcserép 15 liter, légáteresztő textil termesztőedény (23 x 23 x 29,5 cm)</t>
        </is>
      </c>
      <c r="D37" s="4" t="inlineStr">
        <is>
          <t>Elsődleges</t>
        </is>
      </c>
      <c r="E37" s="4" t="inlineStr">
        <is>
          <t>Erős</t>
        </is>
      </c>
      <c r="F37" s="4" t="inlineStr">
        <is>
          <t>Szövet- / textilcserép (Smart Pot típus)</t>
        </is>
      </c>
    </row>
    <row r="38">
      <c r="A38" s="4" t="n">
        <v>12</v>
      </c>
      <c r="B38" s="4" t="inlineStr">
        <is>
          <t>GRO3229</t>
        </is>
      </c>
      <c r="C38" s="4" t="inlineStr">
        <is>
          <t>Urban Garden szövetcserép 25 liter</t>
        </is>
      </c>
      <c r="D38" s="4" t="inlineStr">
        <is>
          <t>Elsődleges</t>
        </is>
      </c>
      <c r="E38" s="4" t="inlineStr">
        <is>
          <t>Erős</t>
        </is>
      </c>
      <c r="F38" s="4" t="inlineStr">
        <is>
          <t>Szövet- / textilcserép (Smart Pot típus)</t>
        </is>
      </c>
    </row>
    <row r="39">
      <c r="A39" s="4" t="n">
        <v>13</v>
      </c>
      <c r="B39" s="4" t="inlineStr">
        <is>
          <t>GRO3230</t>
        </is>
      </c>
      <c r="C39" s="4" t="inlineStr">
        <is>
          <t>Urban Garden szövetcserép 39 liter, légáteresztő textil termesztőedény (33 x 33 x 36 cm)</t>
        </is>
      </c>
      <c r="D39" s="4" t="inlineStr">
        <is>
          <t>Elsődleges</t>
        </is>
      </c>
      <c r="E39" s="4" t="inlineStr">
        <is>
          <t>Erős</t>
        </is>
      </c>
      <c r="F39" s="4" t="inlineStr">
        <is>
          <t>Nagy szövetcserép, 39–550 l</t>
        </is>
      </c>
    </row>
    <row r="40">
      <c r="A40" s="4" t="n">
        <v>14</v>
      </c>
      <c r="B40" s="4" t="inlineStr">
        <is>
          <t>GRO3664</t>
        </is>
      </c>
      <c r="C40" s="4" t="inlineStr">
        <is>
          <t>Urban Garden szövetcserép 2 liter</t>
        </is>
      </c>
      <c r="D40" s="4" t="inlineStr">
        <is>
          <t>Elsődleges</t>
        </is>
      </c>
      <c r="E40" s="4" t="inlineStr">
        <is>
          <t>Erős</t>
        </is>
      </c>
      <c r="F40" s="4" t="inlineStr">
        <is>
          <t>Szövet- / textilcserép (Smart Pot típus)</t>
        </is>
      </c>
    </row>
    <row r="41">
      <c r="A41" s="4" t="n">
        <v>15</v>
      </c>
      <c r="B41" s="4" t="inlineStr">
        <is>
          <t>GRO3665</t>
        </is>
      </c>
      <c r="C41" s="4" t="inlineStr">
        <is>
          <t>Urban Garden szövetcserép 19 liter</t>
        </is>
      </c>
      <c r="D41" s="4" t="inlineStr">
        <is>
          <t>Elsődleges</t>
        </is>
      </c>
      <c r="E41" s="4" t="inlineStr">
        <is>
          <t>Erős</t>
        </is>
      </c>
      <c r="F41" s="4" t="inlineStr">
        <is>
          <t>Szövet- / textilcserép (Smart Pot típus)</t>
        </is>
      </c>
    </row>
    <row r="42">
      <c r="A42" s="4" t="n">
        <v>16</v>
      </c>
      <c r="B42" s="4" t="inlineStr">
        <is>
          <t>GRO3666</t>
        </is>
      </c>
      <c r="C42" s="4" t="inlineStr">
        <is>
          <t>Urban Garden szövetcserép 55 liter</t>
        </is>
      </c>
      <c r="D42" s="4" t="inlineStr">
        <is>
          <t>Elsődleges</t>
        </is>
      </c>
      <c r="E42" s="4" t="inlineStr">
        <is>
          <t>Erős</t>
        </is>
      </c>
      <c r="F42" s="4" t="inlineStr">
        <is>
          <t>Nagy szövetcserép, 39–550 l</t>
        </is>
      </c>
    </row>
    <row r="43">
      <c r="A43" s="4" t="n">
        <v>17</v>
      </c>
      <c r="B43" s="4" t="inlineStr">
        <is>
          <t>GRO3667</t>
        </is>
      </c>
      <c r="C43" s="4" t="inlineStr">
        <is>
          <t>Urban Garden szövetcserép 75 liter</t>
        </is>
      </c>
      <c r="D43" s="4" t="inlineStr">
        <is>
          <t>Elsődleges</t>
        </is>
      </c>
      <c r="E43" s="4" t="inlineStr">
        <is>
          <t>Erős</t>
        </is>
      </c>
      <c r="F43" s="4" t="inlineStr">
        <is>
          <t>Nagy szövetcserép, 39–550 l</t>
        </is>
      </c>
    </row>
    <row r="44">
      <c r="A44" s="4" t="n">
        <v>18</v>
      </c>
      <c r="B44" s="4" t="inlineStr">
        <is>
          <t>GRO3668</t>
        </is>
      </c>
      <c r="C44" s="4" t="inlineStr">
        <is>
          <t>Urban Garden szövetcserép 95 liter</t>
        </is>
      </c>
      <c r="D44" s="4" t="inlineStr">
        <is>
          <t>Elsődleges</t>
        </is>
      </c>
      <c r="E44" s="4" t="inlineStr">
        <is>
          <t>Erős</t>
        </is>
      </c>
      <c r="F44" s="4" t="inlineStr">
        <is>
          <t>Nagy szövetcserép, 39–550 l</t>
        </is>
      </c>
    </row>
    <row r="45">
      <c r="A45" s="4" t="n">
        <v>19</v>
      </c>
      <c r="B45" s="4" t="inlineStr">
        <is>
          <t>GRO3669</t>
        </is>
      </c>
      <c r="C45" s="4" t="inlineStr">
        <is>
          <t>Urban Garden szövetcserép 150 liter</t>
        </is>
      </c>
      <c r="D45" s="4" t="inlineStr">
        <is>
          <t>Elsődleges</t>
        </is>
      </c>
      <c r="E45" s="4" t="inlineStr">
        <is>
          <t>Erős</t>
        </is>
      </c>
      <c r="F45" s="4" t="inlineStr">
        <is>
          <t>Nagy szövetcserép, 39–550 l</t>
        </is>
      </c>
    </row>
    <row r="46">
      <c r="A46" s="4" t="n">
        <v>20</v>
      </c>
      <c r="B46" s="4" t="inlineStr">
        <is>
          <t>GRO3670</t>
        </is>
      </c>
      <c r="C46" s="4" t="inlineStr">
        <is>
          <t>Urban Garden szövetcserép 225 liter</t>
        </is>
      </c>
      <c r="D46" s="4" t="inlineStr">
        <is>
          <t>Elsődleges</t>
        </is>
      </c>
      <c r="E46" s="4" t="inlineStr">
        <is>
          <t>Erős</t>
        </is>
      </c>
      <c r="F46" s="4" t="inlineStr">
        <is>
          <t>Nagy szövetcserép, 39–550 l</t>
        </is>
      </c>
    </row>
    <row r="47">
      <c r="A47" s="4" t="n">
        <v>21</v>
      </c>
      <c r="B47" s="4" t="inlineStr">
        <is>
          <t>GRO3671</t>
        </is>
      </c>
      <c r="C47" s="4" t="inlineStr">
        <is>
          <t>Urban Garden szövetcserép 300 liter</t>
        </is>
      </c>
      <c r="D47" s="4" t="inlineStr">
        <is>
          <t>Elsődleges</t>
        </is>
      </c>
      <c r="E47" s="4" t="inlineStr">
        <is>
          <t>Erős</t>
        </is>
      </c>
      <c r="F47" s="4" t="inlineStr">
        <is>
          <t>Nagy szövetcserép, 39–550 l</t>
        </is>
      </c>
    </row>
    <row r="48">
      <c r="A48" s="4" t="n">
        <v>22</v>
      </c>
      <c r="B48" s="4" t="inlineStr">
        <is>
          <t>GRO3672</t>
        </is>
      </c>
      <c r="C48" s="4" t="inlineStr">
        <is>
          <t>Urban Garden szövetcserép 550 liter</t>
        </is>
      </c>
      <c r="D48" s="4" t="inlineStr">
        <is>
          <t>Elsődleges</t>
        </is>
      </c>
      <c r="E48" s="4" t="inlineStr">
        <is>
          <t>Erős</t>
        </is>
      </c>
      <c r="F48" s="4" t="inlineStr">
        <is>
          <t>Nagy szövetcserép, 39–550 l</t>
        </is>
      </c>
    </row>
    <row r="49">
      <c r="A49" s="4" t="n">
        <v>23</v>
      </c>
      <c r="B49" s="4" t="inlineStr">
        <is>
          <t>GRO4131</t>
        </is>
      </c>
      <c r="C49" s="4" t="inlineStr">
        <is>
          <t>Garden Highpro szövetcserép (7 liter)</t>
        </is>
      </c>
      <c r="D49" s="4" t="inlineStr">
        <is>
          <t>Elsődleges</t>
        </is>
      </c>
      <c r="E49" s="4" t="inlineStr">
        <is>
          <t>Erős</t>
        </is>
      </c>
      <c r="F49" s="4" t="inlineStr">
        <is>
          <t>Szövet- / textilcserép (Smart Pot típus)</t>
        </is>
      </c>
    </row>
    <row r="50">
      <c r="A50" s="4" t="n">
        <v>24</v>
      </c>
      <c r="B50" s="4" t="inlineStr">
        <is>
          <t>GRO4132</t>
        </is>
      </c>
      <c r="C50" s="4" t="inlineStr">
        <is>
          <t>Garden Highpro szövetcserép fogantyúval (15 liter)</t>
        </is>
      </c>
      <c r="D50" s="4" t="inlineStr">
        <is>
          <t>Elsődleges</t>
        </is>
      </c>
      <c r="E50" s="4" t="inlineStr">
        <is>
          <t>Erős</t>
        </is>
      </c>
      <c r="F50" s="4" t="inlineStr">
        <is>
          <t>Szövet- / textilcserép (Smart Pot típus)</t>
        </is>
      </c>
    </row>
    <row r="51">
      <c r="A51" s="4" t="n">
        <v>25</v>
      </c>
      <c r="B51" s="4" t="inlineStr">
        <is>
          <t>GRO4297</t>
        </is>
      </c>
      <c r="C51" s="4" t="inlineStr">
        <is>
          <t>AC Infinity szövetcserép 5 db 19 L</t>
        </is>
      </c>
      <c r="D51" s="4" t="inlineStr">
        <is>
          <t>Elsődleges</t>
        </is>
      </c>
      <c r="E51" s="4" t="inlineStr">
        <is>
          <t>Erős</t>
        </is>
      </c>
      <c r="F51" s="4" t="inlineStr">
        <is>
          <t>Szövet- / textilcserép (Smart Pot típus)</t>
        </is>
      </c>
    </row>
    <row r="52">
      <c r="A52" s="4" t="n">
        <v>26</v>
      </c>
      <c r="B52" s="4" t="inlineStr">
        <is>
          <t>GRO4324</t>
        </is>
      </c>
      <c r="C52" s="4" t="inlineStr">
        <is>
          <t>AC Infinity szövetcserép 5 db 11 L</t>
        </is>
      </c>
      <c r="D52" s="4" t="inlineStr">
        <is>
          <t>Elsődleges</t>
        </is>
      </c>
      <c r="E52" s="4" t="inlineStr">
        <is>
          <t>Erős</t>
        </is>
      </c>
      <c r="F52" s="4" t="inlineStr">
        <is>
          <t>Szövet- / textilcserép (Smart Pot típus)</t>
        </is>
      </c>
    </row>
    <row r="53">
      <c r="A53" s="7" t="n">
        <v>27</v>
      </c>
      <c r="B53" s="7" t="inlineStr">
        <is>
          <t>GRO4696</t>
        </is>
      </c>
      <c r="C53" s="7" t="inlineStr">
        <is>
          <t>UGro Coco Pot4 Basic kókuszrost ültetőzsák 4 L, préselt kókusztömb</t>
        </is>
      </c>
      <c r="D53" s="7" t="inlineStr">
        <is>
          <t>Másodlagos</t>
        </is>
      </c>
      <c r="E53" s="7" t="inlineStr">
        <is>
          <t>Laza</t>
        </is>
      </c>
      <c r="F53" s="7" t="inlineStr">
        <is>
          <t>Kókuszrost ültetőzsák (közeg + edény)</t>
        </is>
      </c>
    </row>
    <row r="54">
      <c r="A54" s="7" t="n">
        <v>28</v>
      </c>
      <c r="B54" s="7" t="inlineStr">
        <is>
          <t>GRO4698</t>
        </is>
      </c>
      <c r="C54" s="7" t="inlineStr">
        <is>
          <t>Kókuszrost ültetőzsák UGro Coco Pot9 Basic 9 L, préselt kókusztömb</t>
        </is>
      </c>
      <c r="D54" s="7" t="inlineStr">
        <is>
          <t>Másodlagos</t>
        </is>
      </c>
      <c r="E54" s="7" t="inlineStr">
        <is>
          <t>Laza</t>
        </is>
      </c>
      <c r="F54" s="7" t="inlineStr">
        <is>
          <t>Kókuszrost ültetőzsák (közeg + edény)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0" customWidth="1" min="3" max="3"/>
    <col width="22" customWidth="1" min="4" max="4"/>
    <col width="16" customWidth="1" min="5" max="5"/>
    <col width="40" customWidth="1" min="6" max="6"/>
    <col width="40" customWidth="1" min="7" max="7"/>
  </cols>
  <sheetData>
    <row r="1">
      <c r="A1" s="1" t="inlineStr">
        <is>
          <t>Cserépalátét  –  fő kulcsszó: „cserépalátét”</t>
        </is>
      </c>
    </row>
    <row r="2">
      <c r="A2" s="2" t="inlineStr">
        <is>
          <t>Felhasználási terület: Cserép alá – vízfelfogás, gurulós alátét</t>
        </is>
      </c>
    </row>
    <row r="3">
      <c r="A3" s="2" t="inlineStr">
        <is>
          <t>Megjegyzés: A „cserépalátét” és a „cserép alátét” egyenként 260; a „virágcserép alátéttel” (140) a cseréppel együtt vásárlót jelenti – a Virágcserép kategóriában is említendő.</t>
        </is>
      </c>
    </row>
    <row r="4">
      <c r="A4" s="2" t="inlineStr">
        <is>
          <t>Felvett releváns kulcsszavak: 23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4" t="n">
        <v>1</v>
      </c>
      <c r="B7" s="4" t="inlineStr">
        <is>
          <t>cserépalátét</t>
        </is>
      </c>
      <c r="C7" s="5" t="n">
        <v>260</v>
      </c>
      <c r="D7" s="4" t="inlineStr">
        <is>
          <t>Szoros</t>
        </is>
      </c>
      <c r="E7" s="4" t="inlineStr">
        <is>
          <t>Igen</t>
        </is>
      </c>
      <c r="F7" s="4" t="inlineStr">
        <is>
          <t>Cserép alá – vízfelfogás, gurulós alátét</t>
        </is>
      </c>
      <c r="G7" s="4" t="inlineStr">
        <is>
          <t>Kategórianév + H1 + SEO title (fő kulcsszó)</t>
        </is>
      </c>
    </row>
    <row r="8">
      <c r="A8" s="11" t="n">
        <v>2</v>
      </c>
      <c r="B8" s="11" t="inlineStr">
        <is>
          <t>alátét</t>
        </is>
      </c>
      <c r="C8" s="21" t="n">
        <v>720</v>
      </c>
      <c r="D8" s="11" t="inlineStr">
        <is>
          <t>Laza</t>
        </is>
      </c>
      <c r="E8" s="11" t="inlineStr">
        <is>
          <t>Nem</t>
        </is>
      </c>
      <c r="F8" s="11" t="inlineStr">
        <is>
          <t>Cserép alá – vízfelfogás, gurulós alátét</t>
        </is>
      </c>
      <c r="G8" s="11" t="inlineStr">
        <is>
          <t>Nem célozni külön oldallal (max. említés)</t>
        </is>
      </c>
    </row>
    <row r="9">
      <c r="A9" s="12" t="n">
        <v>3</v>
      </c>
      <c r="B9" s="12" t="inlineStr">
        <is>
          <t>obi cserépalátét</t>
        </is>
      </c>
      <c r="C9" s="22" t="n">
        <v>320</v>
      </c>
      <c r="D9" s="12" t="inlineStr">
        <is>
          <t>Nincs (áruházi / nem vásárlási szándék)</t>
        </is>
      </c>
      <c r="E9" s="12" t="inlineStr">
        <is>
          <t>Nem – kizárandó</t>
        </is>
      </c>
      <c r="F9" s="12" t="inlineStr">
        <is>
          <t>Cserép alá – vízfelfogás, gurulós alátét</t>
        </is>
      </c>
      <c r="G9" s="12" t="inlineStr">
        <is>
          <t>Nem használni (áruházi/nem vásárlási szándék)</t>
        </is>
      </c>
    </row>
    <row r="10">
      <c r="A10" s="4" t="n">
        <v>4</v>
      </c>
      <c r="B10" s="4" t="inlineStr">
        <is>
          <t>cserép alátét</t>
        </is>
      </c>
      <c r="C10" s="5" t="n">
        <v>260</v>
      </c>
      <c r="D10" s="4" t="inlineStr">
        <is>
          <t>Szoros</t>
        </is>
      </c>
      <c r="E10" s="4" t="inlineStr">
        <is>
          <t>Igen</t>
        </is>
      </c>
      <c r="F10" s="4" t="inlineStr">
        <is>
          <t>Cserép alá – vízfelfogás, gurulós alátét</t>
        </is>
      </c>
      <c r="G10" s="4" t="inlineStr">
        <is>
          <t>SEO title / H1 / bevezető (másodlagos)</t>
        </is>
      </c>
    </row>
    <row r="11">
      <c r="A11" s="7" t="n">
        <v>5</v>
      </c>
      <c r="B11" s="7" t="inlineStr">
        <is>
          <t>gurulós virágtartó</t>
        </is>
      </c>
      <c r="C11" s="8" t="n">
        <v>260</v>
      </c>
      <c r="D11" s="7" t="inlineStr">
        <is>
          <t>Laza</t>
        </is>
      </c>
      <c r="E11" s="7" t="inlineStr">
        <is>
          <t>Igen</t>
        </is>
      </c>
      <c r="F11" s="7" t="inlineStr">
        <is>
          <t>Cserép alá – vízfelfogás, gurulós alátét</t>
        </is>
      </c>
      <c r="G11" s="7" t="inlineStr">
        <is>
          <t>Kategórialeírás (természetes említés)</t>
        </is>
      </c>
    </row>
    <row r="12">
      <c r="A12" s="4" t="n">
        <v>6</v>
      </c>
      <c r="B12" s="4" t="inlineStr">
        <is>
          <t>virágcserép alátét</t>
        </is>
      </c>
      <c r="C12" s="5" t="n">
        <v>140</v>
      </c>
      <c r="D12" s="4" t="inlineStr">
        <is>
          <t>Szoros</t>
        </is>
      </c>
      <c r="E12" s="4" t="inlineStr">
        <is>
          <t>Igen</t>
        </is>
      </c>
      <c r="F12" s="4" t="inlineStr">
        <is>
          <t>Cserép alá – vízfelfogás, gurulós alátét</t>
        </is>
      </c>
      <c r="G12" s="4" t="inlineStr">
        <is>
          <t>SEO title / H1 / bevezető (másodlagos)</t>
        </is>
      </c>
    </row>
    <row r="13">
      <c r="A13" s="4" t="n">
        <v>7</v>
      </c>
      <c r="B13" s="4" t="inlineStr">
        <is>
          <t>virágcserép alátéttel</t>
        </is>
      </c>
      <c r="C13" s="5" t="n">
        <v>140</v>
      </c>
      <c r="D13" s="4" t="inlineStr">
        <is>
          <t>Szoros</t>
        </is>
      </c>
      <c r="E13" s="4" t="inlineStr">
        <is>
          <t>Igen</t>
        </is>
      </c>
      <c r="F13" s="4" t="inlineStr">
        <is>
          <t>Cserép alá – vízfelfogás, gurulós alátét</t>
        </is>
      </c>
      <c r="G13" s="4" t="inlineStr">
        <is>
          <t>Kategórialeírás (természetes említés)</t>
        </is>
      </c>
    </row>
    <row r="14">
      <c r="A14" s="4" t="n">
        <v>8</v>
      </c>
      <c r="B14" s="4" t="inlineStr">
        <is>
          <t>műanyag cserépalátét</t>
        </is>
      </c>
      <c r="C14" s="5" t="n">
        <v>110</v>
      </c>
      <c r="D14" s="4" t="inlineStr">
        <is>
          <t>Szoros</t>
        </is>
      </c>
      <c r="E14" s="4" t="inlineStr">
        <is>
          <t>Igen</t>
        </is>
      </c>
      <c r="F14" s="4" t="inlineStr">
        <is>
          <t>Cserép alá – vízfelfogás, gurulós alátét</t>
        </is>
      </c>
      <c r="G14" s="4" t="inlineStr">
        <is>
          <t>SEO title / H1 / bevezető (másodlagos)</t>
        </is>
      </c>
    </row>
    <row r="15">
      <c r="A15" s="11" t="n">
        <v>9</v>
      </c>
      <c r="B15" s="11" t="inlineStr">
        <is>
          <t>kerámia cserépalátét</t>
        </is>
      </c>
      <c r="C15" s="21" t="n">
        <v>90</v>
      </c>
      <c r="D15" s="11" t="inlineStr">
        <is>
          <t>Laza</t>
        </is>
      </c>
      <c r="E15" s="11" t="inlineStr">
        <is>
          <t>Nem</t>
        </is>
      </c>
      <c r="F15" s="11" t="inlineStr">
        <is>
          <t>Cserép alá – vízfelfogás, gurulós alátét</t>
        </is>
      </c>
      <c r="G15" s="11" t="inlineStr">
        <is>
          <t>Nem célozni külön oldallal (max. említés)</t>
        </is>
      </c>
    </row>
    <row r="16">
      <c r="A16" s="7" t="n">
        <v>10</v>
      </c>
      <c r="B16" s="7" t="inlineStr">
        <is>
          <t>gurulós virágállvány</t>
        </is>
      </c>
      <c r="C16" s="8" t="n">
        <v>70</v>
      </c>
      <c r="D16" s="7" t="inlineStr">
        <is>
          <t>Laza</t>
        </is>
      </c>
      <c r="E16" s="7" t="inlineStr">
        <is>
          <t>Igen</t>
        </is>
      </c>
      <c r="F16" s="7" t="inlineStr">
        <is>
          <t>Cserép alá – vízfelfogás, gurulós alátét</t>
        </is>
      </c>
      <c r="G16" s="7" t="inlineStr">
        <is>
          <t>Kategórialeírás (természetes említés)</t>
        </is>
      </c>
    </row>
    <row r="17">
      <c r="A17" s="11" t="n">
        <v>11</v>
      </c>
      <c r="B17" s="11" t="inlineStr">
        <is>
          <t>agyag cserépalátét</t>
        </is>
      </c>
      <c r="C17" s="21" t="n">
        <v>70</v>
      </c>
      <c r="D17" s="11" t="inlineStr">
        <is>
          <t>Laza</t>
        </is>
      </c>
      <c r="E17" s="11" t="inlineStr">
        <is>
          <t>Nem</t>
        </is>
      </c>
      <c r="F17" s="11" t="inlineStr">
        <is>
          <t>Cserép alá – vízfelfogás, gurulós alátét</t>
        </is>
      </c>
      <c r="G17" s="11" t="inlineStr">
        <is>
          <t>Nem célozni külön oldallal (max. említés)</t>
        </is>
      </c>
    </row>
    <row r="18">
      <c r="A18" s="4" t="n">
        <v>12</v>
      </c>
      <c r="B18" s="4" t="inlineStr">
        <is>
          <t>virágcserép alátét 60 cm</t>
        </is>
      </c>
      <c r="C18" s="5" t="n">
        <v>50</v>
      </c>
      <c r="D18" s="4" t="inlineStr">
        <is>
          <t>Szoros</t>
        </is>
      </c>
      <c r="E18" s="4" t="inlineStr">
        <is>
          <t>Igen</t>
        </is>
      </c>
      <c r="F18" s="4" t="inlineStr">
        <is>
          <t>Cserép alá – vízfelfogás, gurulós alátét</t>
        </is>
      </c>
      <c r="G18" s="4" t="inlineStr">
        <is>
          <t>Kategórialeírás (természetes említés)</t>
        </is>
      </c>
    </row>
    <row r="19">
      <c r="A19" s="4" t="n">
        <v>13</v>
      </c>
      <c r="B19" s="4" t="inlineStr">
        <is>
          <t>cserépalátét 80 cm</t>
        </is>
      </c>
      <c r="C19" s="5" t="n">
        <v>50</v>
      </c>
      <c r="D19" s="4" t="inlineStr">
        <is>
          <t>Szoros</t>
        </is>
      </c>
      <c r="E19" s="4" t="inlineStr">
        <is>
          <t>Igen</t>
        </is>
      </c>
      <c r="F19" s="4" t="inlineStr">
        <is>
          <t>Cserép alá – vízfelfogás, gurulós alátét</t>
        </is>
      </c>
      <c r="G19" s="4" t="inlineStr">
        <is>
          <t>Kategórialeírás (természetes említés)</t>
        </is>
      </c>
    </row>
    <row r="20">
      <c r="A20" s="4" t="n">
        <v>14</v>
      </c>
      <c r="B20" s="4" t="inlineStr">
        <is>
          <t>cserépalátét 60 cm</t>
        </is>
      </c>
      <c r="C20" s="5" t="n">
        <v>40</v>
      </c>
      <c r="D20" s="4" t="inlineStr">
        <is>
          <t>Szoros</t>
        </is>
      </c>
      <c r="E20" s="4" t="inlineStr">
        <is>
          <t>Igen</t>
        </is>
      </c>
      <c r="F20" s="4" t="inlineStr">
        <is>
          <t>Cserép alá – vízfelfogás, gurulós alátét</t>
        </is>
      </c>
      <c r="G20" s="4" t="inlineStr">
        <is>
          <t>Kategórialeírás (természetes említés)</t>
        </is>
      </c>
    </row>
    <row r="21">
      <c r="A21" s="4" t="n">
        <v>15</v>
      </c>
      <c r="B21" s="4" t="inlineStr">
        <is>
          <t>cserépalátét 50 cm</t>
        </is>
      </c>
      <c r="C21" s="5" t="n">
        <v>30</v>
      </c>
      <c r="D21" s="4" t="inlineStr">
        <is>
          <t>Szoros</t>
        </is>
      </c>
      <c r="E21" s="4" t="inlineStr">
        <is>
          <t>Igen</t>
        </is>
      </c>
      <c r="F21" s="4" t="inlineStr">
        <is>
          <t>Cserép alá – vízfelfogás, gurulós alátét</t>
        </is>
      </c>
      <c r="G21" s="4" t="inlineStr">
        <is>
          <t>Kategórialeírás (természetes említés)</t>
        </is>
      </c>
    </row>
    <row r="22">
      <c r="A22" s="4" t="n">
        <v>16</v>
      </c>
      <c r="B22" s="4" t="inlineStr">
        <is>
          <t>virágcserép alátét 50 cm</t>
        </is>
      </c>
      <c r="C22" s="5" t="n">
        <v>30</v>
      </c>
      <c r="D22" s="4" t="inlineStr">
        <is>
          <t>Szoros</t>
        </is>
      </c>
      <c r="E22" s="4" t="inlineStr">
        <is>
          <t>Igen</t>
        </is>
      </c>
      <c r="F22" s="4" t="inlineStr">
        <is>
          <t>Cserép alá – vízfelfogás, gurulós alátét</t>
        </is>
      </c>
      <c r="G22" s="4" t="inlineStr">
        <is>
          <t>Kategórialeírás (természetes említés)</t>
        </is>
      </c>
    </row>
    <row r="23">
      <c r="A23" s="7" t="n">
        <v>17</v>
      </c>
      <c r="B23" s="7" t="inlineStr">
        <is>
          <t>gurulós alátét</t>
        </is>
      </c>
      <c r="C23" s="8" t="n">
        <v>30</v>
      </c>
      <c r="D23" s="7" t="inlineStr">
        <is>
          <t>Laza</t>
        </is>
      </c>
      <c r="E23" s="7" t="inlineStr">
        <is>
          <t>Igen</t>
        </is>
      </c>
      <c r="F23" s="7" t="inlineStr">
        <is>
          <t>Cserép alá – vízfelfogás, gurulós alátét</t>
        </is>
      </c>
      <c r="G23" s="7" t="inlineStr">
        <is>
          <t>Kategórialeírás (természetes említés)</t>
        </is>
      </c>
    </row>
    <row r="24">
      <c r="A24" s="7" t="n">
        <v>18</v>
      </c>
      <c r="B24" s="7" t="inlineStr">
        <is>
          <t>guruló virágtartó</t>
        </is>
      </c>
      <c r="C24" s="8" t="n">
        <v>30</v>
      </c>
      <c r="D24" s="7" t="inlineStr">
        <is>
          <t>Laza</t>
        </is>
      </c>
      <c r="E24" s="7" t="inlineStr">
        <is>
          <t>Igen</t>
        </is>
      </c>
      <c r="F24" s="7" t="inlineStr">
        <is>
          <t>Cserép alá – vízfelfogás, gurulós alátét</t>
        </is>
      </c>
      <c r="G24" s="7" t="inlineStr">
        <is>
          <t>Kategórialeírás (természetes említés)</t>
        </is>
      </c>
    </row>
    <row r="25">
      <c r="A25" s="4" t="n">
        <v>19</v>
      </c>
      <c r="B25" s="4" t="inlineStr">
        <is>
          <t>műanyag virágcserép alátét</t>
        </is>
      </c>
      <c r="C25" s="5" t="n">
        <v>20</v>
      </c>
      <c r="D25" s="4" t="inlineStr">
        <is>
          <t>Szoros</t>
        </is>
      </c>
      <c r="E25" s="4" t="inlineStr">
        <is>
          <t>Igen</t>
        </is>
      </c>
      <c r="F25" s="4" t="inlineStr">
        <is>
          <t>Cserép alá – vízfelfogás, gurulós alátét</t>
        </is>
      </c>
      <c r="G25" s="4" t="inlineStr">
        <is>
          <t>Kategórialeírás (természetes említés)</t>
        </is>
      </c>
    </row>
    <row r="26">
      <c r="A26" s="4" t="n">
        <v>20</v>
      </c>
      <c r="B26" s="4" t="inlineStr">
        <is>
          <t>cserépalátét 70 cm</t>
        </is>
      </c>
      <c r="C26" s="5" t="n">
        <v>10</v>
      </c>
      <c r="D26" s="4" t="inlineStr">
        <is>
          <t>Szoros</t>
        </is>
      </c>
      <c r="E26" s="4" t="inlineStr">
        <is>
          <t>Igen</t>
        </is>
      </c>
      <c r="F26" s="4" t="inlineStr">
        <is>
          <t>Cserép alá – vízfelfogás, gurulós alátét</t>
        </is>
      </c>
      <c r="G26" s="4" t="inlineStr">
        <is>
          <t>Kategórialeírás (természetes említés)</t>
        </is>
      </c>
    </row>
    <row r="27">
      <c r="A27" s="4" t="n">
        <v>21</v>
      </c>
      <c r="B27" s="4" t="inlineStr">
        <is>
          <t>műanyag virágláda alátét</t>
        </is>
      </c>
      <c r="C27" s="5" t="n">
        <v>10</v>
      </c>
      <c r="D27" s="4" t="inlineStr">
        <is>
          <t>Szoros</t>
        </is>
      </c>
      <c r="E27" s="4" t="inlineStr">
        <is>
          <t>Igen</t>
        </is>
      </c>
      <c r="F27" s="4" t="inlineStr">
        <is>
          <t>Cserép alá – vízfelfogás, gurulós alátét</t>
        </is>
      </c>
      <c r="G27" s="4" t="inlineStr">
        <is>
          <t>Kategórialeírás (természetes említés)</t>
        </is>
      </c>
    </row>
    <row r="28">
      <c r="A28" s="4" t="n">
        <v>22</v>
      </c>
      <c r="B28" s="4" t="inlineStr">
        <is>
          <t>gurulós virágcserép alátét</t>
        </is>
      </c>
      <c r="C28" s="5" t="n">
        <v>10</v>
      </c>
      <c r="D28" s="4" t="inlineStr">
        <is>
          <t>Szoros</t>
        </is>
      </c>
      <c r="E28" s="4" t="inlineStr">
        <is>
          <t>Igen</t>
        </is>
      </c>
      <c r="F28" s="4" t="inlineStr">
        <is>
          <t>Cserép alá – vízfelfogás, gurulós alátét</t>
        </is>
      </c>
      <c r="G28" s="4" t="inlineStr">
        <is>
          <t>Kategórialeírás (természetes említés)</t>
        </is>
      </c>
    </row>
    <row r="29">
      <c r="A29" s="4" t="n">
        <v>23</v>
      </c>
      <c r="B29" s="4" t="inlineStr">
        <is>
          <t>virágcserép alátét méretek</t>
        </is>
      </c>
      <c r="C29" s="5" t="n">
        <v>10</v>
      </c>
      <c r="D29" s="4" t="inlineStr">
        <is>
          <t>Szoros</t>
        </is>
      </c>
      <c r="E29" s="4" t="inlineStr">
        <is>
          <t>Igen</t>
        </is>
      </c>
      <c r="F29" s="4" t="inlineStr">
        <is>
          <t>Cserép alá – vízfelfogás, gurulós alátét</t>
        </is>
      </c>
      <c r="G29" s="4" t="inlineStr">
        <is>
          <t>Leírás alsó része, GYIK vagy blog</t>
        </is>
      </c>
    </row>
    <row r="30">
      <c r="B30" s="10" t="inlineStr">
        <is>
          <t>Összesen (érdemes rá oldal = Igen):</t>
        </is>
      </c>
      <c r="C30" s="23">
        <f>SUMIFS(C7:C29,E7:E29,"Igen")</f>
        <v/>
      </c>
    </row>
    <row r="32">
      <c r="A32" s="10" t="inlineStr">
        <is>
          <t>Termékek a jelenlegi kínálatból: 40 db (elsődleges + másodlagos hozzárendelés; egy termék több kategóriában is szerepelhet)</t>
        </is>
      </c>
    </row>
    <row r="33">
      <c r="A33" s="3" t="inlineStr">
        <is>
          <t>#</t>
        </is>
      </c>
      <c r="B33" s="3" t="inlineStr">
        <is>
          <t>Termékkód</t>
        </is>
      </c>
      <c r="C33" s="3" t="inlineStr">
        <is>
          <t>Terméknév</t>
        </is>
      </c>
      <c r="D33" s="3" t="inlineStr">
        <is>
          <t>Hozzárendelés</t>
        </is>
      </c>
      <c r="E33" s="3" t="inlineStr">
        <is>
          <t>Illeszkedés</t>
        </is>
      </c>
      <c r="F33" s="3" t="inlineStr">
        <is>
          <t>Megjegyzés</t>
        </is>
      </c>
    </row>
    <row r="34">
      <c r="A34" s="4" t="n">
        <v>1</v>
      </c>
      <c r="B34" s="4" t="inlineStr">
        <is>
          <t>GRO1049</t>
        </is>
      </c>
      <c r="C34" s="4" t="inlineStr">
        <is>
          <t>Szögletes műanyag virágcserép alátét 16 x 16 cm</t>
        </is>
      </c>
      <c r="D34" s="4" t="inlineStr">
        <is>
          <t>Elsődleges</t>
        </is>
      </c>
      <c r="E34" s="4" t="inlineStr">
        <is>
          <t>Erős</t>
        </is>
      </c>
      <c r="F34" s="4" t="inlineStr">
        <is>
          <t>Szögletes cserépalátét</t>
        </is>
      </c>
    </row>
    <row r="35">
      <c r="A35" s="4" t="n">
        <v>2</v>
      </c>
      <c r="B35" s="4" t="inlineStr">
        <is>
          <t>GRO1184</t>
        </is>
      </c>
      <c r="C35" s="4" t="inlineStr">
        <is>
          <t>Szögletes műanyag virágcserép alátét 13,5 x 13,5 cm</t>
        </is>
      </c>
      <c r="D35" s="4" t="inlineStr">
        <is>
          <t>Elsődleges</t>
        </is>
      </c>
      <c r="E35" s="4" t="inlineStr">
        <is>
          <t>Erős</t>
        </is>
      </c>
      <c r="F35" s="4" t="inlineStr">
        <is>
          <t>Szögletes cserépalátét</t>
        </is>
      </c>
    </row>
    <row r="36">
      <c r="A36" s="4" t="n">
        <v>3</v>
      </c>
      <c r="B36" s="4" t="inlineStr">
        <is>
          <t>GRO1185</t>
        </is>
      </c>
      <c r="C36" s="4" t="inlineStr">
        <is>
          <t>Szögletes műanyag virágcserép alátét 14 x 14 cm</t>
        </is>
      </c>
      <c r="D36" s="4" t="inlineStr">
        <is>
          <t>Elsődleges</t>
        </is>
      </c>
      <c r="E36" s="4" t="inlineStr">
        <is>
          <t>Erős</t>
        </is>
      </c>
      <c r="F36" s="4" t="inlineStr">
        <is>
          <t>Szögletes cserépalátét</t>
        </is>
      </c>
    </row>
    <row r="37">
      <c r="A37" s="4" t="n">
        <v>4</v>
      </c>
      <c r="B37" s="4" t="inlineStr">
        <is>
          <t>GRO1190</t>
        </is>
      </c>
      <c r="C37" s="4" t="inlineStr">
        <is>
          <t>Szögletes műanyag virágcserép alátét 24 x 24 cm</t>
        </is>
      </c>
      <c r="D37" s="4" t="inlineStr">
        <is>
          <t>Elsődleges</t>
        </is>
      </c>
      <c r="E37" s="4" t="inlineStr">
        <is>
          <t>Erős</t>
        </is>
      </c>
      <c r="F37" s="4" t="inlineStr">
        <is>
          <t>Szögletes cserépalátét</t>
        </is>
      </c>
    </row>
    <row r="38">
      <c r="A38" s="4" t="n">
        <v>5</v>
      </c>
      <c r="B38" s="4" t="inlineStr">
        <is>
          <t>GRO1262</t>
        </is>
      </c>
      <c r="C38" s="4" t="inlineStr">
        <is>
          <t>Szögletes műanyag virágcserép alátét 25 x 25 cm</t>
        </is>
      </c>
      <c r="D38" s="4" t="inlineStr">
        <is>
          <t>Elsődleges</t>
        </is>
      </c>
      <c r="E38" s="4" t="inlineStr">
        <is>
          <t>Erős</t>
        </is>
      </c>
      <c r="F38" s="4" t="inlineStr">
        <is>
          <t>Szögletes cserépalátét</t>
        </is>
      </c>
    </row>
    <row r="39">
      <c r="A39" s="4" t="n">
        <v>6</v>
      </c>
      <c r="B39" s="4" t="inlineStr">
        <is>
          <t>GRO1813</t>
        </is>
      </c>
      <c r="C39" s="4" t="inlineStr">
        <is>
          <t>Szögletes műanyag virágcserép alátét 10,5 x 10,5 cm</t>
        </is>
      </c>
      <c r="D39" s="4" t="inlineStr">
        <is>
          <t>Elsődleges</t>
        </is>
      </c>
      <c r="E39" s="4" t="inlineStr">
        <is>
          <t>Erős</t>
        </is>
      </c>
      <c r="F39" s="4" t="inlineStr">
        <is>
          <t>Szögletes cserépalátét</t>
        </is>
      </c>
    </row>
    <row r="40">
      <c r="A40" s="4" t="n">
        <v>7</v>
      </c>
      <c r="B40" s="4" t="inlineStr">
        <is>
          <t>GRO1814</t>
        </is>
      </c>
      <c r="C40" s="4" t="inlineStr">
        <is>
          <t>Szögletes műanyag virágcserép alátét 19.5x19.5</t>
        </is>
      </c>
      <c r="D40" s="4" t="inlineStr">
        <is>
          <t>Elsődleges</t>
        </is>
      </c>
      <c r="E40" s="4" t="inlineStr">
        <is>
          <t>Erős</t>
        </is>
      </c>
      <c r="F40" s="4" t="inlineStr">
        <is>
          <t>Szögletes cserépalátét</t>
        </is>
      </c>
    </row>
    <row r="41">
      <c r="A41" s="4" t="n">
        <v>8</v>
      </c>
      <c r="B41" s="4" t="inlineStr">
        <is>
          <t>GRO2105</t>
        </is>
      </c>
      <c r="C41" s="4" t="inlineStr">
        <is>
          <t>Szögletes műanyag virágcserép alátét 17.5x17.5</t>
        </is>
      </c>
      <c r="D41" s="4" t="inlineStr">
        <is>
          <t>Elsődleges</t>
        </is>
      </c>
      <c r="E41" s="4" t="inlineStr">
        <is>
          <t>Erős</t>
        </is>
      </c>
      <c r="F41" s="4" t="inlineStr">
        <is>
          <t>Szögletes cserépalátét</t>
        </is>
      </c>
    </row>
    <row r="42">
      <c r="A42" s="4" t="n">
        <v>9</v>
      </c>
      <c r="B42" s="4" t="inlineStr">
        <is>
          <t>GRO2106</t>
        </is>
      </c>
      <c r="C42" s="4" t="inlineStr">
        <is>
          <t>Szögletes műanyag virágcserép alátét 20,5 x 20,5 cm</t>
        </is>
      </c>
      <c r="D42" s="4" t="inlineStr">
        <is>
          <t>Elsődleges</t>
        </is>
      </c>
      <c r="E42" s="4" t="inlineStr">
        <is>
          <t>Erős</t>
        </is>
      </c>
      <c r="F42" s="4" t="inlineStr">
        <is>
          <t>Szögletes cserépalátét</t>
        </is>
      </c>
    </row>
    <row r="43">
      <c r="A43" s="4" t="n">
        <v>10</v>
      </c>
      <c r="B43" s="4" t="inlineStr">
        <is>
          <t>GRO3717</t>
        </is>
      </c>
      <c r="C43" s="4" t="inlineStr">
        <is>
          <t>Kerek műanyag virágcserép alátét</t>
        </is>
      </c>
      <c r="D43" s="4" t="inlineStr">
        <is>
          <t>Elsődleges</t>
        </is>
      </c>
      <c r="E43" s="4" t="inlineStr">
        <is>
          <t>Erős</t>
        </is>
      </c>
      <c r="F43" s="4" t="inlineStr">
        <is>
          <t>Kerek cserépalátét</t>
        </is>
      </c>
    </row>
    <row r="44">
      <c r="A44" s="7" t="n">
        <v>11</v>
      </c>
      <c r="B44" s="7" t="inlineStr">
        <is>
          <t>GRO4298</t>
        </is>
      </c>
      <c r="C44" s="7" t="inlineStr">
        <is>
          <t>AC Infinity Víztartályos alátét 4 db 3,7 L (19 L szövetcseréphez)</t>
        </is>
      </c>
      <c r="D44" s="7" t="inlineStr">
        <is>
          <t>Elsődleges</t>
        </is>
      </c>
      <c r="E44" s="7" t="inlineStr">
        <is>
          <t>Laza</t>
        </is>
      </c>
      <c r="F44" s="7" t="inlineStr">
        <is>
          <t>Víztartályos (önöntöző) alátét szövetcseréphez</t>
        </is>
      </c>
    </row>
    <row r="45">
      <c r="A45" s="4" t="n">
        <v>12</v>
      </c>
      <c r="B45" s="4" t="inlineStr">
        <is>
          <t>GRO4408</t>
        </is>
      </c>
      <c r="C45" s="4" t="inlineStr">
        <is>
          <t>Cserépalátét univerzális tálca 72x50 cm</t>
        </is>
      </c>
      <c r="D45" s="4" t="inlineStr">
        <is>
          <t>Elsődleges</t>
        </is>
      </c>
      <c r="E45" s="4" t="inlineStr">
        <is>
          <t>Erős</t>
        </is>
      </c>
      <c r="F45" s="4" t="inlineStr">
        <is>
          <t>Univerzális alátéttálca</t>
        </is>
      </c>
    </row>
    <row r="46">
      <c r="A46" s="4" t="n">
        <v>13</v>
      </c>
      <c r="B46" s="4" t="inlineStr">
        <is>
          <t>GRO4654</t>
        </is>
      </c>
      <c r="C46" s="4" t="inlineStr">
        <is>
          <t>Kerek cserépalátét fekete, 18 cm átmérővel</t>
        </is>
      </c>
      <c r="D46" s="4" t="inlineStr">
        <is>
          <t>Elsődleges</t>
        </is>
      </c>
      <c r="E46" s="4" t="inlineStr">
        <is>
          <t>Erős</t>
        </is>
      </c>
      <c r="F46" s="4" t="inlineStr">
        <is>
          <t>Kerek cserépalátét</t>
        </is>
      </c>
    </row>
    <row r="47">
      <c r="A47" s="4" t="n">
        <v>14</v>
      </c>
      <c r="B47" s="4" t="inlineStr">
        <is>
          <t>GRO4655</t>
        </is>
      </c>
      <c r="C47" s="4" t="inlineStr">
        <is>
          <t>Kerek cserépalátét, fekete, 20 cm átmérő</t>
        </is>
      </c>
      <c r="D47" s="4" t="inlineStr">
        <is>
          <t>Elsődleges</t>
        </is>
      </c>
      <c r="E47" s="4" t="inlineStr">
        <is>
          <t>Erős</t>
        </is>
      </c>
      <c r="F47" s="4" t="inlineStr">
        <is>
          <t>Kerek cserépalátét</t>
        </is>
      </c>
    </row>
    <row r="48">
      <c r="A48" s="4" t="n">
        <v>15</v>
      </c>
      <c r="B48" s="4" t="inlineStr">
        <is>
          <t>GRO4656</t>
        </is>
      </c>
      <c r="C48" s="4" t="inlineStr">
        <is>
          <t>Kerek cserépalátét, fekete, 30 cm átmérő</t>
        </is>
      </c>
      <c r="D48" s="4" t="inlineStr">
        <is>
          <t>Elsődleges</t>
        </is>
      </c>
      <c r="E48" s="4" t="inlineStr">
        <is>
          <t>Erős</t>
        </is>
      </c>
      <c r="F48" s="4" t="inlineStr">
        <is>
          <t>Kerek cserépalátét</t>
        </is>
      </c>
    </row>
    <row r="49">
      <c r="A49" s="4" t="n">
        <v>16</v>
      </c>
      <c r="B49" s="4" t="inlineStr">
        <is>
          <t>GRO4659</t>
        </is>
      </c>
      <c r="C49" s="4" t="inlineStr">
        <is>
          <t>Fekete kerek cserépalátét, 35 cm átmérő</t>
        </is>
      </c>
      <c r="D49" s="4" t="inlineStr">
        <is>
          <t>Elsődleges</t>
        </is>
      </c>
      <c r="E49" s="4" t="inlineStr">
        <is>
          <t>Erős</t>
        </is>
      </c>
      <c r="F49" s="4" t="inlineStr">
        <is>
          <t>Kerek cserépalátét</t>
        </is>
      </c>
    </row>
    <row r="50">
      <c r="A50" s="4" t="n">
        <v>17</v>
      </c>
      <c r="B50" s="4" t="inlineStr">
        <is>
          <t>GRO1462</t>
        </is>
      </c>
      <c r="C50" s="4" t="inlineStr">
        <is>
          <t>Garland tálca (12 cm magas) M</t>
        </is>
      </c>
      <c r="D50" s="4" t="inlineStr">
        <is>
          <t>Másodlagos</t>
        </is>
      </c>
      <c r="E50" s="4" t="inlineStr">
        <is>
          <t>Erős</t>
        </is>
      </c>
      <c r="F50" s="4" t="inlineStr">
        <is>
          <t>Garland tálca (5–15 cm perem)</t>
        </is>
      </c>
    </row>
    <row r="51">
      <c r="A51" s="4" t="n">
        <v>18</v>
      </c>
      <c r="B51" s="4" t="inlineStr">
        <is>
          <t>GRO1463</t>
        </is>
      </c>
      <c r="C51" s="4" t="inlineStr">
        <is>
          <t>Garland Titan tálca 100 x 55 x 15 cm, 65 literes, újrahasznosított polipropilén</t>
        </is>
      </c>
      <c r="D51" s="4" t="inlineStr">
        <is>
          <t>Másodlagos</t>
        </is>
      </c>
      <c r="E51" s="4" t="inlineStr">
        <is>
          <t>Erős</t>
        </is>
      </c>
      <c r="F51" s="4" t="inlineStr">
        <is>
          <t>Garland tálca (5–15 cm perem)</t>
        </is>
      </c>
    </row>
    <row r="52">
      <c r="A52" s="4" t="n">
        <v>19</v>
      </c>
      <c r="B52" s="4" t="inlineStr">
        <is>
          <t>GRO1906</t>
        </is>
      </c>
      <c r="C52" s="4" t="inlineStr">
        <is>
          <t>Garland Square négyzetes tálca 59 x 59 x 7 cm (M), fröccsöntött polipropilén</t>
        </is>
      </c>
      <c r="D52" s="4" t="inlineStr">
        <is>
          <t>Másodlagos</t>
        </is>
      </c>
      <c r="E52" s="4" t="inlineStr">
        <is>
          <t>Erős</t>
        </is>
      </c>
      <c r="F52" s="4" t="inlineStr">
        <is>
          <t>Garland tálca (5–15 cm perem)</t>
        </is>
      </c>
    </row>
    <row r="53">
      <c r="A53" s="4" t="n">
        <v>20</v>
      </c>
      <c r="B53" s="4" t="inlineStr">
        <is>
          <t>GRO1907</t>
        </is>
      </c>
      <c r="C53" s="4" t="inlineStr">
        <is>
          <t>Garland Giant tálca 110 x 55 x 5 cm, hosszúkás, fröccsöntött polipropilén</t>
        </is>
      </c>
      <c r="D53" s="4" t="inlineStr">
        <is>
          <t>Másodlagos</t>
        </is>
      </c>
      <c r="E53" s="4" t="inlineStr">
        <is>
          <t>Erős</t>
        </is>
      </c>
      <c r="F53" s="4" t="inlineStr">
        <is>
          <t>Garland tálca (5–15 cm perem)</t>
        </is>
      </c>
    </row>
    <row r="54">
      <c r="A54" s="4" t="n">
        <v>21</v>
      </c>
      <c r="B54" s="4" t="inlineStr">
        <is>
          <t>GRO1908</t>
        </is>
      </c>
      <c r="C54" s="4" t="inlineStr">
        <is>
          <t>Garland tálca (12 cm magas) L</t>
        </is>
      </c>
      <c r="D54" s="4" t="inlineStr">
        <is>
          <t>Másodlagos</t>
        </is>
      </c>
      <c r="E54" s="4" t="inlineStr">
        <is>
          <t>Erős</t>
        </is>
      </c>
      <c r="F54" s="4" t="inlineStr">
        <is>
          <t>Garland tálca (5–15 cm perem)</t>
        </is>
      </c>
    </row>
    <row r="55">
      <c r="A55" s="4" t="n">
        <v>22</v>
      </c>
      <c r="B55" s="4" t="inlineStr">
        <is>
          <t>GRO1909</t>
        </is>
      </c>
      <c r="C55" s="4" t="inlineStr">
        <is>
          <t>Garland tálca 5 cm magas peremmel, XS méret, fröccsöntött polipropilén</t>
        </is>
      </c>
      <c r="D55" s="4" t="inlineStr">
        <is>
          <t>Másodlagos</t>
        </is>
      </c>
      <c r="E55" s="4" t="inlineStr">
        <is>
          <t>Erős</t>
        </is>
      </c>
      <c r="F55" s="4" t="inlineStr">
        <is>
          <t>Garland tálca (5–15 cm perem)</t>
        </is>
      </c>
    </row>
    <row r="56">
      <c r="A56" s="4" t="n">
        <v>23</v>
      </c>
      <c r="B56" s="4" t="inlineStr">
        <is>
          <t>GRO1910</t>
        </is>
      </c>
      <c r="C56" s="4" t="inlineStr">
        <is>
          <t>Garland tálca 5 cm magas peremmel, S méret, fröccsöntött polipropilén</t>
        </is>
      </c>
      <c r="D56" s="4" t="inlineStr">
        <is>
          <t>Másodlagos</t>
        </is>
      </c>
      <c r="E56" s="4" t="inlineStr">
        <is>
          <t>Erős</t>
        </is>
      </c>
      <c r="F56" s="4" t="inlineStr">
        <is>
          <t>Garland tálca (5–15 cm perem)</t>
        </is>
      </c>
    </row>
    <row r="57">
      <c r="A57" s="4" t="n">
        <v>24</v>
      </c>
      <c r="B57" s="4" t="inlineStr">
        <is>
          <t>GRO1911</t>
        </is>
      </c>
      <c r="C57" s="4" t="inlineStr">
        <is>
          <t>Garland tálca 5 cm magas peremmel, XXL méret, fröccsöntött polipropilén</t>
        </is>
      </c>
      <c r="D57" s="4" t="inlineStr">
        <is>
          <t>Másodlagos</t>
        </is>
      </c>
      <c r="E57" s="4" t="inlineStr">
        <is>
          <t>Erős</t>
        </is>
      </c>
      <c r="F57" s="4" t="inlineStr">
        <is>
          <t>Garland tálca (5–15 cm perem)</t>
        </is>
      </c>
    </row>
    <row r="58">
      <c r="A58" s="4" t="n">
        <v>25</v>
      </c>
      <c r="B58" s="4" t="inlineStr">
        <is>
          <t>GRO1912</t>
        </is>
      </c>
      <c r="C58" s="4" t="inlineStr">
        <is>
          <t>Garland tálca (5 cm magas) Garland tálca M (prémium)</t>
        </is>
      </c>
      <c r="D58" s="4" t="inlineStr">
        <is>
          <t>Másodlagos</t>
        </is>
      </c>
      <c r="E58" s="4" t="inlineStr">
        <is>
          <t>Erős</t>
        </is>
      </c>
      <c r="F58" s="4" t="inlineStr">
        <is>
          <t>Garland tálca (5–15 cm perem)</t>
        </is>
      </c>
    </row>
    <row r="59">
      <c r="A59" s="4" t="n">
        <v>26</v>
      </c>
      <c r="B59" s="4" t="inlineStr">
        <is>
          <t>GRO3138</t>
        </is>
      </c>
      <c r="C59" s="4" t="inlineStr">
        <is>
          <t>Garland tálca 12 cm magas peremmel, S méret, fröccsöntött polipropilén</t>
        </is>
      </c>
      <c r="D59" s="4" t="inlineStr">
        <is>
          <t>Másodlagos</t>
        </is>
      </c>
      <c r="E59" s="4" t="inlineStr">
        <is>
          <t>Erős</t>
        </is>
      </c>
      <c r="F59" s="4" t="inlineStr">
        <is>
          <t>Garland tálca (5–15 cm perem)</t>
        </is>
      </c>
    </row>
    <row r="60">
      <c r="A60" s="4" t="n">
        <v>27</v>
      </c>
      <c r="B60" s="4" t="inlineStr">
        <is>
          <t>GRO3773</t>
        </is>
      </c>
      <c r="C60" s="4" t="inlineStr">
        <is>
          <t>Garland tálca (7 cm magas) S</t>
        </is>
      </c>
      <c r="D60" s="4" t="inlineStr">
        <is>
          <t>Másodlagos</t>
        </is>
      </c>
      <c r="E60" s="4" t="inlineStr">
        <is>
          <t>Erős</t>
        </is>
      </c>
      <c r="F60" s="4" t="inlineStr">
        <is>
          <t>Garland tálca (5–15 cm perem)</t>
        </is>
      </c>
    </row>
    <row r="61">
      <c r="A61" s="4" t="n">
        <v>28</v>
      </c>
      <c r="B61" s="4" t="inlineStr">
        <is>
          <t>GRO3774</t>
        </is>
      </c>
      <c r="C61" s="4" t="inlineStr">
        <is>
          <t>Garland tálca (7 cm magas) S (lyukakkal)</t>
        </is>
      </c>
      <c r="D61" s="4" t="inlineStr">
        <is>
          <t>Másodlagos</t>
        </is>
      </c>
      <c r="E61" s="4" t="inlineStr">
        <is>
          <t>Erős</t>
        </is>
      </c>
      <c r="F61" s="4" t="inlineStr">
        <is>
          <t>Garland tálca (5–15 cm perem)</t>
        </is>
      </c>
    </row>
    <row r="62">
      <c r="A62" s="4" t="n">
        <v>29</v>
      </c>
      <c r="B62" s="4" t="inlineStr">
        <is>
          <t>GRO3775</t>
        </is>
      </c>
      <c r="C62" s="4" t="inlineStr">
        <is>
          <t>Garland tálca (5 cm magas) XL</t>
        </is>
      </c>
      <c r="D62" s="4" t="inlineStr">
        <is>
          <t>Másodlagos</t>
        </is>
      </c>
      <c r="E62" s="4" t="inlineStr">
        <is>
          <t>Erős</t>
        </is>
      </c>
      <c r="F62" s="4" t="inlineStr">
        <is>
          <t>Garland tálca (5–15 cm perem)</t>
        </is>
      </c>
    </row>
    <row r="63">
      <c r="A63" s="4" t="n">
        <v>30</v>
      </c>
      <c r="B63" s="4" t="inlineStr">
        <is>
          <t>GRO3776</t>
        </is>
      </c>
      <c r="C63" s="4" t="inlineStr">
        <is>
          <t>Garland tálca (5 cm magas) L</t>
        </is>
      </c>
      <c r="D63" s="4" t="inlineStr">
        <is>
          <t>Másodlagos</t>
        </is>
      </c>
      <c r="E63" s="4" t="inlineStr">
        <is>
          <t>Erős</t>
        </is>
      </c>
      <c r="F63" s="4" t="inlineStr">
        <is>
          <t>Garland tálca (5–15 cm perem)</t>
        </is>
      </c>
    </row>
    <row r="64">
      <c r="A64" s="4" t="n">
        <v>31</v>
      </c>
      <c r="B64" s="4" t="inlineStr">
        <is>
          <t>GRO3777</t>
        </is>
      </c>
      <c r="C64" s="4" t="inlineStr">
        <is>
          <t>Garland tálca (5 cm magas) XXXL</t>
        </is>
      </c>
      <c r="D64" s="4" t="inlineStr">
        <is>
          <t>Másodlagos</t>
        </is>
      </c>
      <c r="E64" s="4" t="inlineStr">
        <is>
          <t>Erős</t>
        </is>
      </c>
      <c r="F64" s="4" t="inlineStr">
        <is>
          <t>Garland tálca (5–15 cm perem)</t>
        </is>
      </c>
    </row>
    <row r="65">
      <c r="A65" s="7" t="n">
        <v>32</v>
      </c>
      <c r="B65" s="7" t="inlineStr">
        <is>
          <t>GRO4349</t>
        </is>
      </c>
      <c r="C65" s="7" t="inlineStr">
        <is>
          <t>Garland Seed keskeny tálca lyukakkal 37x13,5x6 cm</t>
        </is>
      </c>
      <c r="D65" s="7" t="inlineStr">
        <is>
          <t>Másodlagos</t>
        </is>
      </c>
      <c r="E65" s="7" t="inlineStr">
        <is>
          <t>Laza</t>
        </is>
      </c>
      <c r="F65" s="7" t="inlineStr">
        <is>
          <t>Garland Seed / Mini tálca – cserépalátétként is</t>
        </is>
      </c>
    </row>
    <row r="66">
      <c r="A66" s="7" t="n">
        <v>33</v>
      </c>
      <c r="B66" s="7" t="inlineStr">
        <is>
          <t>GRO4350</t>
        </is>
      </c>
      <c r="C66" s="7" t="inlineStr">
        <is>
          <t>Garland Seed keskeny tálca cserépalátét 37x13,5x6 cm</t>
        </is>
      </c>
      <c r="D66" s="7" t="inlineStr">
        <is>
          <t>Másodlagos</t>
        </is>
      </c>
      <c r="E66" s="7" t="inlineStr">
        <is>
          <t>Laza</t>
        </is>
      </c>
      <c r="F66" s="7" t="inlineStr">
        <is>
          <t>Garland Seed / Mini tálca – cserépalátétként is</t>
        </is>
      </c>
    </row>
    <row r="67">
      <c r="A67" s="7" t="n">
        <v>34</v>
      </c>
      <c r="B67" s="7" t="inlineStr">
        <is>
          <t>GRO4351</t>
        </is>
      </c>
      <c r="C67" s="7" t="inlineStr">
        <is>
          <t>Garland Standard Seed tálca cserépalátét lyukakkal 37,5x23x6 cm</t>
        </is>
      </c>
      <c r="D67" s="7" t="inlineStr">
        <is>
          <t>Másodlagos</t>
        </is>
      </c>
      <c r="E67" s="7" t="inlineStr">
        <is>
          <t>Laza</t>
        </is>
      </c>
      <c r="F67" s="7" t="inlineStr">
        <is>
          <t>Garland Seed / Mini tálca – cserépalátétként is</t>
        </is>
      </c>
    </row>
    <row r="68">
      <c r="A68" s="7" t="n">
        <v>35</v>
      </c>
      <c r="B68" s="7" t="inlineStr">
        <is>
          <t>GRO4352</t>
        </is>
      </c>
      <c r="C68" s="7" t="inlineStr">
        <is>
          <t>Garland Midi Garden tálca cserépalátét 37,5x23x6 cm</t>
        </is>
      </c>
      <c r="D68" s="7" t="inlineStr">
        <is>
          <t>Másodlagos</t>
        </is>
      </c>
      <c r="E68" s="7" t="inlineStr">
        <is>
          <t>Laza</t>
        </is>
      </c>
      <c r="F68" s="7" t="inlineStr">
        <is>
          <t>Garland Seed / Mini tálca – cserépalátétként is</t>
        </is>
      </c>
    </row>
    <row r="69">
      <c r="A69" s="7" t="n">
        <v>36</v>
      </c>
      <c r="B69" s="7" t="inlineStr">
        <is>
          <t>GRO4608</t>
        </is>
      </c>
      <c r="C69" s="7" t="inlineStr">
        <is>
          <t>Garland Seed vékonyfalú tálca cserépalátét 5 db 37x23,5x5 cm</t>
        </is>
      </c>
      <c r="D69" s="7" t="inlineStr">
        <is>
          <t>Másodlagos</t>
        </is>
      </c>
      <c r="E69" s="7" t="inlineStr">
        <is>
          <t>Laza</t>
        </is>
      </c>
      <c r="F69" s="7" t="inlineStr">
        <is>
          <t>Garland Seed / Mini tálca – cserépalátétként is</t>
        </is>
      </c>
    </row>
    <row r="70">
      <c r="A70" s="7" t="n">
        <v>37</v>
      </c>
      <c r="B70" s="7" t="inlineStr">
        <is>
          <t>GRO4610</t>
        </is>
      </c>
      <c r="C70" s="7" t="inlineStr">
        <is>
          <t>Garland vékony falú tálca cserépalátét kapilláris szőnyeggel 55x31x3 cm</t>
        </is>
      </c>
      <c r="D70" s="7" t="inlineStr">
        <is>
          <t>Másodlagos</t>
        </is>
      </c>
      <c r="E70" s="7" t="inlineStr">
        <is>
          <t>Laza</t>
        </is>
      </c>
      <c r="F70" s="7" t="inlineStr">
        <is>
          <t>Garland Seed / Mini tálca – cserépalátétként is</t>
        </is>
      </c>
    </row>
    <row r="71">
      <c r="A71" s="7" t="n">
        <v>38</v>
      </c>
      <c r="B71" s="7" t="inlineStr">
        <is>
          <t>GRO4612</t>
        </is>
      </c>
      <c r="C71" s="7" t="inlineStr">
        <is>
          <t>Garland Seed Mini tálca cserépalátét lyukakkal 7x10x5 cm</t>
        </is>
      </c>
      <c r="D71" s="7" t="inlineStr">
        <is>
          <t>Másodlagos</t>
        </is>
      </c>
      <c r="E71" s="7" t="inlineStr">
        <is>
          <t>Laza</t>
        </is>
      </c>
      <c r="F71" s="7" t="inlineStr">
        <is>
          <t>Garland Seed / Mini tálca – cserépalátétként is</t>
        </is>
      </c>
    </row>
    <row r="72">
      <c r="A72" s="7" t="n">
        <v>39</v>
      </c>
      <c r="B72" s="7" t="inlineStr">
        <is>
          <t>GRO4615</t>
        </is>
      </c>
      <c r="C72" s="7" t="inlineStr">
        <is>
          <t>Garland Seed Small tálca lyukakkal cserépalátét 23x17x6 cm</t>
        </is>
      </c>
      <c r="D72" s="7" t="inlineStr">
        <is>
          <t>Másodlagos</t>
        </is>
      </c>
      <c r="E72" s="7" t="inlineStr">
        <is>
          <t>Laza</t>
        </is>
      </c>
      <c r="F72" s="7" t="inlineStr">
        <is>
          <t>Garland Seed / Mini tálca – cserépalátétként is</t>
        </is>
      </c>
    </row>
    <row r="73">
      <c r="A73" s="7" t="n">
        <v>40</v>
      </c>
      <c r="B73" s="7" t="inlineStr">
        <is>
          <t>GRO4616</t>
        </is>
      </c>
      <c r="C73" s="7" t="inlineStr">
        <is>
          <t>Garland Mini tálca cserépalátét 23x17x6 cm</t>
        </is>
      </c>
      <c r="D73" s="7" t="inlineStr">
        <is>
          <t>Másodlagos</t>
        </is>
      </c>
      <c r="E73" s="7" t="inlineStr">
        <is>
          <t>Laza</t>
        </is>
      </c>
      <c r="F73" s="7" t="inlineStr">
        <is>
          <t>Garland Seed / Mini tálca – cserépalátétként is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0" customWidth="1" min="3" max="3"/>
    <col width="22" customWidth="1" min="4" max="4"/>
    <col width="16" customWidth="1" min="5" max="5"/>
    <col width="40" customWidth="1" min="6" max="6"/>
    <col width="40" customWidth="1" min="7" max="7"/>
  </cols>
  <sheetData>
    <row r="1">
      <c r="A1" s="1" t="inlineStr">
        <is>
          <t>Műanyag tálca, árapály asztal  –  fő kulcsszó: „nagyméretű műanyag tálca”</t>
        </is>
      </c>
    </row>
    <row r="2">
      <c r="A2" s="2" t="inlineStr">
        <is>
          <t>Felhasználási terület: Gyűjtőtálca termesztősátorba, árapály (ebb &amp; flow) rendszer</t>
        </is>
      </c>
    </row>
    <row r="3">
      <c r="A3" s="2" t="inlineStr">
        <is>
          <t>Megjegyzés: A „gyűjtőtálca”, „növénytálca”, „cserép tálca” kifejezésekre nincs mérhető keresés. A „tálcák” (1000) konyhai, a „csepptálca” (210) és a „kármentő tálca” (480) klíma / ipari. A „szaporító / palántanevelő tálca” a Palántanevelő ágé, a „mikrozöld tálca” a Mikrozöld termesztésé.</t>
        </is>
      </c>
    </row>
    <row r="4">
      <c r="A4" s="2" t="inlineStr">
        <is>
          <t>Felvett releváns kulcsszavak: 21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7" t="n">
        <v>1</v>
      </c>
      <c r="B7" s="7" t="inlineStr">
        <is>
          <t>nagyméretű műanyag tálca</t>
        </is>
      </c>
      <c r="C7" s="8" t="n">
        <v>140</v>
      </c>
      <c r="D7" s="7" t="inlineStr">
        <is>
          <t>Laza</t>
        </is>
      </c>
      <c r="E7" s="7" t="inlineStr">
        <is>
          <t>Igen</t>
        </is>
      </c>
      <c r="F7" s="7" t="inlineStr">
        <is>
          <t>Gyűjtőtálca termesztősátorba, árapály (ebb &amp; flow) rendszer</t>
        </is>
      </c>
      <c r="G7" s="7" t="inlineStr">
        <is>
          <t>Kategórianév + H1 + SEO title (fő kulcsszó)</t>
        </is>
      </c>
    </row>
    <row r="8">
      <c r="A8" s="11" t="n">
        <v>2</v>
      </c>
      <c r="B8" s="11" t="inlineStr">
        <is>
          <t>tálcák</t>
        </is>
      </c>
      <c r="C8" s="21" t="n">
        <v>1000</v>
      </c>
      <c r="D8" s="11" t="inlineStr">
        <is>
          <t>Laza</t>
        </is>
      </c>
      <c r="E8" s="11" t="inlineStr">
        <is>
          <t>Nem</t>
        </is>
      </c>
      <c r="F8" s="11" t="inlineStr">
        <is>
          <t>Gyűjtőtálca termesztősátorba, árapály (ebb &amp; flow) rendszer</t>
        </is>
      </c>
      <c r="G8" s="11" t="inlineStr">
        <is>
          <t>Nem célozni külön oldallal (max. említés)</t>
        </is>
      </c>
    </row>
    <row r="9">
      <c r="A9" s="7" t="n">
        <v>3</v>
      </c>
      <c r="B9" s="7" t="inlineStr">
        <is>
          <t>műanyag tálca</t>
        </is>
      </c>
      <c r="C9" s="8" t="n">
        <v>590</v>
      </c>
      <c r="D9" s="7" t="inlineStr">
        <is>
          <t>Laza</t>
        </is>
      </c>
      <c r="E9" s="7" t="inlineStr">
        <is>
          <t>Igen</t>
        </is>
      </c>
      <c r="F9" s="7" t="inlineStr">
        <is>
          <t>Gyűjtőtálca termesztősátorba, árapály (ebb &amp; flow) rendszer</t>
        </is>
      </c>
      <c r="G9" s="7" t="inlineStr">
        <is>
          <t>SEO title / H1 / bevezető (másodlagos)</t>
        </is>
      </c>
    </row>
    <row r="10">
      <c r="A10" s="11" t="n">
        <v>4</v>
      </c>
      <c r="B10" s="11" t="inlineStr">
        <is>
          <t>kármentő tálca</t>
        </is>
      </c>
      <c r="C10" s="21" t="n">
        <v>480</v>
      </c>
      <c r="D10" s="11" t="inlineStr">
        <is>
          <t>Laza</t>
        </is>
      </c>
      <c r="E10" s="11" t="inlineStr">
        <is>
          <t>Nem</t>
        </is>
      </c>
      <c r="F10" s="11" t="inlineStr">
        <is>
          <t>Gyűjtőtálca termesztősátorba, árapály (ebb &amp; flow) rendszer</t>
        </is>
      </c>
      <c r="G10" s="11" t="inlineStr">
        <is>
          <t>Nem célozni külön oldallal (max. említés)</t>
        </is>
      </c>
    </row>
    <row r="11">
      <c r="A11" s="11" t="n">
        <v>5</v>
      </c>
      <c r="B11" s="11" t="inlineStr">
        <is>
          <t>szaporító tálca</t>
        </is>
      </c>
      <c r="C11" s="21" t="n">
        <v>320</v>
      </c>
      <c r="D11" s="11" t="inlineStr">
        <is>
          <t>Laza</t>
        </is>
      </c>
      <c r="E11" s="11" t="inlineStr">
        <is>
          <t>Nem</t>
        </is>
      </c>
      <c r="F11" s="11" t="inlineStr">
        <is>
          <t>Gyűjtőtálca termesztősátorba, árapály (ebb &amp; flow) rendszer</t>
        </is>
      </c>
      <c r="G11" s="11" t="inlineStr">
        <is>
          <t>Nem célozni külön oldallal (max. említés)</t>
        </is>
      </c>
    </row>
    <row r="12">
      <c r="A12" s="11" t="n">
        <v>6</v>
      </c>
      <c r="B12" s="11" t="inlineStr">
        <is>
          <t>csepptálca</t>
        </is>
      </c>
      <c r="C12" s="21" t="n">
        <v>210</v>
      </c>
      <c r="D12" s="11" t="inlineStr">
        <is>
          <t>Laza</t>
        </is>
      </c>
      <c r="E12" s="11" t="inlineStr">
        <is>
          <t>Nem</t>
        </is>
      </c>
      <c r="F12" s="11" t="inlineStr">
        <is>
          <t>Gyűjtőtálca termesztősátorba, árapály (ebb &amp; flow) rendszer</t>
        </is>
      </c>
      <c r="G12" s="11" t="inlineStr">
        <is>
          <t>Nem célozni külön oldallal (max. említés)</t>
        </is>
      </c>
    </row>
    <row r="13">
      <c r="A13" s="4" t="n">
        <v>7</v>
      </c>
      <c r="B13" s="4" t="inlineStr">
        <is>
          <t>ebb and flow</t>
        </is>
      </c>
      <c r="C13" s="5" t="n">
        <v>70</v>
      </c>
      <c r="D13" s="4" t="inlineStr">
        <is>
          <t>Szoros</t>
        </is>
      </c>
      <c r="E13" s="4" t="inlineStr">
        <is>
          <t>Igen</t>
        </is>
      </c>
      <c r="F13" s="4" t="inlineStr">
        <is>
          <t>Gyűjtőtálca termesztősátorba, árapály (ebb &amp; flow) rendszer</t>
        </is>
      </c>
      <c r="G13" s="4" t="inlineStr">
        <is>
          <t>SEO title / H1 / bevezető (másodlagos)</t>
        </is>
      </c>
    </row>
    <row r="14">
      <c r="A14" s="7" t="n">
        <v>8</v>
      </c>
      <c r="B14" s="7" t="inlineStr">
        <is>
          <t>műanyag csepegtető tálca</t>
        </is>
      </c>
      <c r="C14" s="8" t="n">
        <v>70</v>
      </c>
      <c r="D14" s="7" t="inlineStr">
        <is>
          <t>Laza</t>
        </is>
      </c>
      <c r="E14" s="7" t="inlineStr">
        <is>
          <t>Igen</t>
        </is>
      </c>
      <c r="F14" s="7" t="inlineStr">
        <is>
          <t>Gyűjtőtálca termesztősátorba, árapály (ebb &amp; flow) rendszer</t>
        </is>
      </c>
      <c r="G14" s="7" t="inlineStr">
        <is>
          <t>Kategórialeírás (természetes említés)</t>
        </is>
      </c>
    </row>
    <row r="15">
      <c r="A15" s="4" t="n">
        <v>9</v>
      </c>
      <c r="B15" s="4" t="inlineStr">
        <is>
          <t>árapály asztal</t>
        </is>
      </c>
      <c r="C15" s="5" t="n">
        <v>50</v>
      </c>
      <c r="D15" s="4" t="inlineStr">
        <is>
          <t>Szoros</t>
        </is>
      </c>
      <c r="E15" s="4" t="inlineStr">
        <is>
          <t>Igen</t>
        </is>
      </c>
      <c r="F15" s="4" t="inlineStr">
        <is>
          <t>Gyűjtőtálca termesztősátorba, árapály (ebb &amp; flow) rendszer</t>
        </is>
      </c>
      <c r="G15" s="4" t="inlineStr">
        <is>
          <t>SEO title / H1 / bevezető (másodlagos)</t>
        </is>
      </c>
    </row>
    <row r="16">
      <c r="A16" s="7" t="n">
        <v>10</v>
      </c>
      <c r="B16" s="7" t="inlineStr">
        <is>
          <t>műanyag kármentő tálca</t>
        </is>
      </c>
      <c r="C16" s="8" t="n">
        <v>50</v>
      </c>
      <c r="D16" s="7" t="inlineStr">
        <is>
          <t>Laza</t>
        </is>
      </c>
      <c r="E16" s="7" t="inlineStr">
        <is>
          <t>Igen</t>
        </is>
      </c>
      <c r="F16" s="7" t="inlineStr">
        <is>
          <t>Gyűjtőtálca termesztősátorba, árapály (ebb &amp; flow) rendszer</t>
        </is>
      </c>
      <c r="G16" s="7" t="inlineStr">
        <is>
          <t>Kategórialeírás (természetes említés)</t>
        </is>
      </c>
    </row>
    <row r="17">
      <c r="A17" s="12" t="n">
        <v>11</v>
      </c>
      <c r="B17" s="12" t="inlineStr">
        <is>
          <t>műanyag tálca obi</t>
        </is>
      </c>
      <c r="C17" s="22" t="n">
        <v>50</v>
      </c>
      <c r="D17" s="12" t="inlineStr">
        <is>
          <t>Nincs (áruházi / nem vásárlási szándék)</t>
        </is>
      </c>
      <c r="E17" s="12" t="inlineStr">
        <is>
          <t>Nem – kizárandó</t>
        </is>
      </c>
      <c r="F17" s="12" t="inlineStr">
        <is>
          <t>Gyűjtőtálca termesztősátorba, árapály (ebb &amp; flow) rendszer</t>
        </is>
      </c>
      <c r="G17" s="12" t="inlineStr">
        <is>
          <t>Nem használni (áruházi/nem vásárlási szándék)</t>
        </is>
      </c>
    </row>
    <row r="18">
      <c r="A18" s="7" t="n">
        <v>12</v>
      </c>
      <c r="B18" s="7" t="inlineStr">
        <is>
          <t>nagy műanyag tálca</t>
        </is>
      </c>
      <c r="C18" s="8" t="n">
        <v>40</v>
      </c>
      <c r="D18" s="7" t="inlineStr">
        <is>
          <t>Laza</t>
        </is>
      </c>
      <c r="E18" s="7" t="inlineStr">
        <is>
          <t>Igen</t>
        </is>
      </c>
      <c r="F18" s="7" t="inlineStr">
        <is>
          <t>Gyűjtőtálca termesztősátorba, árapály (ebb &amp; flow) rendszer</t>
        </is>
      </c>
      <c r="G18" s="7" t="inlineStr">
        <is>
          <t>Kategórialeírás (természetes említés)</t>
        </is>
      </c>
    </row>
    <row r="19">
      <c r="A19" s="7" t="n">
        <v>13</v>
      </c>
      <c r="B19" s="7" t="inlineStr">
        <is>
          <t>kármentő tálca műanyag</t>
        </is>
      </c>
      <c r="C19" s="8" t="n">
        <v>40</v>
      </c>
      <c r="D19" s="7" t="inlineStr">
        <is>
          <t>Laza</t>
        </is>
      </c>
      <c r="E19" s="7" t="inlineStr">
        <is>
          <t>Igen</t>
        </is>
      </c>
      <c r="F19" s="7" t="inlineStr">
        <is>
          <t>Gyűjtőtálca termesztősátorba, árapály (ebb &amp; flow) rendszer</t>
        </is>
      </c>
      <c r="G19" s="7" t="inlineStr">
        <is>
          <t>Kategórialeírás (természetes említés)</t>
        </is>
      </c>
    </row>
    <row r="20">
      <c r="A20" s="4" t="n">
        <v>14</v>
      </c>
      <c r="B20" s="4" t="inlineStr">
        <is>
          <t>árapály asztal eladó</t>
        </is>
      </c>
      <c r="C20" s="5" t="n">
        <v>30</v>
      </c>
      <c r="D20" s="4" t="inlineStr">
        <is>
          <t>Szoros</t>
        </is>
      </c>
      <c r="E20" s="4" t="inlineStr">
        <is>
          <t>Igen</t>
        </is>
      </c>
      <c r="F20" s="4" t="inlineStr">
        <is>
          <t>Gyűjtőtálca termesztősátorba, árapály (ebb &amp; flow) rendszer</t>
        </is>
      </c>
      <c r="G20" s="4" t="inlineStr">
        <is>
          <t>Kategórialeírás (természetes említés)</t>
        </is>
      </c>
    </row>
    <row r="21">
      <c r="A21" s="4" t="n">
        <v>15</v>
      </c>
      <c r="B21" s="4" t="inlineStr">
        <is>
          <t>termesztő tálca</t>
        </is>
      </c>
      <c r="C21" s="5" t="n">
        <v>30</v>
      </c>
      <c r="D21" s="4" t="inlineStr">
        <is>
          <t>Szoros</t>
        </is>
      </c>
      <c r="E21" s="4" t="inlineStr">
        <is>
          <t>Igen</t>
        </is>
      </c>
      <c r="F21" s="4" t="inlineStr">
        <is>
          <t>Gyűjtőtálca termesztősátorba, árapály (ebb &amp; flow) rendszer</t>
        </is>
      </c>
      <c r="G21" s="4" t="inlineStr">
        <is>
          <t>Kategórialeírás (természetes említés)</t>
        </is>
      </c>
    </row>
    <row r="22">
      <c r="A22" s="7" t="n">
        <v>16</v>
      </c>
      <c r="B22" s="7" t="inlineStr">
        <is>
          <t>fekete műanyag tálca</t>
        </is>
      </c>
      <c r="C22" s="8" t="n">
        <v>30</v>
      </c>
      <c r="D22" s="7" t="inlineStr">
        <is>
          <t>Laza</t>
        </is>
      </c>
      <c r="E22" s="7" t="inlineStr">
        <is>
          <t>Igen</t>
        </is>
      </c>
      <c r="F22" s="7" t="inlineStr">
        <is>
          <t>Gyűjtőtálca termesztősátorba, árapály (ebb &amp; flow) rendszer</t>
        </is>
      </c>
      <c r="G22" s="7" t="inlineStr">
        <is>
          <t>Kategórialeírás (természetes említés)</t>
        </is>
      </c>
    </row>
    <row r="23">
      <c r="A23" s="7" t="n">
        <v>17</v>
      </c>
      <c r="B23" s="7" t="inlineStr">
        <is>
          <t>kerek műanyag tálca</t>
        </is>
      </c>
      <c r="C23" s="8" t="n">
        <v>30</v>
      </c>
      <c r="D23" s="7" t="inlineStr">
        <is>
          <t>Laza</t>
        </is>
      </c>
      <c r="E23" s="7" t="inlineStr">
        <is>
          <t>Igen</t>
        </is>
      </c>
      <c r="F23" s="7" t="inlineStr">
        <is>
          <t>Gyűjtőtálca termesztősátorba, árapály (ebb &amp; flow) rendszer</t>
        </is>
      </c>
      <c r="G23" s="7" t="inlineStr">
        <is>
          <t>Kategórialeírás (természetes említés)</t>
        </is>
      </c>
    </row>
    <row r="24">
      <c r="A24" s="4" t="n">
        <v>18</v>
      </c>
      <c r="B24" s="4" t="inlineStr">
        <is>
          <t>növény tálca</t>
        </is>
      </c>
      <c r="C24" s="5" t="n">
        <v>20</v>
      </c>
      <c r="D24" s="4" t="inlineStr">
        <is>
          <t>Szoros</t>
        </is>
      </c>
      <c r="E24" s="4" t="inlineStr">
        <is>
          <t>Igen</t>
        </is>
      </c>
      <c r="F24" s="4" t="inlineStr">
        <is>
          <t>Gyűjtőtálca termesztősátorba, árapály (ebb &amp; flow) rendszer</t>
        </is>
      </c>
      <c r="G24" s="4" t="inlineStr">
        <is>
          <t>Kategórialeírás (természetes említés)</t>
        </is>
      </c>
    </row>
    <row r="25">
      <c r="A25" s="4" t="n">
        <v>19</v>
      </c>
      <c r="B25" s="4" t="inlineStr">
        <is>
          <t>vízgyűjtő tálca</t>
        </is>
      </c>
      <c r="C25" s="5" t="n">
        <v>20</v>
      </c>
      <c r="D25" s="4" t="inlineStr">
        <is>
          <t>Szoros</t>
        </is>
      </c>
      <c r="E25" s="4" t="inlineStr">
        <is>
          <t>Igen</t>
        </is>
      </c>
      <c r="F25" s="4" t="inlineStr">
        <is>
          <t>Gyűjtőtálca termesztősátorba, árapály (ebb &amp; flow) rendszer</t>
        </is>
      </c>
      <c r="G25" s="4" t="inlineStr">
        <is>
          <t>Kategórialeírás (természetes említés)</t>
        </is>
      </c>
    </row>
    <row r="26">
      <c r="A26" s="7" t="n">
        <v>20</v>
      </c>
      <c r="B26" s="7" t="inlineStr">
        <is>
          <t>csepegtető tálca műanyag</t>
        </is>
      </c>
      <c r="C26" s="8" t="n">
        <v>20</v>
      </c>
      <c r="D26" s="7" t="inlineStr">
        <is>
          <t>Laza</t>
        </is>
      </c>
      <c r="E26" s="7" t="inlineStr">
        <is>
          <t>Igen</t>
        </is>
      </c>
      <c r="F26" s="7" t="inlineStr">
        <is>
          <t>Gyűjtőtálca termesztősátorba, árapály (ebb &amp; flow) rendszer</t>
        </is>
      </c>
      <c r="G26" s="7" t="inlineStr">
        <is>
          <t>Kategórialeírás (természetes említés)</t>
        </is>
      </c>
    </row>
    <row r="27">
      <c r="A27" s="4" t="n">
        <v>21</v>
      </c>
      <c r="B27" s="4" t="inlineStr">
        <is>
          <t>kerti tálca</t>
        </is>
      </c>
      <c r="C27" s="5" t="n">
        <v>10</v>
      </c>
      <c r="D27" s="4" t="inlineStr">
        <is>
          <t>Szoros</t>
        </is>
      </c>
      <c r="E27" s="4" t="inlineStr">
        <is>
          <t>Igen</t>
        </is>
      </c>
      <c r="F27" s="4" t="inlineStr">
        <is>
          <t>Gyűjtőtálca termesztősátorba, árapály (ebb &amp; flow) rendszer</t>
        </is>
      </c>
      <c r="G27" s="4" t="inlineStr">
        <is>
          <t>Kategórialeírás (természetes említés)</t>
        </is>
      </c>
    </row>
    <row r="28">
      <c r="B28" s="10" t="inlineStr">
        <is>
          <t>Összesen (érdemes rá oldal = Igen):</t>
        </is>
      </c>
      <c r="C28" s="23">
        <f>SUMIFS(C7:C27,E7:E27,"Igen")</f>
        <v/>
      </c>
    </row>
    <row r="30">
      <c r="A30" s="10" t="inlineStr">
        <is>
          <t>Termékek a jelenlegi kínálatból: 36 db (elsődleges + másodlagos hozzárendelés; egy termék több kategóriában is szerepelhet)</t>
        </is>
      </c>
    </row>
    <row r="31">
      <c r="A31" s="3" t="inlineStr">
        <is>
          <t>#</t>
        </is>
      </c>
      <c r="B31" s="3" t="inlineStr">
        <is>
          <t>Termékkód</t>
        </is>
      </c>
      <c r="C31" s="3" t="inlineStr">
        <is>
          <t>Terméknév</t>
        </is>
      </c>
      <c r="D31" s="3" t="inlineStr">
        <is>
          <t>Hozzárendelés</t>
        </is>
      </c>
      <c r="E31" s="3" t="inlineStr">
        <is>
          <t>Illeszkedés</t>
        </is>
      </c>
      <c r="F31" s="3" t="inlineStr">
        <is>
          <t>Megjegyzés</t>
        </is>
      </c>
    </row>
    <row r="32">
      <c r="A32" s="4" t="n">
        <v>1</v>
      </c>
      <c r="B32" s="4" t="inlineStr">
        <is>
          <t>GRO0054</t>
        </is>
      </c>
      <c r="C32" s="4" t="inlineStr">
        <is>
          <t>Dán tálca apály-dagály alátét 106 x 33 cm árasztásos rendszerhez</t>
        </is>
      </c>
      <c r="D32" s="4" t="inlineStr">
        <is>
          <t>Elsődleges</t>
        </is>
      </c>
      <c r="E32" s="4" t="inlineStr">
        <is>
          <t>Erős</t>
        </is>
      </c>
      <c r="F32" s="4" t="inlineStr">
        <is>
          <t>Dán tálca – apály-dagály (árapály) rendszer</t>
        </is>
      </c>
    </row>
    <row r="33">
      <c r="A33" s="4" t="n">
        <v>2</v>
      </c>
      <c r="B33" s="4" t="inlineStr">
        <is>
          <t>GRO0056</t>
        </is>
      </c>
      <c r="C33" s="4" t="inlineStr">
        <is>
          <t>Dán tálca apály-dagály alátét 106 x 102 cm árasztásos rendszerhez</t>
        </is>
      </c>
      <c r="D33" s="4" t="inlineStr">
        <is>
          <t>Elsődleges</t>
        </is>
      </c>
      <c r="E33" s="4" t="inlineStr">
        <is>
          <t>Erős</t>
        </is>
      </c>
      <c r="F33" s="4" t="inlineStr">
        <is>
          <t>Dán tálca – apály-dagály (árapály) rendszer</t>
        </is>
      </c>
    </row>
    <row r="34">
      <c r="A34" s="4" t="n">
        <v>3</v>
      </c>
      <c r="B34" s="4" t="inlineStr">
        <is>
          <t>GRO0057</t>
        </is>
      </c>
      <c r="C34" s="4" t="inlineStr">
        <is>
          <t>Dán tálca apály-dagály alátét 106 x 202 cm árasztásos rendszerhez</t>
        </is>
      </c>
      <c r="D34" s="4" t="inlineStr">
        <is>
          <t>Elsődleges</t>
        </is>
      </c>
      <c r="E34" s="4" t="inlineStr">
        <is>
          <t>Erős</t>
        </is>
      </c>
      <c r="F34" s="4" t="inlineStr">
        <is>
          <t>Dán tálca – apály-dagály (árapály) rendszer</t>
        </is>
      </c>
    </row>
    <row r="35">
      <c r="A35" s="4" t="n">
        <v>4</v>
      </c>
      <c r="B35" s="4" t="inlineStr">
        <is>
          <t>GRO1417</t>
        </is>
      </c>
      <c r="C35" s="4" t="inlineStr">
        <is>
          <t>Dán tálca apály-dagály alátét 106 x 63 cm árasztásos rendszerhez</t>
        </is>
      </c>
      <c r="D35" s="4" t="inlineStr">
        <is>
          <t>Elsődleges</t>
        </is>
      </c>
      <c r="E35" s="4" t="inlineStr">
        <is>
          <t>Erős</t>
        </is>
      </c>
      <c r="F35" s="4" t="inlineStr">
        <is>
          <t>Dán tálca – apály-dagály (árapály) rendszer</t>
        </is>
      </c>
    </row>
    <row r="36">
      <c r="A36" s="4" t="n">
        <v>5</v>
      </c>
      <c r="B36" s="4" t="inlineStr">
        <is>
          <t>GRO1462</t>
        </is>
      </c>
      <c r="C36" s="4" t="inlineStr">
        <is>
          <t>Garland tálca (12 cm magas) M</t>
        </is>
      </c>
      <c r="D36" s="4" t="inlineStr">
        <is>
          <t>Elsődleges</t>
        </is>
      </c>
      <c r="E36" s="4" t="inlineStr">
        <is>
          <t>Erős</t>
        </is>
      </c>
      <c r="F36" s="4" t="inlineStr">
        <is>
          <t>Garland tálca (5–15 cm perem)</t>
        </is>
      </c>
    </row>
    <row r="37">
      <c r="A37" s="4" t="n">
        <v>6</v>
      </c>
      <c r="B37" s="4" t="inlineStr">
        <is>
          <t>GRO1463</t>
        </is>
      </c>
      <c r="C37" s="4" t="inlineStr">
        <is>
          <t>Garland Titan tálca 100 x 55 x 15 cm, 65 literes, újrahasznosított polipropilén</t>
        </is>
      </c>
      <c r="D37" s="4" t="inlineStr">
        <is>
          <t>Elsődleges</t>
        </is>
      </c>
      <c r="E37" s="4" t="inlineStr">
        <is>
          <t>Erős</t>
        </is>
      </c>
      <c r="F37" s="4" t="inlineStr">
        <is>
          <t>Garland tálca (5–15 cm perem)</t>
        </is>
      </c>
    </row>
    <row r="38">
      <c r="A38" s="7" t="n">
        <v>7</v>
      </c>
      <c r="B38" s="7" t="inlineStr">
        <is>
          <t>GRO1817</t>
        </is>
      </c>
      <c r="C38" s="7" t="inlineStr">
        <is>
          <t>Dán tálca kiegészítő leeresztő szűrő a 106 x 202 cm-es apály-dagály tálcához</t>
        </is>
      </c>
      <c r="D38" s="7" t="inlineStr">
        <is>
          <t>Elsődleges</t>
        </is>
      </c>
      <c r="E38" s="7" t="inlineStr">
        <is>
          <t>Laza</t>
        </is>
      </c>
      <c r="F38" s="7" t="inlineStr">
        <is>
          <t>Dán tálca kiegészítő</t>
        </is>
      </c>
    </row>
    <row r="39">
      <c r="A39" s="4" t="n">
        <v>8</v>
      </c>
      <c r="B39" s="4" t="inlineStr">
        <is>
          <t>GRO1906</t>
        </is>
      </c>
      <c r="C39" s="4" t="inlineStr">
        <is>
          <t>Garland Square négyzetes tálca 59 x 59 x 7 cm (M), fröccsöntött polipropilén</t>
        </is>
      </c>
      <c r="D39" s="4" t="inlineStr">
        <is>
          <t>Elsődleges</t>
        </is>
      </c>
      <c r="E39" s="4" t="inlineStr">
        <is>
          <t>Erős</t>
        </is>
      </c>
      <c r="F39" s="4" t="inlineStr">
        <is>
          <t>Garland tálca (5–15 cm perem)</t>
        </is>
      </c>
    </row>
    <row r="40">
      <c r="A40" s="4" t="n">
        <v>9</v>
      </c>
      <c r="B40" s="4" t="inlineStr">
        <is>
          <t>GRO1907</t>
        </is>
      </c>
      <c r="C40" s="4" t="inlineStr">
        <is>
          <t>Garland Giant tálca 110 x 55 x 5 cm, hosszúkás, fröccsöntött polipropilén</t>
        </is>
      </c>
      <c r="D40" s="4" t="inlineStr">
        <is>
          <t>Elsődleges</t>
        </is>
      </c>
      <c r="E40" s="4" t="inlineStr">
        <is>
          <t>Erős</t>
        </is>
      </c>
      <c r="F40" s="4" t="inlineStr">
        <is>
          <t>Garland tálca (5–15 cm perem)</t>
        </is>
      </c>
    </row>
    <row r="41">
      <c r="A41" s="4" t="n">
        <v>10</v>
      </c>
      <c r="B41" s="4" t="inlineStr">
        <is>
          <t>GRO1908</t>
        </is>
      </c>
      <c r="C41" s="4" t="inlineStr">
        <is>
          <t>Garland tálca (12 cm magas) L</t>
        </is>
      </c>
      <c r="D41" s="4" t="inlineStr">
        <is>
          <t>Elsődleges</t>
        </is>
      </c>
      <c r="E41" s="4" t="inlineStr">
        <is>
          <t>Erős</t>
        </is>
      </c>
      <c r="F41" s="4" t="inlineStr">
        <is>
          <t>Garland tálca (5–15 cm perem)</t>
        </is>
      </c>
    </row>
    <row r="42">
      <c r="A42" s="4" t="n">
        <v>11</v>
      </c>
      <c r="B42" s="4" t="inlineStr">
        <is>
          <t>GRO1909</t>
        </is>
      </c>
      <c r="C42" s="4" t="inlineStr">
        <is>
          <t>Garland tálca 5 cm magas peremmel, XS méret, fröccsöntött polipropilén</t>
        </is>
      </c>
      <c r="D42" s="4" t="inlineStr">
        <is>
          <t>Elsődleges</t>
        </is>
      </c>
      <c r="E42" s="4" t="inlineStr">
        <is>
          <t>Erős</t>
        </is>
      </c>
      <c r="F42" s="4" t="inlineStr">
        <is>
          <t>Garland tálca (5–15 cm perem)</t>
        </is>
      </c>
    </row>
    <row r="43">
      <c r="A43" s="4" t="n">
        <v>12</v>
      </c>
      <c r="B43" s="4" t="inlineStr">
        <is>
          <t>GRO1910</t>
        </is>
      </c>
      <c r="C43" s="4" t="inlineStr">
        <is>
          <t>Garland tálca 5 cm magas peremmel, S méret, fröccsöntött polipropilén</t>
        </is>
      </c>
      <c r="D43" s="4" t="inlineStr">
        <is>
          <t>Elsődleges</t>
        </is>
      </c>
      <c r="E43" s="4" t="inlineStr">
        <is>
          <t>Erős</t>
        </is>
      </c>
      <c r="F43" s="4" t="inlineStr">
        <is>
          <t>Garland tálca (5–15 cm perem)</t>
        </is>
      </c>
    </row>
    <row r="44">
      <c r="A44" s="4" t="n">
        <v>13</v>
      </c>
      <c r="B44" s="4" t="inlineStr">
        <is>
          <t>GRO1911</t>
        </is>
      </c>
      <c r="C44" s="4" t="inlineStr">
        <is>
          <t>Garland tálca 5 cm magas peremmel, XXL méret, fröccsöntött polipropilén</t>
        </is>
      </c>
      <c r="D44" s="4" t="inlineStr">
        <is>
          <t>Elsődleges</t>
        </is>
      </c>
      <c r="E44" s="4" t="inlineStr">
        <is>
          <t>Erős</t>
        </is>
      </c>
      <c r="F44" s="4" t="inlineStr">
        <is>
          <t>Garland tálca (5–15 cm perem)</t>
        </is>
      </c>
    </row>
    <row r="45">
      <c r="A45" s="4" t="n">
        <v>14</v>
      </c>
      <c r="B45" s="4" t="inlineStr">
        <is>
          <t>GRO1912</t>
        </is>
      </c>
      <c r="C45" s="4" t="inlineStr">
        <is>
          <t>Garland tálca (5 cm magas) Garland tálca M (prémium)</t>
        </is>
      </c>
      <c r="D45" s="4" t="inlineStr">
        <is>
          <t>Elsődleges</t>
        </is>
      </c>
      <c r="E45" s="4" t="inlineStr">
        <is>
          <t>Erős</t>
        </is>
      </c>
      <c r="F45" s="4" t="inlineStr">
        <is>
          <t>Garland tálca (5–15 cm perem)</t>
        </is>
      </c>
    </row>
    <row r="46">
      <c r="A46" s="4" t="n">
        <v>15</v>
      </c>
      <c r="B46" s="4" t="inlineStr">
        <is>
          <t>GRO2247</t>
        </is>
      </c>
      <c r="C46" s="4" t="inlineStr">
        <is>
          <t>Nutriculture Flexibilis Műanyag Tálca 120 x 120 x 10 cm</t>
        </is>
      </c>
      <c r="D46" s="4" t="inlineStr">
        <is>
          <t>Elsődleges</t>
        </is>
      </c>
      <c r="E46" s="4" t="inlineStr">
        <is>
          <t>Erős</t>
        </is>
      </c>
      <c r="F46" s="4" t="inlineStr">
        <is>
          <t>Nutriculture flexibilis tálca</t>
        </is>
      </c>
    </row>
    <row r="47">
      <c r="A47" s="4" t="n">
        <v>16</v>
      </c>
      <c r="B47" s="4" t="inlineStr">
        <is>
          <t>GRO2774</t>
        </is>
      </c>
      <c r="C47" s="4" t="inlineStr">
        <is>
          <t>Nutriculture Flexibilis Műanyag Tálca 100 x 100 x 10 cm</t>
        </is>
      </c>
      <c r="D47" s="4" t="inlineStr">
        <is>
          <t>Elsődleges</t>
        </is>
      </c>
      <c r="E47" s="4" t="inlineStr">
        <is>
          <t>Erős</t>
        </is>
      </c>
      <c r="F47" s="4" t="inlineStr">
        <is>
          <t>Nutriculture flexibilis tálca</t>
        </is>
      </c>
    </row>
    <row r="48">
      <c r="A48" s="4" t="n">
        <v>17</v>
      </c>
      <c r="B48" s="4" t="inlineStr">
        <is>
          <t>GRO3124</t>
        </is>
      </c>
      <c r="C48" s="4" t="inlineStr">
        <is>
          <t>Secret Jardin kiegészítő víztálca 100x100 cm termesztősátor aljába</t>
        </is>
      </c>
      <c r="D48" s="4" t="inlineStr">
        <is>
          <t>Elsődleges</t>
        </is>
      </c>
      <c r="E48" s="4" t="inlineStr">
        <is>
          <t>Erős</t>
        </is>
      </c>
      <c r="F48" s="4" t="inlineStr">
        <is>
          <t>Secret Jardin vízgyűjtő tálca termesztősátorba</t>
        </is>
      </c>
    </row>
    <row r="49">
      <c r="A49" s="4" t="n">
        <v>18</v>
      </c>
      <c r="B49" s="4" t="inlineStr">
        <is>
          <t>GRO3138</t>
        </is>
      </c>
      <c r="C49" s="4" t="inlineStr">
        <is>
          <t>Garland tálca 12 cm magas peremmel, S méret, fröccsöntött polipropilén</t>
        </is>
      </c>
      <c r="D49" s="4" t="inlineStr">
        <is>
          <t>Elsődleges</t>
        </is>
      </c>
      <c r="E49" s="4" t="inlineStr">
        <is>
          <t>Erős</t>
        </is>
      </c>
      <c r="F49" s="4" t="inlineStr">
        <is>
          <t>Garland tálca (5–15 cm perem)</t>
        </is>
      </c>
    </row>
    <row r="50">
      <c r="A50" s="7" t="n">
        <v>19</v>
      </c>
      <c r="B50" s="7" t="inlineStr">
        <is>
          <t>GRO3363</t>
        </is>
      </c>
      <c r="C50" s="7" t="inlineStr">
        <is>
          <t>Dán tálca kiegészítő lefolyó készlet</t>
        </is>
      </c>
      <c r="D50" s="7" t="inlineStr">
        <is>
          <t>Elsődleges</t>
        </is>
      </c>
      <c r="E50" s="7" t="inlineStr">
        <is>
          <t>Laza</t>
        </is>
      </c>
      <c r="F50" s="7" t="inlineStr">
        <is>
          <t>Dán tálca kiegészítő</t>
        </is>
      </c>
    </row>
    <row r="51">
      <c r="A51" s="4" t="n">
        <v>20</v>
      </c>
      <c r="B51" s="4" t="inlineStr">
        <is>
          <t>GRO3436</t>
        </is>
      </c>
      <c r="C51" s="4" t="inlineStr">
        <is>
          <t>Nutriculture Flexibilis Műanyag Tálca 150 x 150 x 10 cm</t>
        </is>
      </c>
      <c r="D51" s="4" t="inlineStr">
        <is>
          <t>Elsődleges</t>
        </is>
      </c>
      <c r="E51" s="4" t="inlineStr">
        <is>
          <t>Erős</t>
        </is>
      </c>
      <c r="F51" s="4" t="inlineStr">
        <is>
          <t>Nutriculture flexibilis tálca</t>
        </is>
      </c>
    </row>
    <row r="52">
      <c r="A52" s="4" t="n">
        <v>21</v>
      </c>
      <c r="B52" s="4" t="inlineStr">
        <is>
          <t>GRO3437</t>
        </is>
      </c>
      <c r="C52" s="4" t="inlineStr">
        <is>
          <t>Nutriculture flexibilis tálca 80x80x10 cm</t>
        </is>
      </c>
      <c r="D52" s="4" t="inlineStr">
        <is>
          <t>Elsődleges</t>
        </is>
      </c>
      <c r="E52" s="4" t="inlineStr">
        <is>
          <t>Erős</t>
        </is>
      </c>
      <c r="F52" s="4" t="inlineStr">
        <is>
          <t>Nutriculture flexibilis tálca</t>
        </is>
      </c>
    </row>
    <row r="53">
      <c r="A53" s="4" t="n">
        <v>22</v>
      </c>
      <c r="B53" s="4" t="inlineStr">
        <is>
          <t>GRO3773</t>
        </is>
      </c>
      <c r="C53" s="4" t="inlineStr">
        <is>
          <t>Garland tálca (7 cm magas) S</t>
        </is>
      </c>
      <c r="D53" s="4" t="inlineStr">
        <is>
          <t>Elsődleges</t>
        </is>
      </c>
      <c r="E53" s="4" t="inlineStr">
        <is>
          <t>Erős</t>
        </is>
      </c>
      <c r="F53" s="4" t="inlineStr">
        <is>
          <t>Garland tálca (5–15 cm perem)</t>
        </is>
      </c>
    </row>
    <row r="54">
      <c r="A54" s="4" t="n">
        <v>23</v>
      </c>
      <c r="B54" s="4" t="inlineStr">
        <is>
          <t>GRO3774</t>
        </is>
      </c>
      <c r="C54" s="4" t="inlineStr">
        <is>
          <t>Garland tálca (7 cm magas) S (lyukakkal)</t>
        </is>
      </c>
      <c r="D54" s="4" t="inlineStr">
        <is>
          <t>Elsődleges</t>
        </is>
      </c>
      <c r="E54" s="4" t="inlineStr">
        <is>
          <t>Erős</t>
        </is>
      </c>
      <c r="F54" s="4" t="inlineStr">
        <is>
          <t>Garland tálca (5–15 cm perem)</t>
        </is>
      </c>
    </row>
    <row r="55">
      <c r="A55" s="4" t="n">
        <v>24</v>
      </c>
      <c r="B55" s="4" t="inlineStr">
        <is>
          <t>GRO3775</t>
        </is>
      </c>
      <c r="C55" s="4" t="inlineStr">
        <is>
          <t>Garland tálca (5 cm magas) XL</t>
        </is>
      </c>
      <c r="D55" s="4" t="inlineStr">
        <is>
          <t>Elsődleges</t>
        </is>
      </c>
      <c r="E55" s="4" t="inlineStr">
        <is>
          <t>Erős</t>
        </is>
      </c>
      <c r="F55" s="4" t="inlineStr">
        <is>
          <t>Garland tálca (5–15 cm perem)</t>
        </is>
      </c>
    </row>
    <row r="56">
      <c r="A56" s="4" t="n">
        <v>25</v>
      </c>
      <c r="B56" s="4" t="inlineStr">
        <is>
          <t>GRO3776</t>
        </is>
      </c>
      <c r="C56" s="4" t="inlineStr">
        <is>
          <t>Garland tálca (5 cm magas) L</t>
        </is>
      </c>
      <c r="D56" s="4" t="inlineStr">
        <is>
          <t>Elsődleges</t>
        </is>
      </c>
      <c r="E56" s="4" t="inlineStr">
        <is>
          <t>Erős</t>
        </is>
      </c>
      <c r="F56" s="4" t="inlineStr">
        <is>
          <t>Garland tálca (5–15 cm perem)</t>
        </is>
      </c>
    </row>
    <row r="57">
      <c r="A57" s="4" t="n">
        <v>26</v>
      </c>
      <c r="B57" s="4" t="inlineStr">
        <is>
          <t>GRO3777</t>
        </is>
      </c>
      <c r="C57" s="4" t="inlineStr">
        <is>
          <t>Garland tálca (5 cm magas) XXXL</t>
        </is>
      </c>
      <c r="D57" s="4" t="inlineStr">
        <is>
          <t>Elsődleges</t>
        </is>
      </c>
      <c r="E57" s="4" t="inlineStr">
        <is>
          <t>Erős</t>
        </is>
      </c>
      <c r="F57" s="4" t="inlineStr">
        <is>
          <t>Garland tálca (5–15 cm perem)</t>
        </is>
      </c>
    </row>
    <row r="58">
      <c r="A58" s="7" t="n">
        <v>27</v>
      </c>
      <c r="B58" s="7" t="inlineStr">
        <is>
          <t>GRO4234</t>
        </is>
      </c>
      <c r="C58" s="7" t="inlineStr">
        <is>
          <t>Dán tálca kiegészítő leeresztő szűrő 3/4</t>
        </is>
      </c>
      <c r="D58" s="7" t="inlineStr">
        <is>
          <t>Elsődleges</t>
        </is>
      </c>
      <c r="E58" s="7" t="inlineStr">
        <is>
          <t>Laza</t>
        </is>
      </c>
      <c r="F58" s="7" t="inlineStr">
        <is>
          <t>Dán tálca kiegészítő</t>
        </is>
      </c>
    </row>
    <row r="59">
      <c r="A59" s="4" t="n">
        <v>28</v>
      </c>
      <c r="B59" s="4" t="inlineStr">
        <is>
          <t>GRO4667</t>
        </is>
      </c>
      <c r="C59" s="4" t="inlineStr">
        <is>
          <t>Secret Jardin vízgyűjtő tálca 40x40x8 cm growboxhoz</t>
        </is>
      </c>
      <c r="D59" s="4" t="inlineStr">
        <is>
          <t>Elsődleges</t>
        </is>
      </c>
      <c r="E59" s="4" t="inlineStr">
        <is>
          <t>Erős</t>
        </is>
      </c>
      <c r="F59" s="4" t="inlineStr">
        <is>
          <t>Secret Jardin vízgyűjtő tálca termesztősátorba</t>
        </is>
      </c>
    </row>
    <row r="60">
      <c r="A60" s="4" t="n">
        <v>29</v>
      </c>
      <c r="B60" s="4" t="inlineStr">
        <is>
          <t>GRO4668</t>
        </is>
      </c>
      <c r="C60" s="4" t="inlineStr">
        <is>
          <t>Secret Jardin vízgyűjtő tálca 60x60x8 cm growboxhoz</t>
        </is>
      </c>
      <c r="D60" s="4" t="inlineStr">
        <is>
          <t>Elsődleges</t>
        </is>
      </c>
      <c r="E60" s="4" t="inlineStr">
        <is>
          <t>Erős</t>
        </is>
      </c>
      <c r="F60" s="4" t="inlineStr">
        <is>
          <t>Secret Jardin vízgyűjtő tálca termesztősátorba</t>
        </is>
      </c>
    </row>
    <row r="61">
      <c r="A61" s="4" t="n">
        <v>30</v>
      </c>
      <c r="B61" s="4" t="inlineStr">
        <is>
          <t>GRO4669</t>
        </is>
      </c>
      <c r="C61" s="4" t="inlineStr">
        <is>
          <t>Secret Jardin vízgyűjtő tálca 80x80x8 cm growboxhoz</t>
        </is>
      </c>
      <c r="D61" s="4" t="inlineStr">
        <is>
          <t>Elsődleges</t>
        </is>
      </c>
      <c r="E61" s="4" t="inlineStr">
        <is>
          <t>Erős</t>
        </is>
      </c>
      <c r="F61" s="4" t="inlineStr">
        <is>
          <t>Secret Jardin vízgyűjtő tálca termesztősátorba</t>
        </is>
      </c>
    </row>
    <row r="62">
      <c r="A62" s="4" t="n">
        <v>31</v>
      </c>
      <c r="B62" s="4" t="inlineStr">
        <is>
          <t>GRO4670</t>
        </is>
      </c>
      <c r="C62" s="4" t="inlineStr">
        <is>
          <t>Secret Jardin vízgyűjtő tálca 100x100x8 cm growboxhoz</t>
        </is>
      </c>
      <c r="D62" s="4" t="inlineStr">
        <is>
          <t>Elsődleges</t>
        </is>
      </c>
      <c r="E62" s="4" t="inlineStr">
        <is>
          <t>Erős</t>
        </is>
      </c>
      <c r="F62" s="4" t="inlineStr">
        <is>
          <t>Secret Jardin vízgyűjtő tálca termesztősátorba</t>
        </is>
      </c>
    </row>
    <row r="63">
      <c r="A63" s="4" t="n">
        <v>32</v>
      </c>
      <c r="B63" s="4" t="inlineStr">
        <is>
          <t>GRO4671</t>
        </is>
      </c>
      <c r="C63" s="4" t="inlineStr">
        <is>
          <t>Secret Jardin vízgyűjtő tálca 120x120x8 cm growboxhoz</t>
        </is>
      </c>
      <c r="D63" s="4" t="inlineStr">
        <is>
          <t>Elsődleges</t>
        </is>
      </c>
      <c r="E63" s="4" t="inlineStr">
        <is>
          <t>Erős</t>
        </is>
      </c>
      <c r="F63" s="4" t="inlineStr">
        <is>
          <t>Secret Jardin vízgyűjtő tálca termesztősátorba</t>
        </is>
      </c>
    </row>
    <row r="64">
      <c r="A64" s="4" t="n">
        <v>33</v>
      </c>
      <c r="B64" s="4" t="inlineStr">
        <is>
          <t>GRO4672</t>
        </is>
      </c>
      <c r="C64" s="4" t="inlineStr">
        <is>
          <t>Secret Jardin vízgyűjtő tálca 150x150x8 cm growboxhoz</t>
        </is>
      </c>
      <c r="D64" s="4" t="inlineStr">
        <is>
          <t>Elsődleges</t>
        </is>
      </c>
      <c r="E64" s="4" t="inlineStr">
        <is>
          <t>Erős</t>
        </is>
      </c>
      <c r="F64" s="4" t="inlineStr">
        <is>
          <t>Secret Jardin vízgyűjtő tálca termesztősátorba</t>
        </is>
      </c>
    </row>
    <row r="65">
      <c r="A65" s="4" t="n">
        <v>34</v>
      </c>
      <c r="B65" s="4" t="inlineStr">
        <is>
          <t>GRO4673</t>
        </is>
      </c>
      <c r="C65" s="4" t="inlineStr">
        <is>
          <t>Secret Jardin vízgyűjtő tálca 120x60x8 cm growboxhoz</t>
        </is>
      </c>
      <c r="D65" s="4" t="inlineStr">
        <is>
          <t>Elsődleges</t>
        </is>
      </c>
      <c r="E65" s="4" t="inlineStr">
        <is>
          <t>Erős</t>
        </is>
      </c>
      <c r="F65" s="4" t="inlineStr">
        <is>
          <t>Secret Jardin vízgyűjtő tálca termesztősátorba</t>
        </is>
      </c>
    </row>
    <row r="66">
      <c r="A66" s="4" t="n">
        <v>35</v>
      </c>
      <c r="B66" s="4" t="inlineStr">
        <is>
          <t>GRO4674</t>
        </is>
      </c>
      <c r="C66" s="4" t="inlineStr">
        <is>
          <t>Secret Jardin vízgyűjtő tálca 240x120x8 cm growboxhoz</t>
        </is>
      </c>
      <c r="D66" s="4" t="inlineStr">
        <is>
          <t>Elsődleges</t>
        </is>
      </c>
      <c r="E66" s="4" t="inlineStr">
        <is>
          <t>Erős</t>
        </is>
      </c>
      <c r="F66" s="4" t="inlineStr">
        <is>
          <t>Secret Jardin vízgyűjtő tálca termesztősátorba</t>
        </is>
      </c>
    </row>
    <row r="67">
      <c r="A67" s="4" t="n">
        <v>36</v>
      </c>
      <c r="B67" s="4" t="inlineStr">
        <is>
          <t>GRO4408</t>
        </is>
      </c>
      <c r="C67" s="4" t="inlineStr">
        <is>
          <t>Cserépalátét univerzális tálca 72x50 cm</t>
        </is>
      </c>
      <c r="D67" s="4" t="inlineStr">
        <is>
          <t>Másodlagos</t>
        </is>
      </c>
      <c r="E67" s="4" t="inlineStr">
        <is>
          <t>Erős</t>
        </is>
      </c>
      <c r="F67" s="4" t="inlineStr">
        <is>
          <t>Univerzális alátéttálca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Gyártó- és márkanevekre érkező keresések (a gyártó szerinti szűrő / alkategória kérdéséhez)</t>
        </is>
      </c>
    </row>
    <row r="3">
      <c r="A3" s="3" t="inlineStr">
        <is>
          <t>Kulcsszó</t>
        </is>
      </c>
      <c r="B3" s="3" t="inlineStr">
        <is>
          <t>Havi keresés</t>
        </is>
      </c>
    </row>
    <row r="4">
      <c r="A4" s="2" t="inlineStr">
        <is>
          <t>airpot</t>
        </is>
      </c>
      <c r="B4" s="2" t="n">
        <v>140</v>
      </c>
    </row>
    <row r="5">
      <c r="A5" s="2" t="inlineStr">
        <is>
          <t>air pot</t>
        </is>
      </c>
      <c r="B5" s="2" t="n">
        <v>90</v>
      </c>
    </row>
    <row r="6">
      <c r="A6" s="2" t="inlineStr">
        <is>
          <t>smart pot</t>
        </is>
      </c>
      <c r="B6" s="2" t="n">
        <v>20</v>
      </c>
    </row>
    <row r="7">
      <c r="A7" s="2" t="inlineStr">
        <is>
          <t>air pot 50l</t>
        </is>
      </c>
      <c r="B7" s="2" t="n">
        <v>10</v>
      </c>
    </row>
    <row r="8">
      <c r="A8" s="2" t="inlineStr">
        <is>
          <t>air pot hydro</t>
        </is>
      </c>
      <c r="B8" s="2" t="n">
        <v>10</v>
      </c>
    </row>
    <row r="9">
      <c r="A9" s="2" t="inlineStr">
        <is>
          <t>smarpot</t>
        </is>
      </c>
      <c r="B9" s="2" t="n">
        <v>10</v>
      </c>
    </row>
    <row r="10">
      <c r="A10" s="2" t="inlineStr">
        <is>
          <t>root pouch</t>
        </is>
      </c>
      <c r="B10" s="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2026-10-14T14:13:51Z</dcterms:created>
  <dcterms:modified xmlns:dcterms="http://purl.org/dc/terms/" xmlns:xsi="http://www.w3.org/2001/XMLSchema-instance" xsi:type="dcterms:W3CDTF">2026-10-14T14:13:52Z</dcterms:modified>
</cp:coreProperties>
</file>