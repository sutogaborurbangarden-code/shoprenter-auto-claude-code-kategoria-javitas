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A fő keresési szándéko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Szárítás" sheetId="7" state="visible" r:id="rId7"/>
    <sheet xmlns:r="http://schemas.openxmlformats.org/officeDocument/2006/relationships" name="2 Trimmelő olló" sheetId="8" state="visible" r:id="rId8"/>
    <sheet xmlns:r="http://schemas.openxmlformats.org/officeDocument/2006/relationships" name="3 Trimmelő gép" sheetId="9" state="visible" r:id="rId9"/>
    <sheet xmlns:r="http://schemas.openxmlformats.org/officeDocument/2006/relationships" name="4 Páraszabályzó tasak" sheetId="10" state="visible" r:id="rId10"/>
    <sheet xmlns:r="http://schemas.openxmlformats.org/officeDocument/2006/relationships" name="5 Terpén tasak" sheetId="11" state="visible" r:id="rId11"/>
    <sheet xmlns:r="http://schemas.openxmlformats.org/officeDocument/2006/relationships" name="6 Vákuumzsák, tasak" sheetId="12" state="visible" r:id="rId12"/>
    <sheet xmlns:r="http://schemas.openxmlformats.org/officeDocument/2006/relationships" name="7 Kivonatolás" sheetId="13" state="visible" r:id="rId13"/>
    <sheet xmlns:r="http://schemas.openxmlformats.org/officeDocument/2006/relationships" name="8 Mérleg" sheetId="14" state="visible" r:id="rId14"/>
    <sheet xmlns:r="http://schemas.openxmlformats.org/officeDocument/2006/relationships" name="9 Munkaeszköz" sheetId="15" state="visible" r:id="rId15"/>
    <sheet xmlns:r="http://schemas.openxmlformats.org/officeDocument/2006/relationships" name="Gyártói kulcsszavak" sheetId="16" state="visible" r:id="rId16"/>
  </sheets>
  <definedNames>
    <definedName name="_xlnm._FilterDatabase" localSheetId="2" hidden="1">'Termékkínálat'!$A$5:$G$1554</definedName>
    <definedName name="_xlnm._FilterDatabase" localSheetId="5" hidden="1">'Összes kulcsszó'!$A$1:$I$160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FF8E1"/>
      </patternFill>
    </fill>
    <fill>
      <patternFill patternType="solid">
        <fgColor rgb="FF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4" fillId="5" borderId="0" applyAlignment="1" pivotButton="0" quotePrefix="0" xfId="0">
      <alignment vertical="top" wrapText="1"/>
    </xf>
    <xf numFmtId="3" fontId="4" fillId="5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Növényfeldolgozás, afterharvest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2026-10-15/16. Hely: Magyarország, nyelv: magyar, hálózat: Google Keresés. A számok kerekített lépcsős havi átlagok. Termékek: élő kínálat = Google Shopping-feed, elmúlt 30 nap (1525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Szárítóháló, növényszárító</t>
        </is>
      </c>
      <c r="B5" s="4" t="inlineStr">
        <is>
          <t>szárítóháló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1. lépés – szárítás: függő szárítóháló (több szintes), szárítóháló-szűrő</t>
        </is>
      </c>
      <c r="H5" s="6" t="inlineStr">
        <is>
          <t>2. szint (folyamat-sorrend: szárítás → trimmelés → érlelés / tárolás → kivonatolás)</t>
        </is>
      </c>
    </row>
    <row r="6">
      <c r="A6" s="4" t="inlineStr">
        <is>
          <t>Trimmelő olló</t>
        </is>
      </c>
      <c r="B6" s="4" t="inlineStr">
        <is>
          <t>trimmelő olló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Kézi trimmelő olló (egyenes / ívelt, rugós, Saboten, AC Infinity), ollóélező</t>
        </is>
      </c>
      <c r="H6" s="6" t="inlineStr">
        <is>
          <t>3. szint a „Trimmelés” alatt</t>
        </is>
      </c>
    </row>
    <row r="7">
      <c r="A7" s="7" t="inlineStr">
        <is>
          <t>Trimmelő gép, trimmelő tál</t>
        </is>
      </c>
      <c r="B7" s="7" t="inlineStr">
        <is>
          <t>trimmelő gép</t>
        </is>
      </c>
      <c r="C7" s="8">
        <f>SUMIFS('Összes kulcsszó'!$E:$E,'Összes kulcsszó'!$A:$A,A7,'Összes kulcsszó'!$C:$C,B7)</f>
        <v/>
      </c>
      <c r="D7" s="8">
        <f>SUMIFS('Összes kulcsszó'!$E:$E,'Összes kulcsszó'!$A:$A,A7,'Összes kulcsszó'!$G:$G,"Igen")</f>
        <v/>
      </c>
      <c r="E7" s="7" t="inlineStr">
        <is>
          <t>Laza</t>
        </is>
      </c>
      <c r="F7" s="7" t="inlineStr">
        <is>
          <t>Igen</t>
        </is>
      </c>
      <c r="G7" s="7" t="inlineStr">
        <is>
          <t>Kézi és motoros trimmelő tál / gép, trimmelő asztal, trimmelő zsák</t>
        </is>
      </c>
      <c r="H7" s="9" t="inlineStr">
        <is>
          <t>3. szint a „Trimmelés” alatt</t>
        </is>
      </c>
    </row>
    <row r="8">
      <c r="A8" s="4" t="inlineStr">
        <is>
          <t>Páratartalom-szabályzó tasak</t>
        </is>
      </c>
      <c r="B8" s="4" t="inlineStr">
        <is>
          <t>boveda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Kétirányú páratartalom-szabályzó tasak (Boveda, Integra Boost) az érleléshez és tároláshoz</t>
        </is>
      </c>
      <c r="H8" s="6" t="inlineStr">
        <is>
          <t>3. szint az „Érlelés és tárolás” alatt</t>
        </is>
      </c>
    </row>
    <row r="9">
      <c r="A9" s="7" t="inlineStr">
        <is>
          <t>Terpén aromatasak</t>
        </is>
      </c>
      <c r="B9" s="7" t="inlineStr">
        <is>
          <t>terpén</t>
        </is>
      </c>
      <c r="C9" s="8">
        <f>SUMIFS('Összes kulcsszó'!$E:$E,'Összes kulcsszó'!$A:$A,A9,'Összes kulcsszó'!$C:$C,B9)</f>
        <v/>
      </c>
      <c r="D9" s="8">
        <f>SUMIFS('Összes kulcsszó'!$E:$E,'Összes kulcsszó'!$A:$A,A9,'Összes kulcsszó'!$G:$G,"Igen")</f>
        <v/>
      </c>
      <c r="E9" s="7" t="inlineStr">
        <is>
          <t>Laza</t>
        </is>
      </c>
      <c r="F9" s="7" t="inlineStr">
        <is>
          <t>Igen</t>
        </is>
      </c>
      <c r="G9" s="7" t="inlineStr">
        <is>
          <t>Terpén- / aromatasak (Integra Boost terpén, Neu Bag) – aroma megőrzése tároláskor</t>
        </is>
      </c>
      <c r="H9" s="9" t="inlineStr">
        <is>
          <t>3. szint az „Érlelés és tárolás” alatt (új)</t>
        </is>
      </c>
    </row>
    <row r="10">
      <c r="A10" s="4" t="inlineStr">
        <is>
          <t>Vákuumzsák, simítózáras tasak</t>
        </is>
      </c>
      <c r="B10" s="4" t="inlineStr">
        <is>
          <t>simítózáras tasak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Fényálló, vasalható vákuumzsák, simítózáras (ziplock) tasak – szagzáró tárolás</t>
        </is>
      </c>
      <c r="H10" s="6" t="inlineStr">
        <is>
          <t>3. szint az „Érlelés és tárolás” alatt</t>
        </is>
      </c>
    </row>
    <row r="11">
      <c r="A11" s="7" t="inlineStr">
        <is>
          <t>Kivonatolás: bubble bag, extraktor</t>
        </is>
      </c>
      <c r="B11" s="7" t="inlineStr">
        <is>
          <t>kivonatolás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Hideg kivonatolás: bubble bag (jeges kivonatoló zsák), gyantaszitáló extraktor (Secret Box), shaker</t>
        </is>
      </c>
      <c r="H11" s="9" t="inlineStr">
        <is>
          <t>2. szint</t>
        </is>
      </c>
    </row>
    <row r="12">
      <c r="A12" s="4" t="inlineStr">
        <is>
          <t>Digitális mérleg, zsebmérleg</t>
        </is>
      </c>
      <c r="B12" s="4" t="inlineStr">
        <is>
          <t>digitális mérleg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Digitális zseb- és precíziós mérleg (0,01 / 0,001 g), kalibráló súly</t>
        </is>
      </c>
      <c r="H12" s="6" t="inlineStr">
        <is>
          <t>2. szint – a legerősebb termékkulcsszó (1600)</t>
        </is>
      </c>
    </row>
    <row r="13">
      <c r="A13" s="7" t="inlineStr">
        <is>
          <t>Munkaeszköz: kesztyű, nagyító, grow szemüveg</t>
        </is>
      </c>
      <c r="B13" s="7" t="inlineStr">
        <is>
          <t>nitril kesztyű</t>
        </is>
      </c>
      <c r="C13" s="8">
        <f>SUMIFS('Összes kulcsszó'!$E:$E,'Összes kulcsszó'!$A:$A,A13,'Összes kulcsszó'!$C:$C,B13)</f>
        <v/>
      </c>
      <c r="D13" s="8">
        <f>SUMIFS('Összes kulcsszó'!$E:$E,'Összes kulcsszó'!$A:$A,A13,'Összes kulcsszó'!$G:$G,"Igen")</f>
        <v/>
      </c>
      <c r="E13" s="7" t="inlineStr">
        <is>
          <t>Laza</t>
        </is>
      </c>
      <c r="F13" s="7" t="inlineStr">
        <is>
          <t>Igen</t>
        </is>
      </c>
      <c r="G13" s="7" t="inlineStr">
        <is>
          <t>Feldolgozás közbeni munkaeszköz: nitril / vinyl kesztyű, LED-es nagyító, zsebmikroszkóp (trichóma-vizsgálat), grow / védőszemüveg</t>
        </is>
      </c>
      <c r="H13" s="9" t="inlineStr">
        <is>
          <t>2. szint (kiegészítő) – a három kis termékcsoport (kesztyű, nagyító, szemüveg) együtt</t>
        </is>
      </c>
    </row>
    <row r="15">
      <c r="A15" s="10" t="inlineStr">
        <is>
          <t>Jelmagyarázat</t>
        </is>
      </c>
    </row>
    <row r="16">
      <c r="A16" s="4" t="inlineStr">
        <is>
          <t>Szoros kötődés · érdemes: Igen</t>
        </is>
      </c>
    </row>
    <row r="17">
      <c r="A17" s="7" t="inlineStr">
        <is>
          <t>Laza kötődés · érdemes: Igen</t>
        </is>
      </c>
    </row>
    <row r="18">
      <c r="A18" s="11" t="inlineStr">
        <is>
          <t>Laza kötődés · érdemes: Nem</t>
        </is>
      </c>
    </row>
    <row r="19">
      <c r="A19" s="12" t="inlineStr">
        <is>
          <t>Nincs (áruházi / nem vásárlási szándék) kötődés · érdemes: Nem – kizárandó</t>
        </is>
      </c>
    </row>
    <row r="21">
      <c r="A21" s="2" t="inlineStr">
        <is>
          <t>Megjegyzés: a klaszter-összeg átfedéseket tartalmazhat (pl. elírt és ékezet nélküli változatok, amelyeket a Google külön sorban is mutat).</t>
        </is>
      </c>
    </row>
    <row r="22">
      <c r="A22" s="2" t="inlineStr">
        <is>
          <t>Módszer: csak a főkategória neve adott; a szerkezet a feldolgozás lépéseit követi: 1. szárítás → 2. trimmelés (olló / gép) → 3. érlelés és tárolás (páraszabályzó tasak, terpén tasak, vákuumzsák) → 4. kivonatolás, mellette mérés és munkaeszköz.</t>
        </is>
      </c>
    </row>
    <row r="23">
      <c r="A23" s="2" t="inlineStr">
        <is>
          <t>Fő megállapítások: a legerősebb termékszavak: digitális mérleg 1600, simítózáras tasak 720, trimmelő gép 320 (vegyes), boveda 210, szárítóháló 140. A főkategória-névre („afterharvest”) nincs magyar keresés.</t>
        </is>
      </c>
    </row>
    <row r="24">
      <c r="A24" s="2" t="inlineStr">
        <is>
          <t>Bővítési lehetőség: befőttesüveg / csatos üveg az érleléshez (befőttesüveg 4400) – az Érlelés és tárolás alá.</t>
        </is>
      </c>
    </row>
    <row r="25">
      <c r="A25" s="2" t="inlineStr">
        <is>
          <t>A nagy általános szavak (fermentálás 6600, gumikesztyű 2900, befőttesüveg 4400, aszalógép 2900) más szándékúak – laza / nem.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Növényfeldolgozás, afterharvest (csak a főkategória neve + termékkínálat + kulcsszóadat alapján)</t>
        </is>
      </c>
    </row>
    <row r="2">
      <c r="A2" s="2" t="inlineStr">
        <is>
          <t>A korábbi és a sandbox alkategória-neveket és -szerkezetet NEM vettük figyelembe. Kiindulás: a főkategória neve (a feldolgozás lépései), az élő termékkínálat (Google Shopping-feed, elmúlt 30 nap) és a Kulcsszótervező adatai. Termékszám = élő termékek,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Növényfeldolgozás, afterharvest</t>
        </is>
      </c>
      <c r="C5" s="13" t="inlineStr">
        <is>
          <t>–</t>
        </is>
      </c>
      <c r="D5" s="13" t="inlineStr">
        <is>
          <t>betakarítás</t>
        </is>
      </c>
      <c r="E5" s="14" t="n">
        <v>50</v>
      </c>
      <c r="F5" s="14" t="n"/>
      <c r="G5" s="13" t="inlineStr">
        <is>
          <t>Lazán kapcsolódik</t>
        </is>
      </c>
      <c r="H5" s="13" t="n">
        <v>79</v>
      </c>
      <c r="I5" s="13" t="inlineStr">
        <is>
          <t>Főkategória</t>
        </is>
      </c>
      <c r="J5" s="13" t="inlineStr">
        <is>
          <t>A főkategória-nevekre kicsi a keresés (betakarítás 50, gyógynövény feldolgozás 20) – a forgalmat a termékkategóriák hozzák; a név jó, a folyamatot írja le.</t>
        </is>
      </c>
    </row>
    <row r="6">
      <c r="A6" s="6" t="n">
        <v>2</v>
      </c>
      <c r="B6" s="6" t="inlineStr">
        <is>
          <t>Szárítóháló, növényszárító</t>
        </is>
      </c>
      <c r="C6" s="6" t="inlineStr">
        <is>
          <t>Növényfeldolgozás, afterharvest</t>
        </is>
      </c>
      <c r="D6" s="6" t="inlineStr">
        <is>
          <t>szárítóháló</t>
        </is>
      </c>
      <c r="E6" s="15" t="n">
        <v>140</v>
      </c>
      <c r="F6" s="15">
        <f>SUMIFS('Összes kulcsszó'!$E:$E,'Összes kulcsszó'!$A:$A,"Szárítóháló, növényszárító",'Összes kulcsszó'!$G:$G,"Igen")</f>
        <v/>
      </c>
      <c r="G6" s="6" t="inlineStr">
        <is>
          <t>Erősen kapcsolódik</t>
        </is>
      </c>
      <c r="H6" s="6" t="n">
        <v>7</v>
      </c>
      <c r="I6" s="6" t="inlineStr">
        <is>
          <t>Önálló kategória</t>
        </is>
      </c>
      <c r="J6" s="6" t="inlineStr">
        <is>
          <t>1. lépés: szárítás – szárítóháló 140.</t>
        </is>
      </c>
    </row>
    <row r="7">
      <c r="A7" s="9" t="n">
        <v>2</v>
      </c>
      <c r="B7" s="9" t="inlineStr">
        <is>
          <t>Trimmelés</t>
        </is>
      </c>
      <c r="C7" s="9" t="inlineStr">
        <is>
          <t>Növényfeldolgozás, afterharvest</t>
        </is>
      </c>
      <c r="D7" s="9" t="inlineStr">
        <is>
          <t>trimmelő gép</t>
        </is>
      </c>
      <c r="E7" s="16" t="n">
        <v>320</v>
      </c>
      <c r="F7" s="16" t="n"/>
      <c r="G7" s="9" t="inlineStr">
        <is>
          <t>Lazán kapcsolódik</t>
        </is>
      </c>
      <c r="H7" s="9" t="n">
        <v>22</v>
      </c>
      <c r="I7" s="9" t="inlineStr">
        <is>
          <t>Gyűjtőkategória</t>
        </is>
      </c>
      <c r="J7" s="9" t="inlineStr">
        <is>
          <t>2. lépés: trimmelés – kézi olló és gép külön keresési szándék.</t>
        </is>
      </c>
    </row>
    <row r="8">
      <c r="A8" s="6" t="n">
        <v>3</v>
      </c>
      <c r="B8" s="6" t="inlineStr">
        <is>
          <t>Trimmelő olló</t>
        </is>
      </c>
      <c r="C8" s="6" t="inlineStr">
        <is>
          <t>Trimmelés</t>
        </is>
      </c>
      <c r="D8" s="6" t="inlineStr">
        <is>
          <t>trimmelő olló</t>
        </is>
      </c>
      <c r="E8" s="15" t="n">
        <v>30</v>
      </c>
      <c r="F8" s="15">
        <f>SUMIFS('Összes kulcsszó'!$E:$E,'Összes kulcsszó'!$A:$A,"Trimmelő olló",'Összes kulcsszó'!$G:$G,"Igen")</f>
        <v/>
      </c>
      <c r="G8" s="6" t="inlineStr">
        <is>
          <t>Erősen kapcsolódik</t>
        </is>
      </c>
      <c r="H8" s="6" t="n">
        <v>15</v>
      </c>
      <c r="I8" s="6" t="inlineStr">
        <is>
          <t>Önálló kategória</t>
        </is>
      </c>
      <c r="J8" s="6" t="inlineStr">
        <is>
          <t>Trimmelő olló 30; Saboten / Easy Snips / AC Infinity.</t>
        </is>
      </c>
    </row>
    <row r="9">
      <c r="A9" s="9" t="n">
        <v>3</v>
      </c>
      <c r="B9" s="9" t="inlineStr">
        <is>
          <t>Trimmelő gép, trimmelő tál</t>
        </is>
      </c>
      <c r="C9" s="9" t="inlineStr">
        <is>
          <t>Trimmelés</t>
        </is>
      </c>
      <c r="D9" s="9" t="inlineStr">
        <is>
          <t>trimmelő gép</t>
        </is>
      </c>
      <c r="E9" s="16" t="n">
        <v>320</v>
      </c>
      <c r="F9" s="16">
        <f>SUMIFS('Összes kulcsszó'!$E:$E,'Összes kulcsszó'!$A:$A,"Trimmelő gép, trimmelő tál",'Összes kulcsszó'!$G:$G,"Igen")</f>
        <v/>
      </c>
      <c r="G9" s="9" t="inlineStr">
        <is>
          <t>Lazán kapcsolódik</t>
        </is>
      </c>
      <c r="H9" s="9" t="n">
        <v>7</v>
      </c>
      <c r="I9" s="9" t="inlineStr">
        <is>
          <t>Önálló kategória</t>
        </is>
      </c>
      <c r="J9" s="9" t="inlineStr">
        <is>
          <t>Trimmelő gép 320 (vegyes).</t>
        </is>
      </c>
    </row>
    <row r="10">
      <c r="A10" s="6" t="n">
        <v>2</v>
      </c>
      <c r="B10" s="6" t="inlineStr">
        <is>
          <t>Érlelés és tárolás</t>
        </is>
      </c>
      <c r="C10" s="6" t="inlineStr">
        <is>
          <t>Növényfeldolgozás, afterharvest</t>
        </is>
      </c>
      <c r="D10" s="6" t="inlineStr">
        <is>
          <t>simítózáras tasak</t>
        </is>
      </c>
      <c r="E10" s="15" t="n">
        <v>720</v>
      </c>
      <c r="F10" s="15" t="n"/>
      <c r="G10" s="6" t="inlineStr">
        <is>
          <t>Erősen kapcsolódik</t>
        </is>
      </c>
      <c r="H10" s="6" t="n">
        <v>23</v>
      </c>
      <c r="I10" s="6" t="inlineStr">
        <is>
          <t>Gyűjtőkategória</t>
        </is>
      </c>
      <c r="J10" s="6" t="inlineStr">
        <is>
          <t>3. lépés: érlelés és tárolás – páraszabályzás, aroma, légmentes csomagolás.</t>
        </is>
      </c>
    </row>
    <row r="11">
      <c r="A11" s="6" t="n">
        <v>3</v>
      </c>
      <c r="B11" s="6" t="inlineStr">
        <is>
          <t>Páratartalom-szabályzó tasak</t>
        </is>
      </c>
      <c r="C11" s="6" t="inlineStr">
        <is>
          <t>Érlelés és tárolás</t>
        </is>
      </c>
      <c r="D11" s="6" t="inlineStr">
        <is>
          <t>boveda</t>
        </is>
      </c>
      <c r="E11" s="15" t="n">
        <v>210</v>
      </c>
      <c r="F11" s="15">
        <f>SUMIFS('Összes kulcsszó'!$E:$E,'Összes kulcsszó'!$A:$A,"Páratartalom-szabályzó tasak",'Összes kulcsszó'!$G:$G,"Igen")</f>
        <v/>
      </c>
      <c r="G11" s="6" t="inlineStr">
        <is>
          <t>Erősen kapcsolódik</t>
        </is>
      </c>
      <c r="H11" s="6" t="n">
        <v>20</v>
      </c>
      <c r="I11" s="6" t="inlineStr">
        <is>
          <t>Önálló kategória</t>
        </is>
      </c>
      <c r="J11" s="6" t="inlineStr">
        <is>
          <t>Boveda 210, integra boost.</t>
        </is>
      </c>
    </row>
    <row r="12">
      <c r="A12" s="9" t="n">
        <v>3</v>
      </c>
      <c r="B12" s="9" t="inlineStr">
        <is>
          <t>Terpén aromatasak</t>
        </is>
      </c>
      <c r="C12" s="9" t="inlineStr">
        <is>
          <t>Érlelés és tárolás</t>
        </is>
      </c>
      <c r="D12" s="9" t="inlineStr">
        <is>
          <t>terpén</t>
        </is>
      </c>
      <c r="E12" s="16" t="n">
        <v>90</v>
      </c>
      <c r="F12" s="16">
        <f>SUMIFS('Összes kulcsszó'!$E:$E,'Összes kulcsszó'!$A:$A,"Terpén aromatasak",'Összes kulcsszó'!$G:$G,"Igen")</f>
        <v/>
      </c>
      <c r="G12" s="9" t="inlineStr">
        <is>
          <t>Lazán kapcsolódik</t>
        </is>
      </c>
      <c r="H12" s="9" t="n">
        <v>9</v>
      </c>
      <c r="I12" s="9" t="inlineStr">
        <is>
          <t>Önálló kategória (új)</t>
        </is>
      </c>
      <c r="J12" s="9" t="inlineStr">
        <is>
          <t>9 élő terpén-/aromatasak – saját terméktípus.</t>
        </is>
      </c>
    </row>
    <row r="13">
      <c r="A13" s="6" t="n">
        <v>3</v>
      </c>
      <c r="B13" s="6" t="inlineStr">
        <is>
          <t>Vákuumzsák, simítózáras tasak</t>
        </is>
      </c>
      <c r="C13" s="6" t="inlineStr">
        <is>
          <t>Érlelés és tárolás</t>
        </is>
      </c>
      <c r="D13" s="6" t="inlineStr">
        <is>
          <t>simítózáras tasak</t>
        </is>
      </c>
      <c r="E13" s="15" t="n">
        <v>720</v>
      </c>
      <c r="F13" s="15">
        <f>SUMIFS('Összes kulcsszó'!$E:$E,'Összes kulcsszó'!$A:$A,"Vákuumzsák, simítózáras tasak",'Összes kulcsszó'!$G:$G,"Igen")</f>
        <v/>
      </c>
      <c r="G13" s="6" t="inlineStr">
        <is>
          <t>Erősen kapcsolódik</t>
        </is>
      </c>
      <c r="H13" s="6" t="n">
        <v>14</v>
      </c>
      <c r="I13" s="6" t="inlineStr">
        <is>
          <t>Önálló kategória</t>
        </is>
      </c>
      <c r="J13" s="6" t="inlineStr">
        <is>
          <t>Simítózáras tasak 720, vákuum zsák 90.</t>
        </is>
      </c>
    </row>
    <row r="14">
      <c r="A14" s="9" t="n">
        <v>2</v>
      </c>
      <c r="B14" s="9" t="inlineStr">
        <is>
          <t>Kivonatolás: bubble bag, extraktor</t>
        </is>
      </c>
      <c r="C14" s="9" t="inlineStr">
        <is>
          <t>Növényfeldolgozás, afterharvest</t>
        </is>
      </c>
      <c r="D14" s="9" t="inlineStr">
        <is>
          <t>kivonatolás</t>
        </is>
      </c>
      <c r="E14" s="16" t="n">
        <v>20</v>
      </c>
      <c r="F14" s="16">
        <f>SUMIFS('Összes kulcsszó'!$E:$E,'Összes kulcsszó'!$A:$A,"Kivonatolás: bubble bag, extraktor",'Összes kulcsszó'!$G:$G,"Igen")</f>
        <v/>
      </c>
      <c r="G14" s="9" t="inlineStr">
        <is>
          <t>Lazán kapcsolódik</t>
        </is>
      </c>
      <c r="H14" s="9" t="n">
        <v>6</v>
      </c>
      <c r="I14" s="9" t="inlineStr">
        <is>
          <t>Önálló kategória</t>
        </is>
      </c>
      <c r="J14" s="9" t="inlineStr">
        <is>
          <t>4. lépés: kivonatolás – bubble bag, Secret Box.</t>
        </is>
      </c>
    </row>
    <row r="15">
      <c r="A15" s="6" t="n">
        <v>2</v>
      </c>
      <c r="B15" s="6" t="inlineStr">
        <is>
          <t>Digitális mérleg, zsebmérleg</t>
        </is>
      </c>
      <c r="C15" s="6" t="inlineStr">
        <is>
          <t>Növényfeldolgozás, afterharvest</t>
        </is>
      </c>
      <c r="D15" s="6" t="inlineStr">
        <is>
          <t>digitális mérleg</t>
        </is>
      </c>
      <c r="E15" s="15" t="n">
        <v>1600</v>
      </c>
      <c r="F15" s="15">
        <f>SUMIFS('Összes kulcsszó'!$E:$E,'Összes kulcsszó'!$A:$A,"Digitális mérleg, zsebmérleg",'Összes kulcsszó'!$G:$G,"Igen")</f>
        <v/>
      </c>
      <c r="G15" s="6" t="inlineStr">
        <is>
          <t>Erősen kapcsolódik</t>
        </is>
      </c>
      <c r="H15" s="6" t="n">
        <v>15</v>
      </c>
      <c r="I15" s="6" t="inlineStr">
        <is>
          <t>Önálló kategória</t>
        </is>
      </c>
      <c r="J15" s="6" t="inlineStr">
        <is>
          <t>Digitális mérleg 1600 – a legerősebb termékszó.</t>
        </is>
      </c>
    </row>
    <row r="16">
      <c r="A16" s="9" t="n">
        <v>2</v>
      </c>
      <c r="B16" s="9" t="inlineStr">
        <is>
          <t>Munkaeszköz: kesztyű, nagyító, grow szemüveg</t>
        </is>
      </c>
      <c r="C16" s="9" t="inlineStr">
        <is>
          <t>Növényfeldolgozás, afterharvest</t>
        </is>
      </c>
      <c r="D16" s="9" t="inlineStr">
        <is>
          <t>nitril kesztyű</t>
        </is>
      </c>
      <c r="E16" s="16" t="n">
        <v>1000</v>
      </c>
      <c r="F16" s="16">
        <f>SUMIFS('Összes kulcsszó'!$E:$E,'Összes kulcsszó'!$A:$A,"Munkaeszköz: kesztyű, nagyító, grow szemüveg",'Összes kulcsszó'!$G:$G,"Igen")</f>
        <v/>
      </c>
      <c r="G16" s="9" t="inlineStr">
        <is>
          <t>Lazán kapcsolódik</t>
        </is>
      </c>
      <c r="H16" s="9" t="n">
        <v>6</v>
      </c>
      <c r="I16" s="9" t="inlineStr">
        <is>
          <t>Kiegészítő kategória</t>
        </is>
      </c>
      <c r="J16" s="9" t="inlineStr">
        <is>
          <t>Kesztyű, nagyító, szemüveg – kis termékcsoportok együtt.</t>
        </is>
      </c>
    </row>
    <row r="18">
      <c r="A18" s="10" t="inlineStr">
        <is>
          <t>Ami NE legyen önálló kategória</t>
        </is>
      </c>
    </row>
    <row r="19">
      <c r="A19" s="3" t="inlineStr">
        <is>
          <t>Téma</t>
        </is>
      </c>
      <c r="B19" s="3" t="inlineStr">
        <is>
          <t>Kulcsszó</t>
        </is>
      </c>
      <c r="C19" s="3" t="inlineStr">
        <is>
          <t>Havi keresés</t>
        </is>
      </c>
      <c r="D19" s="3" t="inlineStr">
        <is>
          <t>Javaslat</t>
        </is>
      </c>
    </row>
    <row r="20">
      <c r="A20" s="17" t="inlineStr">
        <is>
          <t>Fermentáció</t>
        </is>
      </c>
      <c r="B20" s="17" t="inlineStr">
        <is>
          <t>fermentálás</t>
        </is>
      </c>
      <c r="C20" s="18" t="n">
        <v>6600</v>
      </c>
      <c r="D20" s="17" t="inlineStr">
        <is>
          <t>Élelmiszer-fermentálás (6600) – nem a mi szándékunk; a páraszabályzás / érlelés a pontos név.</t>
        </is>
      </c>
    </row>
    <row r="21">
      <c r="A21" s="17" t="inlineStr">
        <is>
          <t>Csomagolás (általános)</t>
        </is>
      </c>
      <c r="B21" s="17" t="inlineStr">
        <is>
          <t>csomagoló zacskó</t>
        </is>
      </c>
      <c r="C21" s="18" t="n">
        <v>320</v>
      </c>
      <c r="D21" s="17" t="inlineStr">
        <is>
          <t>Túl általános – „Vákuumzsák, simítózáras tasak”.</t>
        </is>
      </c>
    </row>
    <row r="22">
      <c r="A22" s="17" t="inlineStr">
        <is>
          <t>Kesztyű, nagyító külön kategóriában</t>
        </is>
      </c>
      <c r="B22" s="17" t="inlineStr">
        <is>
          <t>gumikesztyű</t>
        </is>
      </c>
      <c r="C22" s="18" t="n">
        <v>2900</v>
      </c>
      <c r="D22" s="17" t="inlineStr">
        <is>
          <t>Kis termékszám – egy „Munkaeszköz” kategóriában.</t>
        </is>
      </c>
    </row>
    <row r="23">
      <c r="A23" s="17" t="inlineStr">
        <is>
          <t>Palántaszállító csomagolás</t>
        </is>
      </c>
      <c r="B23" s="17" t="inlineStr">
        <is>
          <t>–</t>
        </is>
      </c>
      <c r="C23" s="18" t="n"/>
      <c r="D23" s="17" t="inlineStr">
        <is>
          <t>A Palántanevelő ágba való.</t>
        </is>
      </c>
    </row>
    <row r="24">
      <c r="A24" s="17" t="inlineStr">
        <is>
          <t>Aszalógép</t>
        </is>
      </c>
      <c r="B24" s="17" t="inlineStr">
        <is>
          <t>aszalógép</t>
        </is>
      </c>
      <c r="C24" s="18" t="n">
        <v>2900</v>
      </c>
      <c r="D24" s="17" t="inlineStr">
        <is>
          <t>Nincs ilyen termék.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ÉLŐ KÍNÁLAT ALAPJÁN (2026-10-16): csak az elmúlt 30 napban a Babylon Google Shopping-feedben szereplő termékek (1525) kaptak kategóriát – ez az éles oldal aktuális kínálata. A most nem élő termékek „Nem aktív” jelöléssel a lap végén vannak.</t>
        </is>
      </c>
    </row>
    <row r="3">
      <c r="A3" s="2" t="inlineStr">
        <is>
          <t>A szerkezet csak a főkategória nevéből (a feldolgozás lépései), a termékek típusából és a keresési szándékból készült – a korábbi és a sandbox alkategóriák figyelmen kívül.</t>
        </is>
      </c>
    </row>
    <row r="5">
      <c r="A5" s="3" t="inlineStr">
        <is>
          <t>Termékkód</t>
        </is>
      </c>
      <c r="B5" s="3" t="inlineStr">
        <is>
          <t>Terméknév</t>
        </is>
      </c>
      <c r="C5" s="3" t="inlineStr">
        <is>
          <t>Elsődleges javasolt kategória</t>
        </is>
      </c>
      <c r="D5" s="3" t="inlineStr">
        <is>
          <t>További kategóriák</t>
        </is>
      </c>
      <c r="E5" s="3" t="inlineStr">
        <is>
          <t>Illeszkedés</t>
        </is>
      </c>
      <c r="F5" s="3" t="inlineStr">
        <is>
          <t>Utoljára a Google Shopping-feedben</t>
        </is>
      </c>
      <c r="G5" s="3" t="inlineStr">
        <is>
          <t>Megjegyzés</t>
        </is>
      </c>
    </row>
    <row r="6">
      <c r="A6" s="6" t="inlineStr">
        <is>
          <t>HED1397</t>
        </is>
      </c>
      <c r="B6" s="6" t="inlineStr">
        <is>
          <t>Digitális precíziós mérleg 100 g - 0.01 g</t>
        </is>
      </c>
      <c r="C6" s="6" t="inlineStr">
        <is>
          <t>Digitális mérleg, zsebmérleg</t>
        </is>
      </c>
      <c r="D6" s="6" t="inlineStr"/>
      <c r="E6" s="6" t="inlineStr">
        <is>
          <t>Erős</t>
        </is>
      </c>
      <c r="F6" s="6" t="inlineStr">
        <is>
          <t>az elmúlt 30 napban</t>
        </is>
      </c>
      <c r="G6" s="6" t="inlineStr">
        <is>
          <t>Digitális zseb- / precíziós mérleg</t>
        </is>
      </c>
    </row>
    <row r="7">
      <c r="A7" s="6" t="inlineStr">
        <is>
          <t>HED1828</t>
        </is>
      </c>
      <c r="B7" s="6" t="inlineStr">
        <is>
          <t>G-Scale Pro digitális zsebmérleg 500 g - 0.1 g</t>
        </is>
      </c>
      <c r="C7" s="6" t="inlineStr">
        <is>
          <t>Digitális mérleg, zsebmérleg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Digitális zseb- / precíziós mérleg</t>
        </is>
      </c>
    </row>
    <row r="8">
      <c r="A8" s="6" t="inlineStr">
        <is>
          <t>HED1836</t>
        </is>
      </c>
      <c r="B8" s="6" t="inlineStr">
        <is>
          <t>Mérleg számológép 200 g - 0.01 g</t>
        </is>
      </c>
      <c r="C8" s="6" t="inlineStr">
        <is>
          <t>Digitális mérleg, zsebmérleg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Digitális zseb- / precíziós mérleg</t>
        </is>
      </c>
    </row>
    <row r="9">
      <c r="A9" s="6" t="inlineStr">
        <is>
          <t>HED2156</t>
        </is>
      </c>
      <c r="B9" s="6" t="inlineStr">
        <is>
          <t>G-Scale digitális zsebmérleg 100 g - 0.01 g</t>
        </is>
      </c>
      <c r="C9" s="6" t="inlineStr">
        <is>
          <t>Digitális mérleg, zsebmérleg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Digitális zseb- / precíziós mérleg</t>
        </is>
      </c>
    </row>
    <row r="10">
      <c r="A10" s="6" t="inlineStr">
        <is>
          <t>HED2341</t>
        </is>
      </c>
      <c r="B10" s="6" t="inlineStr">
        <is>
          <t>G-Scale digitális zsebmérleg 2000 g - 0.1 g</t>
        </is>
      </c>
      <c r="C10" s="6" t="inlineStr">
        <is>
          <t>Digitális mérleg, zsebmérleg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Digitális zseb- / precíziós mérleg</t>
        </is>
      </c>
    </row>
    <row r="11">
      <c r="A11" s="6" t="inlineStr">
        <is>
          <t>HED2401</t>
        </is>
      </c>
      <c r="B11" s="6" t="inlineStr">
        <is>
          <t>G-Scale Lite digitális zsebmérleg 100 g - 0.01 g</t>
        </is>
      </c>
      <c r="C11" s="6" t="inlineStr">
        <is>
          <t>Digitális mérleg, zsebmérleg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Digitális zseb- / precíziós mérleg</t>
        </is>
      </c>
    </row>
    <row r="12">
      <c r="A12" s="6" t="inlineStr">
        <is>
          <t>HED2402</t>
        </is>
      </c>
      <c r="B12" s="6" t="inlineStr">
        <is>
          <t>G-Scale Basic digitális zsebmérleg 100 g - 0.01 g</t>
        </is>
      </c>
      <c r="C12" s="6" t="inlineStr">
        <is>
          <t>Digitális mérleg, zsebmérleg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Digitális zseb- / precíziós mérleg</t>
        </is>
      </c>
    </row>
    <row r="13">
      <c r="A13" s="6" t="inlineStr">
        <is>
          <t>HED2403</t>
        </is>
      </c>
      <c r="B13" s="6" t="inlineStr">
        <is>
          <t>G-Scale digitális zsebmérleg 100 g - 0.01 g (kalibráló súllyal)</t>
        </is>
      </c>
      <c r="C13" s="6" t="inlineStr">
        <is>
          <t>Digitális mérleg, zsebmérleg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Digitális zseb- / precíziós mérleg</t>
        </is>
      </c>
    </row>
    <row r="14">
      <c r="A14" s="6" t="inlineStr">
        <is>
          <t>HED2404</t>
        </is>
      </c>
      <c r="B14" s="6" t="inlineStr">
        <is>
          <t>G-Scale digitális zsebmérleg 100 g - 0.01 g</t>
        </is>
      </c>
      <c r="C14" s="6" t="inlineStr">
        <is>
          <t>Digitális mérleg, zsebmérleg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Digitális zseb- / precíziós mérleg</t>
        </is>
      </c>
    </row>
    <row r="15">
      <c r="A15" s="6" t="inlineStr">
        <is>
          <t>HED2405</t>
        </is>
      </c>
      <c r="B15" s="6" t="inlineStr">
        <is>
          <t>G-Scale digitális zsebmérleg 50 g - 0,001 g (kalibráló súllyal)</t>
        </is>
      </c>
      <c r="C15" s="6" t="inlineStr">
        <is>
          <t>Digitális mérleg, zsebmérleg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Digitális zseb- / precíziós mérleg</t>
        </is>
      </c>
    </row>
    <row r="16">
      <c r="A16" s="6" t="inlineStr">
        <is>
          <t>GRO1254</t>
        </is>
      </c>
      <c r="B16" s="6" t="inlineStr">
        <is>
          <t>Secret Icer hideg kivonatoló zsák készlet, 5 db szűrőzsák 25–190 mikron</t>
        </is>
      </c>
      <c r="C16" s="6" t="inlineStr">
        <is>
          <t>Kivonatolás: bubble bag, extraktor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Secret Icer / Secret Box / shaker</t>
        </is>
      </c>
    </row>
    <row r="17">
      <c r="A17" s="6" t="inlineStr">
        <is>
          <t>GRO3263</t>
        </is>
      </c>
      <c r="B17" s="6" t="inlineStr">
        <is>
          <t>Secret Box extraktor gyantaszitáló gép dimmelhető motorral, 40 x 30 x 28 cm</t>
        </is>
      </c>
      <c r="C17" s="6" t="inlineStr">
        <is>
          <t>Kivonatolás: bubble bag, extraktor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Secret Icer / Secret Box / shaker</t>
        </is>
      </c>
    </row>
    <row r="18">
      <c r="A18" s="6" t="inlineStr">
        <is>
          <t>GRO3728</t>
        </is>
      </c>
      <c r="B18" s="6" t="inlineStr">
        <is>
          <t>Secret Box Extraktor dimmelhető motorral 60 x 40 x 33,5 cm</t>
        </is>
      </c>
      <c r="C18" s="6" t="inlineStr">
        <is>
          <t>Kivonatolás: bubble bag, extraktor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Secret Icer / Secret Box / shaker</t>
        </is>
      </c>
    </row>
    <row r="19">
      <c r="A19" s="6" t="inlineStr">
        <is>
          <t>GRO3729</t>
        </is>
      </c>
      <c r="B19" s="6" t="inlineStr">
        <is>
          <t>Secret Box Big 100 mikronos háló</t>
        </is>
      </c>
      <c r="C19" s="6" t="inlineStr">
        <is>
          <t>Kivonatolás: bubble bag, extraktor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Secret Icer / Secret Box / shaker</t>
        </is>
      </c>
    </row>
    <row r="20">
      <c r="A20" s="6" t="inlineStr">
        <is>
          <t>GRO3791</t>
        </is>
      </c>
      <c r="B20" s="6" t="inlineStr">
        <is>
          <t>Secret Box Big 200 mikronos háló</t>
        </is>
      </c>
      <c r="C20" s="6" t="inlineStr">
        <is>
          <t>Kivonatolás: bubble bag, extraktor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Secret Icer / Secret Box / shaker</t>
        </is>
      </c>
    </row>
    <row r="21">
      <c r="A21" s="6" t="inlineStr">
        <is>
          <t>HED0724</t>
        </is>
      </c>
      <c r="B21" s="6" t="inlineStr">
        <is>
          <t>Secret shaker</t>
        </is>
      </c>
      <c r="C21" s="6" t="inlineStr">
        <is>
          <t>Kivonatolás: bubble bag, extraktor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Secret Icer / Secret Box / shaker</t>
        </is>
      </c>
    </row>
    <row r="22">
      <c r="A22" s="6" t="inlineStr">
        <is>
          <t>GRO0821</t>
        </is>
      </c>
      <c r="B22" s="6" t="inlineStr">
        <is>
          <t>Mikroszkóp mini 100x LED</t>
        </is>
      </c>
      <c r="C22" s="6" t="inlineStr">
        <is>
          <t>Munkaeszköz: kesztyű, nagyító, grow szemüveg</t>
        </is>
      </c>
      <c r="D22" s="6" t="inlineStr">
        <is>
          <t>Munkaeszköz: kesztyű, nagyító, grow szemüveg</t>
        </is>
      </c>
      <c r="E22" s="6" t="inlineStr">
        <is>
          <t>Erős</t>
        </is>
      </c>
      <c r="F22" s="6" t="inlineStr">
        <is>
          <t>az elmúlt 30 napban</t>
        </is>
      </c>
      <c r="G22" s="6" t="inlineStr">
        <is>
          <t>Zsebmikroszkóp / LED-es nagyító</t>
        </is>
      </c>
    </row>
    <row r="23">
      <c r="A23" s="6" t="inlineStr">
        <is>
          <t>GRO4306</t>
        </is>
      </c>
      <c r="B23" s="6" t="inlineStr">
        <is>
          <t>AC Infinity nagyító LED lámpával dupla lencsével 30x-60x nagyítás</t>
        </is>
      </c>
      <c r="C23" s="6" t="inlineStr">
        <is>
          <t>Munkaeszköz: kesztyű, nagyító, grow szemüveg</t>
        </is>
      </c>
      <c r="D23" s="6" t="inlineStr">
        <is>
          <t>Munkaeszköz: kesztyű, nagyító, grow szemüveg</t>
        </is>
      </c>
      <c r="E23" s="6" t="inlineStr">
        <is>
          <t>Erős</t>
        </is>
      </c>
      <c r="F23" s="6" t="inlineStr">
        <is>
          <t>az elmúlt 30 napban</t>
        </is>
      </c>
      <c r="G23" s="6" t="inlineStr">
        <is>
          <t>Zsebmikroszkóp / LED-es nagyító</t>
        </is>
      </c>
    </row>
    <row r="24">
      <c r="A24" s="6" t="inlineStr">
        <is>
          <t>GRO4559</t>
        </is>
      </c>
      <c r="B24" s="6" t="inlineStr">
        <is>
          <t>Gumikesztyű vinyl XL méret, kék - 100 db</t>
        </is>
      </c>
      <c r="C24" s="6" t="inlineStr">
        <is>
          <t>Munkaeszköz: kesztyű, nagyító, grow szemüveg</t>
        </is>
      </c>
      <c r="D24" s="6" t="inlineStr">
        <is>
          <t>Munkaeszköz: kesztyű, nagyító, grow szemüveg</t>
        </is>
      </c>
      <c r="E24" s="6" t="inlineStr">
        <is>
          <t>Erős</t>
        </is>
      </c>
      <c r="F24" s="6" t="inlineStr">
        <is>
          <t>az elmúlt 30 napban</t>
        </is>
      </c>
      <c r="G24" s="6" t="inlineStr">
        <is>
          <t>Egyszer használatos kesztyű</t>
        </is>
      </c>
    </row>
    <row r="25">
      <c r="A25" s="6" t="inlineStr">
        <is>
          <t>GRO4641</t>
        </is>
      </c>
      <c r="B25" s="6" t="inlineStr">
        <is>
          <t>Nitril gumikesztyű púdermentes, S méret, 100 db</t>
        </is>
      </c>
      <c r="C25" s="6" t="inlineStr">
        <is>
          <t>Munkaeszköz: kesztyű, nagyító, grow szemüveg</t>
        </is>
      </c>
      <c r="D25" s="6" t="inlineStr">
        <is>
          <t>Munkaeszköz: kesztyű, nagyító, grow szemüveg</t>
        </is>
      </c>
      <c r="E25" s="6" t="inlineStr">
        <is>
          <t>Erős</t>
        </is>
      </c>
      <c r="F25" s="6" t="inlineStr">
        <is>
          <t>az elmúlt 30 napban</t>
        </is>
      </c>
      <c r="G25" s="6" t="inlineStr">
        <is>
          <t>Egyszer használatos kesztyű</t>
        </is>
      </c>
    </row>
    <row r="26">
      <c r="A26" s="6" t="inlineStr">
        <is>
          <t>HED1892</t>
        </is>
      </c>
      <c r="B26" s="6" t="inlineStr">
        <is>
          <t>Boveda kétirányú páratartalmat biztosító csomag RH 58%, 4g, 21x21 mm</t>
        </is>
      </c>
      <c r="C26" s="6" t="inlineStr">
        <is>
          <t>Páratartalom-szabályzó tasak</t>
        </is>
      </c>
      <c r="D26" s="6" t="inlineStr">
        <is>
          <t>Vákuumzsák, simítózáras tasak</t>
        </is>
      </c>
      <c r="E26" s="6" t="inlineStr">
        <is>
          <t>Erős</t>
        </is>
      </c>
      <c r="F26" s="6" t="inlineStr">
        <is>
          <t>az elmúlt 30 napban</t>
        </is>
      </c>
      <c r="G26" s="6" t="inlineStr">
        <is>
          <t>Boveda kétirányú páraszabályzó tasak</t>
        </is>
      </c>
    </row>
    <row r="27">
      <c r="A27" s="6" t="inlineStr">
        <is>
          <t>HED1894</t>
        </is>
      </c>
      <c r="B27" s="6" t="inlineStr">
        <is>
          <t>Integra Boost nedvesség és páraszabályzó tasak RH 55%, 4g</t>
        </is>
      </c>
      <c r="C27" s="6" t="inlineStr">
        <is>
          <t>Páratartalom-szabályzó tasak</t>
        </is>
      </c>
      <c r="D27" s="6" t="inlineStr">
        <is>
          <t>Vákuumzsák, simítózáras tasak</t>
        </is>
      </c>
      <c r="E27" s="6" t="inlineStr">
        <is>
          <t>Erős</t>
        </is>
      </c>
      <c r="F27" s="6" t="inlineStr">
        <is>
          <t>az elmúlt 30 napban</t>
        </is>
      </c>
      <c r="G27" s="6" t="inlineStr">
        <is>
          <t>Integra Boost páraszabályzó tasak</t>
        </is>
      </c>
    </row>
    <row r="28">
      <c r="A28" s="6" t="inlineStr">
        <is>
          <t>HED1895</t>
        </is>
      </c>
      <c r="B28" s="6" t="inlineStr">
        <is>
          <t>Integra Boost nedvesség és páraszabályzó tasak RH 55%, 8g</t>
        </is>
      </c>
      <c r="C28" s="6" t="inlineStr">
        <is>
          <t>Páratartalom-szabályzó tasak</t>
        </is>
      </c>
      <c r="D28" s="6" t="inlineStr">
        <is>
          <t>Vákuumzsák, simítózáras tasak</t>
        </is>
      </c>
      <c r="E28" s="6" t="inlineStr">
        <is>
          <t>Erős</t>
        </is>
      </c>
      <c r="F28" s="6" t="inlineStr">
        <is>
          <t>az elmúlt 30 napban</t>
        </is>
      </c>
      <c r="G28" s="6" t="inlineStr">
        <is>
          <t>Integra Boost páraszabályzó tasak</t>
        </is>
      </c>
    </row>
    <row r="29">
      <c r="A29" s="6" t="inlineStr">
        <is>
          <t>HED1896</t>
        </is>
      </c>
      <c r="B29" s="6" t="inlineStr">
        <is>
          <t>Integra Boost nedvesség és páraszabályzó tasak RH 55%, 67g</t>
        </is>
      </c>
      <c r="C29" s="6" t="inlineStr">
        <is>
          <t>Páratartalom-szabályzó tasak</t>
        </is>
      </c>
      <c r="D29" s="6" t="inlineStr">
        <is>
          <t>Vákuumzsák, simítózáras tasak</t>
        </is>
      </c>
      <c r="E29" s="6" t="inlineStr">
        <is>
          <t>Erős</t>
        </is>
      </c>
      <c r="F29" s="6" t="inlineStr">
        <is>
          <t>az elmúlt 30 napban</t>
        </is>
      </c>
      <c r="G29" s="6" t="inlineStr">
        <is>
          <t>Integra Boost páraszabályzó tasak</t>
        </is>
      </c>
    </row>
    <row r="30">
      <c r="A30" s="6" t="inlineStr">
        <is>
          <t>HED1944</t>
        </is>
      </c>
      <c r="B30" s="6" t="inlineStr">
        <is>
          <t>Boveda kétirányú páratartalmat biztosító csomag RH 62%; 4g, 40x40 mm</t>
        </is>
      </c>
      <c r="C30" s="6" t="inlineStr">
        <is>
          <t>Páratartalom-szabályzó tasak</t>
        </is>
      </c>
      <c r="D30" s="6" t="inlineStr">
        <is>
          <t>Vákuumzsák, simítózáras tasak</t>
        </is>
      </c>
      <c r="E30" s="6" t="inlineStr">
        <is>
          <t>Erős</t>
        </is>
      </c>
      <c r="F30" s="6" t="inlineStr">
        <is>
          <t>az elmúlt 30 napban</t>
        </is>
      </c>
      <c r="G30" s="6" t="inlineStr">
        <is>
          <t>Boveda kétirányú páraszabályzó tasak</t>
        </is>
      </c>
    </row>
    <row r="31">
      <c r="A31" s="6" t="inlineStr">
        <is>
          <t>HED2041</t>
        </is>
      </c>
      <c r="B31" s="6" t="inlineStr">
        <is>
          <t>Boveda kétirányú páratartalmat biztosító csomag RH 62%; 67g, 132 x 89 mm</t>
        </is>
      </c>
      <c r="C31" s="6" t="inlineStr">
        <is>
          <t>Páratartalom-szabályzó tasak</t>
        </is>
      </c>
      <c r="D31" s="6" t="inlineStr">
        <is>
          <t>Vákuumzsák, simítózáras tasak</t>
        </is>
      </c>
      <c r="E31" s="6" t="inlineStr">
        <is>
          <t>Erős</t>
        </is>
      </c>
      <c r="F31" s="6" t="inlineStr">
        <is>
          <t>az elmúlt 30 napban</t>
        </is>
      </c>
      <c r="G31" s="6" t="inlineStr">
        <is>
          <t>Boveda kétirányú páraszabályzó tasak</t>
        </is>
      </c>
    </row>
    <row r="32">
      <c r="A32" s="6" t="inlineStr">
        <is>
          <t>HED2196</t>
        </is>
      </c>
      <c r="B32" s="6" t="inlineStr">
        <is>
          <t>Integra Boost nedvesség és páraszabályzó tasak RH 62%, 4g</t>
        </is>
      </c>
      <c r="C32" s="6" t="inlineStr">
        <is>
          <t>Páratartalom-szabályzó tasak</t>
        </is>
      </c>
      <c r="D32" s="6" t="inlineStr">
        <is>
          <t>Vákuumzsák, simítózáras tasak</t>
        </is>
      </c>
      <c r="E32" s="6" t="inlineStr">
        <is>
          <t>Erős</t>
        </is>
      </c>
      <c r="F32" s="6" t="inlineStr">
        <is>
          <t>az elmúlt 30 napban</t>
        </is>
      </c>
      <c r="G32" s="6" t="inlineStr">
        <is>
          <t>Integra Boost páraszabályzó tasak</t>
        </is>
      </c>
    </row>
    <row r="33">
      <c r="A33" s="6" t="inlineStr">
        <is>
          <t>HED2197</t>
        </is>
      </c>
      <c r="B33" s="6" t="inlineStr">
        <is>
          <t>Integra Boost nedvesség és páraszabályzó tasak RH 62%, 8g</t>
        </is>
      </c>
      <c r="C33" s="6" t="inlineStr">
        <is>
          <t>Páratartalom-szabályzó tasak</t>
        </is>
      </c>
      <c r="D33" s="6" t="inlineStr">
        <is>
          <t>Vákuumzsák, simítózáras tasak</t>
        </is>
      </c>
      <c r="E33" s="6" t="inlineStr">
        <is>
          <t>Erős</t>
        </is>
      </c>
      <c r="F33" s="6" t="inlineStr">
        <is>
          <t>az elmúlt 30 napban</t>
        </is>
      </c>
      <c r="G33" s="6" t="inlineStr">
        <is>
          <t>Integra Boost páraszabályzó tasak</t>
        </is>
      </c>
    </row>
    <row r="34">
      <c r="A34" s="6" t="inlineStr">
        <is>
          <t>HED2198</t>
        </is>
      </c>
      <c r="B34" s="6" t="inlineStr">
        <is>
          <t>Boveda páratartalom regulációs tasak (RH 62%; 8 g)</t>
        </is>
      </c>
      <c r="C34" s="6" t="inlineStr">
        <is>
          <t>Páratartalom-szabályzó tasak</t>
        </is>
      </c>
      <c r="D34" s="6" t="inlineStr">
        <is>
          <t>Vákuumzsák, simítózáras tasak</t>
        </is>
      </c>
      <c r="E34" s="6" t="inlineStr">
        <is>
          <t>Erős</t>
        </is>
      </c>
      <c r="F34" s="6" t="inlineStr">
        <is>
          <t>az elmúlt 30 napban</t>
        </is>
      </c>
      <c r="G34" s="6" t="inlineStr">
        <is>
          <t>Boveda kétirányú páraszabályzó tasak</t>
        </is>
      </c>
    </row>
    <row r="35">
      <c r="A35" s="6" t="inlineStr">
        <is>
          <t>HED2287</t>
        </is>
      </c>
      <c r="B35" s="6" t="inlineStr">
        <is>
          <t>Integra Boost nedvesség és páraszabályzó tasak RH 62%, 67g</t>
        </is>
      </c>
      <c r="C35" s="6" t="inlineStr">
        <is>
          <t>Páratartalom-szabályzó tasak</t>
        </is>
      </c>
      <c r="D35" s="6" t="inlineStr">
        <is>
          <t>Vákuumzsák, simítózáras tasak</t>
        </is>
      </c>
      <c r="E35" s="6" t="inlineStr">
        <is>
          <t>Erős</t>
        </is>
      </c>
      <c r="F35" s="6" t="inlineStr">
        <is>
          <t>az elmúlt 30 napban</t>
        </is>
      </c>
      <c r="G35" s="6" t="inlineStr">
        <is>
          <t>Integra Boost páraszabályzó tasak</t>
        </is>
      </c>
    </row>
    <row r="36">
      <c r="A36" s="6" t="inlineStr">
        <is>
          <t>HED2441</t>
        </is>
      </c>
      <c r="B36" s="6" t="inlineStr">
        <is>
          <t>Boveda páratartalom regulációs tasak (RH 62%; 320g)</t>
        </is>
      </c>
      <c r="C36" s="6" t="inlineStr">
        <is>
          <t>Páratartalom-szabályzó tasak</t>
        </is>
      </c>
      <c r="D36" s="6" t="inlineStr">
        <is>
          <t>Vákuumzsák, simítózáras tasak</t>
        </is>
      </c>
      <c r="E36" s="6" t="inlineStr">
        <is>
          <t>Erős</t>
        </is>
      </c>
      <c r="F36" s="6" t="inlineStr">
        <is>
          <t>az elmúlt 30 napban</t>
        </is>
      </c>
      <c r="G36" s="6" t="inlineStr">
        <is>
          <t>Boveda kétirányú páraszabályzó tasak</t>
        </is>
      </c>
    </row>
    <row r="37">
      <c r="A37" s="6" t="inlineStr">
        <is>
          <t>GRO0826</t>
        </is>
      </c>
      <c r="B37" s="6" t="inlineStr">
        <is>
          <t>Szárítóháló 55 cm termés és növényi részek szárításához</t>
        </is>
      </c>
      <c r="C37" s="6" t="inlineStr">
        <is>
          <t>Szárítóháló, növényszárító</t>
        </is>
      </c>
      <c r="D37" s="6" t="inlineStr"/>
      <c r="E37" s="6" t="inlineStr">
        <is>
          <t>Erős</t>
        </is>
      </c>
      <c r="F37" s="6" t="inlineStr">
        <is>
          <t>az elmúlt 30 napban</t>
        </is>
      </c>
      <c r="G37" s="6" t="inlineStr">
        <is>
          <t>Szárítóháló</t>
        </is>
      </c>
    </row>
    <row r="38">
      <c r="A38" s="6" t="inlineStr">
        <is>
          <t>GRO0827</t>
        </is>
      </c>
      <c r="B38" s="6" t="inlineStr">
        <is>
          <t>Szárítóháló 90 cm termés és növényi részek szárításához</t>
        </is>
      </c>
      <c r="C38" s="6" t="inlineStr">
        <is>
          <t>Szárítóháló, növényszárító</t>
        </is>
      </c>
      <c r="D38" s="6" t="inlineStr"/>
      <c r="E38" s="6" t="inlineStr">
        <is>
          <t>Erős</t>
        </is>
      </c>
      <c r="F38" s="6" t="inlineStr">
        <is>
          <t>az elmúlt 30 napban</t>
        </is>
      </c>
      <c r="G38" s="6" t="inlineStr">
        <is>
          <t>Szárítóháló</t>
        </is>
      </c>
    </row>
    <row r="39">
      <c r="A39" s="6" t="inlineStr">
        <is>
          <t>GRO2844</t>
        </is>
      </c>
      <c r="B39" s="6" t="inlineStr">
        <is>
          <t>Secret Jardin DRYIT szárítóháló Ø80 cm, 5 szintes, forgatható, hordtáskával</t>
        </is>
      </c>
      <c r="C39" s="6" t="inlineStr">
        <is>
          <t>Szárítóháló, növényszárító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Szárítóháló</t>
        </is>
      </c>
    </row>
    <row r="40">
      <c r="A40" s="6" t="inlineStr">
        <is>
          <t>GRO2845</t>
        </is>
      </c>
      <c r="B40" s="6" t="inlineStr">
        <is>
          <t>Secret Jardin DRYIT szárítóháló Ø45 cm, egyszintes, egymáshoz fűzhető</t>
        </is>
      </c>
      <c r="C40" s="6" t="inlineStr">
        <is>
          <t>Szárítóháló, növényszárító</t>
        </is>
      </c>
      <c r="D40" s="6" t="inlineStr"/>
      <c r="E40" s="6" t="inlineStr">
        <is>
          <t>Erős</t>
        </is>
      </c>
      <c r="F40" s="6" t="inlineStr">
        <is>
          <t>az elmúlt 30 napban</t>
        </is>
      </c>
      <c r="G40" s="6" t="inlineStr">
        <is>
          <t>Szárítóháló</t>
        </is>
      </c>
    </row>
    <row r="41">
      <c r="A41" s="6" t="inlineStr">
        <is>
          <t>GRO4299</t>
        </is>
      </c>
      <c r="B41" s="6" t="inlineStr">
        <is>
          <t>AC Infinity szárító háló 4 szintes d: 45 cm</t>
        </is>
      </c>
      <c r="C41" s="6" t="inlineStr">
        <is>
          <t>Szárítóháló, növényszárító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Szárítóháló</t>
        </is>
      </c>
    </row>
    <row r="42">
      <c r="A42" s="6" t="inlineStr">
        <is>
          <t>GRO4569</t>
        </is>
      </c>
      <c r="B42" s="6" t="inlineStr">
        <is>
          <t>Szárító háló normál 4 szintes d: 30 cm H: 40 cm</t>
        </is>
      </c>
      <c r="C42" s="6" t="inlineStr">
        <is>
          <t>Szárítóháló, növényszárító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Szárítóháló</t>
        </is>
      </c>
    </row>
    <row r="43">
      <c r="A43" s="6" t="inlineStr">
        <is>
          <t>GRO4565</t>
        </is>
      </c>
      <c r="B43" s="6" t="inlineStr">
        <is>
          <t>Neu Bag Candy Gas terpénes aromatasak 5 g</t>
        </is>
      </c>
      <c r="C43" s="6" t="inlineStr">
        <is>
          <t>Terpén aromatasak</t>
        </is>
      </c>
      <c r="D43" s="6" t="inlineStr">
        <is>
          <t>Páratartalom-szabályzó tasak</t>
        </is>
      </c>
      <c r="E43" s="6" t="inlineStr">
        <is>
          <t>Erős</t>
        </is>
      </c>
      <c r="F43" s="6" t="inlineStr">
        <is>
          <t>az elmúlt 30 napban</t>
        </is>
      </c>
      <c r="G43" s="6" t="inlineStr">
        <is>
          <t>Terpén- / aromatasak</t>
        </is>
      </c>
    </row>
    <row r="44">
      <c r="A44" s="6" t="inlineStr">
        <is>
          <t>GRO4566</t>
        </is>
      </c>
      <c r="B44" s="6" t="inlineStr">
        <is>
          <t>Neu Bag Dessert terpénes aromatasak 5 g</t>
        </is>
      </c>
      <c r="C44" s="6" t="inlineStr">
        <is>
          <t>Terpén aromatasak</t>
        </is>
      </c>
      <c r="D44" s="6" t="inlineStr">
        <is>
          <t>Páratartalom-szabályzó tasak</t>
        </is>
      </c>
      <c r="E44" s="6" t="inlineStr">
        <is>
          <t>Erős</t>
        </is>
      </c>
      <c r="F44" s="6" t="inlineStr">
        <is>
          <t>az elmúlt 30 napban</t>
        </is>
      </c>
      <c r="G44" s="6" t="inlineStr">
        <is>
          <t>Terpén- / aromatasak</t>
        </is>
      </c>
    </row>
    <row r="45">
      <c r="A45" s="6" t="inlineStr">
        <is>
          <t>GRO4567</t>
        </is>
      </c>
      <c r="B45" s="6" t="inlineStr">
        <is>
          <t>Neu Bag Purple terpénes aromatasak 5 g</t>
        </is>
      </c>
      <c r="C45" s="6" t="inlineStr">
        <is>
          <t>Terpén aromatasak</t>
        </is>
      </c>
      <c r="D45" s="6" t="inlineStr">
        <is>
          <t>Páratartalom-szabályzó tasak</t>
        </is>
      </c>
      <c r="E45" s="6" t="inlineStr">
        <is>
          <t>Erős</t>
        </is>
      </c>
      <c r="F45" s="6" t="inlineStr">
        <is>
          <t>az elmúlt 30 napban</t>
        </is>
      </c>
      <c r="G45" s="6" t="inlineStr">
        <is>
          <t>Terpén- / aromatasak</t>
        </is>
      </c>
    </row>
    <row r="46">
      <c r="A46" s="6" t="inlineStr">
        <is>
          <t>GRO4568</t>
        </is>
      </c>
      <c r="B46" s="6" t="inlineStr">
        <is>
          <t>Neu Bag Sour terpénes aromatasak 5 g</t>
        </is>
      </c>
      <c r="C46" s="6" t="inlineStr">
        <is>
          <t>Terpén aromatasak</t>
        </is>
      </c>
      <c r="D46" s="6" t="inlineStr">
        <is>
          <t>Páratartalom-szabályzó tasak</t>
        </is>
      </c>
      <c r="E46" s="6" t="inlineStr">
        <is>
          <t>Erős</t>
        </is>
      </c>
      <c r="F46" s="6" t="inlineStr">
        <is>
          <t>az elmúlt 30 napban</t>
        </is>
      </c>
      <c r="G46" s="6" t="inlineStr">
        <is>
          <t>Terpén- / aromatasak</t>
        </is>
      </c>
    </row>
    <row r="47">
      <c r="A47" s="6" t="inlineStr">
        <is>
          <t>HED2288</t>
        </is>
      </c>
      <c r="B47" s="6" t="inlineStr">
        <is>
          <t>Integra Boost terpén - ízesített limonén</t>
        </is>
      </c>
      <c r="C47" s="6" t="inlineStr">
        <is>
          <t>Terpén aromatasak</t>
        </is>
      </c>
      <c r="D47" s="6" t="inlineStr">
        <is>
          <t>Páratartalom-szabályzó tasak</t>
        </is>
      </c>
      <c r="E47" s="6" t="inlineStr">
        <is>
          <t>Erős</t>
        </is>
      </c>
      <c r="F47" s="6" t="inlineStr">
        <is>
          <t>az elmúlt 30 napban</t>
        </is>
      </c>
      <c r="G47" s="6" t="inlineStr">
        <is>
          <t>Terpén- / aromatasak</t>
        </is>
      </c>
    </row>
    <row r="48">
      <c r="A48" s="6" t="inlineStr">
        <is>
          <t>HED2289</t>
        </is>
      </c>
      <c r="B48" s="6" t="inlineStr">
        <is>
          <t>Integra Boost terpén - ízesített mircén</t>
        </is>
      </c>
      <c r="C48" s="6" t="inlineStr">
        <is>
          <t>Terpén aromatasak</t>
        </is>
      </c>
      <c r="D48" s="6" t="inlineStr">
        <is>
          <t>Páratartalom-szabályzó tasak</t>
        </is>
      </c>
      <c r="E48" s="6" t="inlineStr">
        <is>
          <t>Erős</t>
        </is>
      </c>
      <c r="F48" s="6" t="inlineStr">
        <is>
          <t>az elmúlt 30 napban</t>
        </is>
      </c>
      <c r="G48" s="6" t="inlineStr">
        <is>
          <t>Terpén- / aromatasak</t>
        </is>
      </c>
    </row>
    <row r="49">
      <c r="A49" s="6" t="inlineStr">
        <is>
          <t>HED2329</t>
        </is>
      </c>
      <c r="B49" s="6" t="inlineStr">
        <is>
          <t>Integra Boost terpén - ízesített terpinolén</t>
        </is>
      </c>
      <c r="C49" s="6" t="inlineStr">
        <is>
          <t>Terpén aromatasak</t>
        </is>
      </c>
      <c r="D49" s="6" t="inlineStr">
        <is>
          <t>Páratartalom-szabályzó tasak</t>
        </is>
      </c>
      <c r="E49" s="6" t="inlineStr">
        <is>
          <t>Erős</t>
        </is>
      </c>
      <c r="F49" s="6" t="inlineStr">
        <is>
          <t>az elmúlt 30 napban</t>
        </is>
      </c>
      <c r="G49" s="6" t="inlineStr">
        <is>
          <t>Terpén- / aromatasak</t>
        </is>
      </c>
    </row>
    <row r="50">
      <c r="A50" s="6" t="inlineStr">
        <is>
          <t>HED2330</t>
        </is>
      </c>
      <c r="B50" s="6" t="inlineStr">
        <is>
          <t>Integra Boost terpén - ízesített linalol</t>
        </is>
      </c>
      <c r="C50" s="6" t="inlineStr">
        <is>
          <t>Terpén aromatasak</t>
        </is>
      </c>
      <c r="D50" s="6" t="inlineStr">
        <is>
          <t>Páratartalom-szabályzó tasak</t>
        </is>
      </c>
      <c r="E50" s="6" t="inlineStr">
        <is>
          <t>Erős</t>
        </is>
      </c>
      <c r="F50" s="6" t="inlineStr">
        <is>
          <t>az elmúlt 30 napban</t>
        </is>
      </c>
      <c r="G50" s="6" t="inlineStr">
        <is>
          <t>Terpén- / aromatasak</t>
        </is>
      </c>
    </row>
    <row r="51">
      <c r="A51" s="6" t="inlineStr">
        <is>
          <t>HED2331</t>
        </is>
      </c>
      <c r="B51" s="6" t="inlineStr">
        <is>
          <t>Integra Boost terpén - ízesített humulén</t>
        </is>
      </c>
      <c r="C51" s="6" t="inlineStr">
        <is>
          <t>Terpén aromatasak</t>
        </is>
      </c>
      <c r="D51" s="6" t="inlineStr">
        <is>
          <t>Páratartalom-szabályzó tasak</t>
        </is>
      </c>
      <c r="E51" s="6" t="inlineStr">
        <is>
          <t>Erős</t>
        </is>
      </c>
      <c r="F51" s="6" t="inlineStr">
        <is>
          <t>az elmúlt 30 napban</t>
        </is>
      </c>
      <c r="G51" s="6" t="inlineStr">
        <is>
          <t>Terpén- / aromatasak</t>
        </is>
      </c>
    </row>
    <row r="52">
      <c r="A52" s="6" t="inlineStr">
        <is>
          <t>GRO2788</t>
        </is>
      </c>
      <c r="B52" s="6" t="inlineStr">
        <is>
          <t>Manuális trimmelő tál 39,5 cm, kézi hajtókaros, átlátszó fedéllel, 30 pengével</t>
        </is>
      </c>
      <c r="C52" s="6" t="inlineStr">
        <is>
          <t>Trimmelő gép, trimmelő tál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Trimmelő tál / gép / zsák</t>
        </is>
      </c>
    </row>
    <row r="53">
      <c r="A53" s="6" t="inlineStr">
        <is>
          <t>GRO2789</t>
        </is>
      </c>
      <c r="B53" s="6" t="inlineStr">
        <is>
          <t>Elektromos trimmelő asztal állítható pengesebességgel és hulladékgyűjtővel, 46 x 46 x 64,5 cm</t>
        </is>
      </c>
      <c r="C53" s="6" t="inlineStr">
        <is>
          <t>Trimmelő gép, trimmelő tál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Trimmelő tál / gép / zsák</t>
        </is>
      </c>
    </row>
    <row r="54">
      <c r="A54" s="6" t="inlineStr">
        <is>
          <t>GRO3740</t>
        </is>
      </c>
      <c r="B54" s="6" t="inlineStr">
        <is>
          <t>Master Products trimmelő gép</t>
        </is>
      </c>
      <c r="C54" s="6" t="inlineStr">
        <is>
          <t>Trimmelő gép, trimmelő tál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Trimmelő tál / gép / zsák</t>
        </is>
      </c>
    </row>
    <row r="55">
      <c r="A55" s="6" t="inlineStr">
        <is>
          <t>GRO3827</t>
        </is>
      </c>
      <c r="B55" s="6" t="inlineStr">
        <is>
          <t>Trimmelő zsák</t>
        </is>
      </c>
      <c r="C55" s="6" t="inlineStr">
        <is>
          <t>Trimmelő gép, trimmelő tál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Trimmelő tál / gép / zsák</t>
        </is>
      </c>
    </row>
    <row r="56">
      <c r="A56" s="6" t="inlineStr">
        <is>
          <t>GRO4235</t>
        </is>
      </c>
      <c r="B56" s="6" t="inlineStr">
        <is>
          <t>Trimmelőgép Peladora Rapax Secret Smoke L</t>
        </is>
      </c>
      <c r="C56" s="6" t="inlineStr">
        <is>
          <t>Trimmelő gép, trimmelő tál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Trimmelő tál / gép / zsák</t>
        </is>
      </c>
    </row>
    <row r="57">
      <c r="A57" s="6" t="inlineStr">
        <is>
          <t>GRO4273</t>
        </is>
      </c>
      <c r="B57" s="6" t="inlineStr">
        <is>
          <t>GF manuális trimmelő 40 cm</t>
        </is>
      </c>
      <c r="C57" s="6" t="inlineStr">
        <is>
          <t>Trimmelő gép, trimmelő tál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Trimmelő tál / gép / zsák</t>
        </is>
      </c>
    </row>
    <row r="58">
      <c r="A58" s="6" t="inlineStr">
        <is>
          <t>GRO4372</t>
        </is>
      </c>
      <c r="B58" s="6" t="inlineStr">
        <is>
          <t>Trimmelőgép motoros tál d: 62 cm H: 48 cm</t>
        </is>
      </c>
      <c r="C58" s="6" t="inlineStr">
        <is>
          <t>Trimmelő gép, trimmelő tál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Trimmelő tál / gép / zsák</t>
        </is>
      </c>
    </row>
    <row r="59">
      <c r="A59" s="6" t="inlineStr">
        <is>
          <t>GRO1109</t>
        </is>
      </c>
      <c r="B59" s="6" t="inlineStr">
        <is>
          <t>Trimmelőolló 165 mm egyenes acél pengékkel, csúszásmentes markolattal</t>
        </is>
      </c>
      <c r="C59" s="6" t="inlineStr">
        <is>
          <t>Trimmelő olló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Trimmelő olló</t>
        </is>
      </c>
    </row>
    <row r="60">
      <c r="A60" s="6" t="inlineStr">
        <is>
          <t>GRO1140</t>
        </is>
      </c>
      <c r="B60" s="6" t="inlineStr">
        <is>
          <t>Trimmelő olló kicsi, rugós visszatérítésű acél pengékkel, ergonomikus fogantyúval</t>
        </is>
      </c>
      <c r="C60" s="6" t="inlineStr">
        <is>
          <t>Trimmelő olló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Trimmelő olló</t>
        </is>
      </c>
    </row>
    <row r="61">
      <c r="A61" s="6" t="inlineStr">
        <is>
          <t>GRO3843</t>
        </is>
      </c>
      <c r="B61" s="6" t="inlineStr">
        <is>
          <t>Easy Snips trimmelő olló ívelt</t>
        </is>
      </c>
      <c r="C61" s="6" t="inlineStr">
        <is>
          <t>Trimmelő olló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Trimmelő olló</t>
        </is>
      </c>
    </row>
    <row r="62">
      <c r="A62" s="6" t="inlineStr">
        <is>
          <t>GRO3844</t>
        </is>
      </c>
      <c r="B62" s="6" t="inlineStr">
        <is>
          <t>Easy Snips trimmelő olló egyenes</t>
        </is>
      </c>
      <c r="C62" s="6" t="inlineStr">
        <is>
          <t>Trimmelő olló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Trimmelő olló</t>
        </is>
      </c>
    </row>
    <row r="63">
      <c r="A63" s="6" t="inlineStr">
        <is>
          <t>GRO4204</t>
        </is>
      </c>
      <c r="B63" s="6" t="inlineStr">
        <is>
          <t>AC Infinity trimmelő olló ívelt,rozsdamentes acél 16,8 cm</t>
        </is>
      </c>
      <c r="C63" s="6" t="inlineStr">
        <is>
          <t>Trimmelő olló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Trimmelő olló</t>
        </is>
      </c>
    </row>
    <row r="64">
      <c r="A64" s="6" t="inlineStr">
        <is>
          <t>GRO4205</t>
        </is>
      </c>
      <c r="B64" s="6" t="inlineStr">
        <is>
          <t>AC Infinity trimmelő olló egyenes,rozsdamentes acél 16,8 cm</t>
        </is>
      </c>
      <c r="C64" s="6" t="inlineStr">
        <is>
          <t>Trimmelő olló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Trimmelő olló</t>
        </is>
      </c>
    </row>
    <row r="65">
      <c r="A65" s="6" t="inlineStr">
        <is>
          <t>GRO4206</t>
        </is>
      </c>
      <c r="B65" s="6" t="inlineStr">
        <is>
          <t>AC Infinity trimmelő olló egyenes,rozsdamentes acél,tisztítószettel 16,8 cm</t>
        </is>
      </c>
      <c r="C65" s="6" t="inlineStr">
        <is>
          <t>Trimmelő olló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Trimmelő olló</t>
        </is>
      </c>
    </row>
    <row r="66">
      <c r="A66" s="6" t="inlineStr">
        <is>
          <t>GRO4275</t>
        </is>
      </c>
      <c r="B66" s="6" t="inlineStr">
        <is>
          <t>GF Trimmelő olló egyenes plasztik piros 21 cm</t>
        </is>
      </c>
      <c r="C66" s="6" t="inlineStr">
        <is>
          <t>Trimmelő olló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Trimmelő olló</t>
        </is>
      </c>
    </row>
    <row r="67">
      <c r="A67" s="6" t="inlineStr">
        <is>
          <t>GRO4276</t>
        </is>
      </c>
      <c r="B67" s="6" t="inlineStr">
        <is>
          <t>GF Trimmelő olló egyenes gumírozott fekete-piros 20,5 cm</t>
        </is>
      </c>
      <c r="C67" s="6" t="inlineStr">
        <is>
          <t>Trimmelő olló</t>
        </is>
      </c>
      <c r="D67" s="6" t="inlineStr"/>
      <c r="E67" s="6" t="inlineStr">
        <is>
          <t>Erős</t>
        </is>
      </c>
      <c r="F67" s="6" t="inlineStr">
        <is>
          <t>az elmúlt 30 napban</t>
        </is>
      </c>
      <c r="G67" s="6" t="inlineStr">
        <is>
          <t>Trimmelő olló</t>
        </is>
      </c>
    </row>
    <row r="68">
      <c r="A68" s="6" t="inlineStr">
        <is>
          <t>GRO4277</t>
        </is>
      </c>
      <c r="B68" s="6" t="inlineStr">
        <is>
          <t>GF Trimmelő olló egyenes zöld-fekete 18,5 cm</t>
        </is>
      </c>
      <c r="C68" s="6" t="inlineStr">
        <is>
          <t>Trimmelő olló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Trimmelő olló</t>
        </is>
      </c>
    </row>
    <row r="69">
      <c r="A69" s="6" t="inlineStr">
        <is>
          <t>GRO4602</t>
        </is>
      </c>
      <c r="B69" s="6" t="inlineStr">
        <is>
          <t>Saboten precíziós trimmelőolló, 10 cm, rugós karral</t>
        </is>
      </c>
      <c r="C69" s="6" t="inlineStr">
        <is>
          <t>Trimmelő olló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Trimmelő olló</t>
        </is>
      </c>
    </row>
    <row r="70">
      <c r="A70" s="6" t="inlineStr">
        <is>
          <t>GRO4603</t>
        </is>
      </c>
      <c r="B70" s="6" t="inlineStr">
        <is>
          <t>Saboten PT-6 metsző- és trimmelőolló 48 mm</t>
        </is>
      </c>
      <c r="C70" s="6" t="inlineStr">
        <is>
          <t>Trimmelő olló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Trimmelő olló</t>
        </is>
      </c>
    </row>
    <row r="71">
      <c r="A71" s="6" t="inlineStr">
        <is>
          <t>GRO4605</t>
        </is>
      </c>
      <c r="B71" s="6" t="inlineStr">
        <is>
          <t>Saboten mágneses trimmelőolló egyenes, extra vékony rozsdamentes pengével</t>
        </is>
      </c>
      <c r="C71" s="6" t="inlineStr">
        <is>
          <t>Trimmelő olló</t>
        </is>
      </c>
      <c r="D71" s="6" t="inlineStr"/>
      <c r="E71" s="6" t="inlineStr">
        <is>
          <t>Erős</t>
        </is>
      </c>
      <c r="F71" s="6" t="inlineStr">
        <is>
          <t>az elmúlt 30 napban</t>
        </is>
      </c>
      <c r="G71" s="6" t="inlineStr">
        <is>
          <t>Trimmelő olló</t>
        </is>
      </c>
    </row>
    <row r="72">
      <c r="A72" s="6" t="inlineStr">
        <is>
          <t>GRO4606</t>
        </is>
      </c>
      <c r="B72" s="6" t="inlineStr">
        <is>
          <t>Trimmelő olló Saboten PT-16 mágneses, ívelt pengével</t>
        </is>
      </c>
      <c r="C72" s="6" t="inlineStr">
        <is>
          <t>Trimmelő olló</t>
        </is>
      </c>
      <c r="D72" s="6" t="inlineStr"/>
      <c r="E72" s="6" t="inlineStr">
        <is>
          <t>Erős</t>
        </is>
      </c>
      <c r="F72" s="6" t="inlineStr">
        <is>
          <t>az elmúlt 30 napban</t>
        </is>
      </c>
      <c r="G72" s="6" t="inlineStr">
        <is>
          <t>Trimmelő olló</t>
        </is>
      </c>
    </row>
    <row r="73">
      <c r="A73" s="6" t="inlineStr">
        <is>
          <t>GRO1542</t>
        </is>
      </c>
      <c r="B73" s="6" t="inlineStr">
        <is>
          <t>Vasalható vákuum zsák 30 x 50 cm, fényálló, hővel lezárható tasak</t>
        </is>
      </c>
      <c r="C73" s="6" t="inlineStr">
        <is>
          <t>Vákuumzsák, simítózáras tasak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Vasalható vákuumzsák / ziplock tasak</t>
        </is>
      </c>
    </row>
    <row r="74">
      <c r="A74" s="6" t="inlineStr">
        <is>
          <t>GRO1805</t>
        </is>
      </c>
      <c r="B74" s="6" t="inlineStr">
        <is>
          <t>Vasalható vákuum zsák 50 x 100 cm, fényálló, hővel lezárható tasak</t>
        </is>
      </c>
      <c r="C74" s="6" t="inlineStr">
        <is>
          <t>Vákuumzsák, simítózáras tasak</t>
        </is>
      </c>
      <c r="D74" s="6" t="inlineStr"/>
      <c r="E74" s="6" t="inlineStr">
        <is>
          <t>Erős</t>
        </is>
      </c>
      <c r="F74" s="6" t="inlineStr">
        <is>
          <t>az elmúlt 30 napban</t>
        </is>
      </c>
      <c r="G74" s="6" t="inlineStr">
        <is>
          <t>Vasalható vákuumzsák / ziplock tasak</t>
        </is>
      </c>
    </row>
    <row r="75">
      <c r="A75" s="6" t="inlineStr">
        <is>
          <t>HED2203</t>
        </is>
      </c>
      <c r="B75" s="6" t="inlineStr">
        <is>
          <t>Ziplock bag 350x450 mm átlátszó 100 db</t>
        </is>
      </c>
      <c r="C75" s="6" t="inlineStr">
        <is>
          <t>Vákuumzsák, simítózáras tasak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Vasalható vákuumzsák / ziplock tasak</t>
        </is>
      </c>
    </row>
    <row r="76">
      <c r="A76" s="9" t="inlineStr">
        <is>
          <t>HED0413</t>
        </is>
      </c>
      <c r="B76" s="9" t="inlineStr">
        <is>
          <t>Kalibráló súly 100g</t>
        </is>
      </c>
      <c r="C76" s="9" t="inlineStr">
        <is>
          <t>Digitális mérleg, zsebmérleg</t>
        </is>
      </c>
      <c r="D76" s="9" t="inlineStr"/>
      <c r="E76" s="9" t="inlineStr">
        <is>
          <t>Laza</t>
        </is>
      </c>
      <c r="F76" s="9" t="inlineStr">
        <is>
          <t>az elmúlt 30 napban</t>
        </is>
      </c>
      <c r="G76" s="9" t="inlineStr">
        <is>
          <t>Kalibráló súly</t>
        </is>
      </c>
    </row>
    <row r="77">
      <c r="A77" s="9" t="inlineStr">
        <is>
          <t>HED0414</t>
        </is>
      </c>
      <c r="B77" s="9" t="inlineStr">
        <is>
          <t>Kalibráló súly 200 g</t>
        </is>
      </c>
      <c r="C77" s="9" t="inlineStr">
        <is>
          <t>Digitális mérleg, zsebmérleg</t>
        </is>
      </c>
      <c r="D77" s="9" t="inlineStr"/>
      <c r="E77" s="9" t="inlineStr">
        <is>
          <t>Laza</t>
        </is>
      </c>
      <c r="F77" s="9" t="inlineStr">
        <is>
          <t>az elmúlt 30 napban</t>
        </is>
      </c>
      <c r="G77" s="9" t="inlineStr">
        <is>
          <t>Kalibráló súly</t>
        </is>
      </c>
    </row>
    <row r="78">
      <c r="A78" s="9" t="inlineStr">
        <is>
          <t>HED0415</t>
        </is>
      </c>
      <c r="B78" s="9" t="inlineStr">
        <is>
          <t>Kalibráló súly 500 g</t>
        </is>
      </c>
      <c r="C78" s="9" t="inlineStr">
        <is>
          <t>Digitális mérleg, zsebmérleg</t>
        </is>
      </c>
      <c r="D78" s="9" t="inlineStr"/>
      <c r="E78" s="9" t="inlineStr">
        <is>
          <t>Laza</t>
        </is>
      </c>
      <c r="F78" s="9" t="inlineStr">
        <is>
          <t>az elmúlt 30 napban</t>
        </is>
      </c>
      <c r="G78" s="9" t="inlineStr">
        <is>
          <t>Kalibráló súly</t>
        </is>
      </c>
    </row>
    <row r="79">
      <c r="A79" s="9" t="inlineStr">
        <is>
          <t>HED1489</t>
        </is>
      </c>
      <c r="B79" s="9" t="inlineStr">
        <is>
          <t>Kalibráló súly 50 g</t>
        </is>
      </c>
      <c r="C79" s="9" t="inlineStr">
        <is>
          <t>Digitális mérleg, zsebmérleg</t>
        </is>
      </c>
      <c r="D79" s="9" t="inlineStr"/>
      <c r="E79" s="9" t="inlineStr">
        <is>
          <t>Laza</t>
        </is>
      </c>
      <c r="F79" s="9" t="inlineStr">
        <is>
          <t>az elmúlt 30 napban</t>
        </is>
      </c>
      <c r="G79" s="9" t="inlineStr">
        <is>
          <t>Kalibráló súly</t>
        </is>
      </c>
    </row>
    <row r="80">
      <c r="A80" s="9" t="inlineStr">
        <is>
          <t>HED1490</t>
        </is>
      </c>
      <c r="B80" s="9" t="inlineStr">
        <is>
          <t>Kalibráló súly 1000 g</t>
        </is>
      </c>
      <c r="C80" s="9" t="inlineStr">
        <is>
          <t>Digitális mérleg, zsebmérleg</t>
        </is>
      </c>
      <c r="D80" s="9" t="inlineStr"/>
      <c r="E80" s="9" t="inlineStr">
        <is>
          <t>Laza</t>
        </is>
      </c>
      <c r="F80" s="9" t="inlineStr">
        <is>
          <t>az elmúlt 30 napban</t>
        </is>
      </c>
      <c r="G80" s="9" t="inlineStr">
        <is>
          <t>Kalibráló súly</t>
        </is>
      </c>
    </row>
    <row r="81">
      <c r="A81" s="9" t="inlineStr">
        <is>
          <t>GRO3829</t>
        </is>
      </c>
      <c r="B81" s="9" t="inlineStr">
        <is>
          <t>Owlsen Optipro grow szemüveg</t>
        </is>
      </c>
      <c r="C81" s="9" t="inlineStr">
        <is>
          <t>Munkaeszköz: kesztyű, nagyító, grow szemüveg</t>
        </is>
      </c>
      <c r="D81" s="9" t="inlineStr"/>
      <c r="E81" s="9" t="inlineStr">
        <is>
          <t>Laza</t>
        </is>
      </c>
      <c r="F81" s="9" t="inlineStr">
        <is>
          <t>az elmúlt 30 napban</t>
        </is>
      </c>
      <c r="G81" s="9" t="inlineStr">
        <is>
          <t>Grow- / védőszemüveg</t>
        </is>
      </c>
    </row>
    <row r="82">
      <c r="A82" s="9" t="inlineStr">
        <is>
          <t>GRO4203</t>
        </is>
      </c>
      <c r="B82" s="9" t="inlineStr">
        <is>
          <t>AC Infinity védőszemüveg 3 cserélhető lencsével</t>
        </is>
      </c>
      <c r="C82" s="9" t="inlineStr">
        <is>
          <t>Munkaeszköz: kesztyű, nagyító, grow szemüveg</t>
        </is>
      </c>
      <c r="D82" s="9" t="inlineStr"/>
      <c r="E82" s="9" t="inlineStr">
        <is>
          <t>Laza</t>
        </is>
      </c>
      <c r="F82" s="9" t="inlineStr">
        <is>
          <t>az elmúlt 30 napban</t>
        </is>
      </c>
      <c r="G82" s="9" t="inlineStr">
        <is>
          <t>Grow- / védőszemüveg</t>
        </is>
      </c>
    </row>
    <row r="83">
      <c r="A83" s="9" t="inlineStr">
        <is>
          <t>GRO4572</t>
        </is>
      </c>
      <c r="B83" s="9" t="inlineStr">
        <is>
          <t>Szárító háló szűrő XL 120 mm x 120 mm x 50 mm</t>
        </is>
      </c>
      <c r="C83" s="9" t="inlineStr">
        <is>
          <t>Szárítóháló, növényszárító</t>
        </is>
      </c>
      <c r="D83" s="9" t="inlineStr"/>
      <c r="E83" s="9" t="inlineStr">
        <is>
          <t>Laza</t>
        </is>
      </c>
      <c r="F83" s="9" t="inlineStr">
        <is>
          <t>az elmúlt 30 napban</t>
        </is>
      </c>
      <c r="G83" s="9" t="inlineStr">
        <is>
          <t>Szárítóháló szűrő (tartozék)</t>
        </is>
      </c>
    </row>
    <row r="84">
      <c r="A84" s="9" t="inlineStr">
        <is>
          <t>GRO4604</t>
        </is>
      </c>
      <c r="B84" s="9" t="inlineStr">
        <is>
          <t>Saboten PT-8 tungsten élező ollóhoz és késhez</t>
        </is>
      </c>
      <c r="C84" s="9" t="inlineStr">
        <is>
          <t>Trimmelő olló</t>
        </is>
      </c>
      <c r="D84" s="9" t="inlineStr">
        <is>
          <t>Hasznos kiegészítők</t>
        </is>
      </c>
      <c r="E84" s="9" t="inlineStr">
        <is>
          <t>Laza</t>
        </is>
      </c>
      <c r="F84" s="9" t="inlineStr">
        <is>
          <t>az elmúlt 30 napban</t>
        </is>
      </c>
      <c r="G84" s="9" t="inlineStr">
        <is>
          <t>Ollóélező</t>
        </is>
      </c>
    </row>
    <row r="85">
      <c r="A85" s="19" t="inlineStr">
        <is>
          <t>GRO4540</t>
        </is>
      </c>
      <c r="B85" s="19" t="inlineStr">
        <is>
          <t>Csomagolás palánta szállításhoz 38x50x18 mm</t>
        </is>
      </c>
      <c r="C85" s="19" t="inlineStr">
        <is>
          <t>Palántanevelő ág – palántaszállító csomagolás</t>
        </is>
      </c>
      <c r="D85" s="19" t="inlineStr"/>
      <c r="E85" s="19" t="inlineStr">
        <is>
          <t>Más főkategória</t>
        </is>
      </c>
      <c r="F85" s="19" t="inlineStr">
        <is>
          <t>az elmúlt 30 napban</t>
        </is>
      </c>
      <c r="G85" s="19" t="inlineStr">
        <is>
          <t>Palántaszállító csomagolás – a Palántanevelő ágban is</t>
        </is>
      </c>
    </row>
    <row r="86">
      <c r="A86" s="19" t="inlineStr">
        <is>
          <t>GRO4680</t>
        </is>
      </c>
      <c r="B86" s="19" t="inlineStr">
        <is>
          <t>Palántaszállító csomagolás 6 db plántához, 38x50 mm (250db/doboz)</t>
        </is>
      </c>
      <c r="C86" s="19" t="inlineStr">
        <is>
          <t>Palántanevelő ág – palántaszállító csomagolás</t>
        </is>
      </c>
      <c r="D86" s="19" t="inlineStr"/>
      <c r="E86" s="19" t="inlineStr">
        <is>
          <t>Más főkategória</t>
        </is>
      </c>
      <c r="F86" s="19" t="inlineStr">
        <is>
          <t>az elmúlt 30 napban</t>
        </is>
      </c>
      <c r="G86" s="19" t="inlineStr">
        <is>
          <t>Palántaszállító csomagolás – a Palántanevelő ágban is</t>
        </is>
      </c>
    </row>
    <row r="87">
      <c r="A87" s="19" t="inlineStr">
        <is>
          <t>GRO4681</t>
        </is>
      </c>
      <c r="B87" s="19" t="inlineStr">
        <is>
          <t>Palántacsomagoló doboz 3 részes, 3,8x5x18 cm (450db/doboz)</t>
        </is>
      </c>
      <c r="C87" s="19" t="inlineStr">
        <is>
          <t>Palántanevelő ág – palántaszállító csomagolás</t>
        </is>
      </c>
      <c r="D87" s="19" t="inlineStr"/>
      <c r="E87" s="19" t="inlineStr">
        <is>
          <t>Más főkategória</t>
        </is>
      </c>
      <c r="F87" s="19" t="inlineStr">
        <is>
          <t>az elmúlt 30 napban</t>
        </is>
      </c>
      <c r="G87" s="19" t="inlineStr">
        <is>
          <t>Palántaszállító csomagolás – a Palántanevelő ágban is</t>
        </is>
      </c>
    </row>
    <row r="88">
      <c r="A88" s="19" t="inlineStr">
        <is>
          <t>GRO4682</t>
        </is>
      </c>
      <c r="B88" s="19" t="inlineStr">
        <is>
          <t>Palántaszállító csomagolás 3 db palántához, 7,5x7,5x39 cm (100db/doboz)</t>
        </is>
      </c>
      <c r="C88" s="19" t="inlineStr">
        <is>
          <t>Palántanevelő ág – palántaszállító csomagolás</t>
        </is>
      </c>
      <c r="D88" s="19" t="inlineStr"/>
      <c r="E88" s="19" t="inlineStr">
        <is>
          <t>Más főkategória</t>
        </is>
      </c>
      <c r="F88" s="19" t="inlineStr">
        <is>
          <t>az elmúlt 30 napban</t>
        </is>
      </c>
      <c r="G88" s="19" t="inlineStr">
        <is>
          <t>Palántaszállító csomagolás – a Palántanevelő ágban is</t>
        </is>
      </c>
    </row>
    <row r="89">
      <c r="A89" s="19" t="inlineStr">
        <is>
          <t>GRO4683</t>
        </is>
      </c>
      <c r="B89" s="19" t="inlineStr">
        <is>
          <t>Palántaszállító csomagolás 3 db palántához (200db/doboz)</t>
        </is>
      </c>
      <c r="C89" s="19" t="inlineStr">
        <is>
          <t>Palántanevelő ág – palántaszállító csomagolás</t>
        </is>
      </c>
      <c r="D89" s="19" t="inlineStr"/>
      <c r="E89" s="19" t="inlineStr">
        <is>
          <t>Más főkategória</t>
        </is>
      </c>
      <c r="F89" s="19" t="inlineStr">
        <is>
          <t>az elmúlt 30 napban</t>
        </is>
      </c>
      <c r="G89" s="19" t="inlineStr">
        <is>
          <t>Palántaszállító csomagolás – a Palántanevelő ágban is</t>
        </is>
      </c>
    </row>
    <row r="90">
      <c r="A90" s="17" t="inlineStr">
        <is>
          <t>GRO0001</t>
        </is>
      </c>
      <c r="B90" s="17" t="inlineStr">
        <is>
          <t>Sylvania Grolux HPS nátriumlámpa izzó 400 W, E40, virágzáshoz</t>
        </is>
      </c>
      <c r="C90" s="17" t="inlineStr">
        <is>
          <t>–</t>
        </is>
      </c>
      <c r="D90" s="17" t="inlineStr"/>
      <c r="E90" s="17" t="inlineStr">
        <is>
          <t>Nem tartozik ide</t>
        </is>
      </c>
      <c r="F90" s="17" t="inlineStr">
        <is>
          <t>az elmúlt 30 napban</t>
        </is>
      </c>
      <c r="G90" s="17" t="inlineStr">
        <is>
          <t>Más főkategória terméke</t>
        </is>
      </c>
    </row>
    <row r="91">
      <c r="A91" s="17" t="inlineStr">
        <is>
          <t>GRO0002</t>
        </is>
      </c>
      <c r="B91" s="17" t="inlineStr">
        <is>
          <t>Sylvania Grolux HPS nátriumlámpa izzó 600 W, E40, virágzáshoz</t>
        </is>
      </c>
      <c r="C91" s="17" t="inlineStr">
        <is>
          <t>–</t>
        </is>
      </c>
      <c r="D91" s="17" t="inlineStr"/>
      <c r="E91" s="17" t="inlineStr">
        <is>
          <t>Nem tartozik ide</t>
        </is>
      </c>
      <c r="F91" s="17" t="inlineStr">
        <is>
          <t>az elmúlt 30 napban</t>
        </is>
      </c>
      <c r="G91" s="17" t="inlineStr">
        <is>
          <t>Más főkategória terméke</t>
        </is>
      </c>
    </row>
    <row r="92">
      <c r="A92" s="17" t="inlineStr">
        <is>
          <t>GRO0050</t>
        </is>
      </c>
      <c r="B92" s="17" t="inlineStr">
        <is>
          <t>Mylar fényvisszaverő fólia 50 μm, 1,25 m széles, méterre</t>
        </is>
      </c>
      <c r="C92" s="17" t="inlineStr">
        <is>
          <t>–</t>
        </is>
      </c>
      <c r="D92" s="17" t="inlineStr"/>
      <c r="E92" s="17" t="inlineStr">
        <is>
          <t>Nem tartozik ide</t>
        </is>
      </c>
      <c r="F92" s="17" t="inlineStr">
        <is>
          <t>az elmúlt 30 napban</t>
        </is>
      </c>
      <c r="G92" s="17" t="inlineStr">
        <is>
          <t>Más főkategória terméke</t>
        </is>
      </c>
    </row>
    <row r="93">
      <c r="A93" s="17" t="inlineStr">
        <is>
          <t>GRO0052</t>
        </is>
      </c>
      <c r="B93" s="17" t="inlineStr">
        <is>
          <t>Fekete-fehér fényvisszaverő fólia 125 μm, 2 m széles, méterre</t>
        </is>
      </c>
      <c r="C93" s="17" t="inlineStr">
        <is>
          <t>–</t>
        </is>
      </c>
      <c r="D93" s="17" t="inlineStr"/>
      <c r="E93" s="17" t="inlineStr">
        <is>
          <t>Nem tartozik ide</t>
        </is>
      </c>
      <c r="F93" s="17" t="inlineStr">
        <is>
          <t>az elmúlt 30 napban</t>
        </is>
      </c>
      <c r="G93" s="17" t="inlineStr">
        <is>
          <t>Más főkategória terméke</t>
        </is>
      </c>
    </row>
    <row r="94">
      <c r="A94" s="17" t="inlineStr">
        <is>
          <t>GRO0054</t>
        </is>
      </c>
      <c r="B94" s="17" t="inlineStr">
        <is>
          <t>Dán tálca apály-dagály alátét 106 x 33 cm árasztásos rendszerhez</t>
        </is>
      </c>
      <c r="C94" s="17" t="inlineStr">
        <is>
          <t>–</t>
        </is>
      </c>
      <c r="D94" s="17" t="inlineStr"/>
      <c r="E94" s="17" t="inlineStr">
        <is>
          <t>Nem tartozik ide</t>
        </is>
      </c>
      <c r="F94" s="17" t="inlineStr">
        <is>
          <t>az elmúlt 30 napban</t>
        </is>
      </c>
      <c r="G94" s="17" t="inlineStr">
        <is>
          <t>Más főkategória terméke</t>
        </is>
      </c>
    </row>
    <row r="95">
      <c r="A95" s="17" t="inlineStr">
        <is>
          <t>GRO0056</t>
        </is>
      </c>
      <c r="B95" s="17" t="inlineStr">
        <is>
          <t>Dán tálca apály-dagály alátét 106 x 102 cm árasztásos rendszerhez</t>
        </is>
      </c>
      <c r="C95" s="17" t="inlineStr">
        <is>
          <t>–</t>
        </is>
      </c>
      <c r="D95" s="17" t="inlineStr"/>
      <c r="E95" s="17" t="inlineStr">
        <is>
          <t>Nem tartozik ide</t>
        </is>
      </c>
      <c r="F95" s="17" t="inlineStr">
        <is>
          <t>az elmúlt 30 napban</t>
        </is>
      </c>
      <c r="G95" s="17" t="inlineStr">
        <is>
          <t>Más főkategória terméke</t>
        </is>
      </c>
    </row>
    <row r="96">
      <c r="A96" s="17" t="inlineStr">
        <is>
          <t>GRO0057</t>
        </is>
      </c>
      <c r="B96" s="17" t="inlineStr">
        <is>
          <t>Dán tálca apály-dagály alátét 106 x 202 cm árasztásos rendszerhez</t>
        </is>
      </c>
      <c r="C96" s="17" t="inlineStr">
        <is>
          <t>–</t>
        </is>
      </c>
      <c r="D96" s="17" t="inlineStr"/>
      <c r="E96" s="17" t="inlineStr">
        <is>
          <t>Nem tartozik ide</t>
        </is>
      </c>
      <c r="F96" s="17" t="inlineStr">
        <is>
          <t>az elmúlt 30 napban</t>
        </is>
      </c>
      <c r="G96" s="17" t="inlineStr">
        <is>
          <t>Más főkategória terméke</t>
        </is>
      </c>
    </row>
    <row r="97">
      <c r="A97" s="17" t="inlineStr">
        <is>
          <t>GRO0067</t>
        </is>
      </c>
      <c r="B97" s="17" t="inlineStr">
        <is>
          <t>Szögletes műanyag cserép 6 liter, 17,5 x 17,5 x 25 cm, gyökércsavarodás gátló</t>
        </is>
      </c>
      <c r="C97" s="17" t="inlineStr">
        <is>
          <t>–</t>
        </is>
      </c>
      <c r="D97" s="17" t="inlineStr"/>
      <c r="E97" s="17" t="inlineStr">
        <is>
          <t>Nem tartozik ide</t>
        </is>
      </c>
      <c r="F97" s="17" t="inlineStr">
        <is>
          <t>az elmúlt 30 napban</t>
        </is>
      </c>
      <c r="G97" s="17" t="inlineStr">
        <is>
          <t>Más főkategória terméke</t>
        </is>
      </c>
    </row>
    <row r="98">
      <c r="A98" s="17" t="inlineStr">
        <is>
          <t>GRO0068</t>
        </is>
      </c>
      <c r="B98" s="17" t="inlineStr">
        <is>
          <t>Görög mintás négyzetes műanyag virágcserép 18 liter, 30,5 x 30,5 cm</t>
        </is>
      </c>
      <c r="C98" s="17" t="inlineStr">
        <is>
          <t>–</t>
        </is>
      </c>
      <c r="D98" s="17" t="inlineStr"/>
      <c r="E98" s="17" t="inlineStr">
        <is>
          <t>Nem tartozik ide</t>
        </is>
      </c>
      <c r="F98" s="17" t="inlineStr">
        <is>
          <t>az elmúlt 30 napban</t>
        </is>
      </c>
      <c r="G98" s="17" t="inlineStr">
        <is>
          <t>Más főkategória terméke</t>
        </is>
      </c>
    </row>
    <row r="99">
      <c r="A99" s="17" t="inlineStr">
        <is>
          <t>GRO0069</t>
        </is>
      </c>
      <c r="B99" s="17" t="inlineStr">
        <is>
          <t>Görög mintás négyzetes műanyag virágcserép 25 liter, 33,5 x 33,5 cm</t>
        </is>
      </c>
      <c r="C99" s="17" t="inlineStr">
        <is>
          <t>–</t>
        </is>
      </c>
      <c r="D99" s="17" t="inlineStr"/>
      <c r="E99" s="17" t="inlineStr">
        <is>
          <t>Nem tartozik ide</t>
        </is>
      </c>
      <c r="F99" s="17" t="inlineStr">
        <is>
          <t>az elmúlt 30 napban</t>
        </is>
      </c>
      <c r="G99" s="17" t="inlineStr">
        <is>
          <t>Más főkategória terméke</t>
        </is>
      </c>
    </row>
    <row r="100">
      <c r="A100" s="17" t="inlineStr">
        <is>
          <t>GRO0070</t>
        </is>
      </c>
      <c r="B100" s="17" t="inlineStr">
        <is>
          <t>Görög mintás négyzetes műanyag virágcserép 30 liter, 36,5 x 36,5 cm</t>
        </is>
      </c>
      <c r="C100" s="17" t="inlineStr">
        <is>
          <t>–</t>
        </is>
      </c>
      <c r="D100" s="17" t="inlineStr"/>
      <c r="E100" s="17" t="inlineStr">
        <is>
          <t>Nem tartozik ide</t>
        </is>
      </c>
      <c r="F100" s="17" t="inlineStr">
        <is>
          <t>az elmúlt 30 napban</t>
        </is>
      </c>
      <c r="G100" s="17" t="inlineStr">
        <is>
          <t>Más főkategória terméke</t>
        </is>
      </c>
    </row>
    <row r="101">
      <c r="A101" s="17" t="inlineStr">
        <is>
          <t>GRO0073</t>
        </is>
      </c>
      <c r="B101" s="17" t="inlineStr">
        <is>
          <t>Growth Technology Clonex gyökereztető gél dugványozáshoz</t>
        </is>
      </c>
      <c r="C101" s="17" t="inlineStr">
        <is>
          <t>–</t>
        </is>
      </c>
      <c r="D101" s="17" t="inlineStr"/>
      <c r="E101" s="17" t="inlineStr">
        <is>
          <t>Nem tartozik ide</t>
        </is>
      </c>
      <c r="F101" s="17" t="inlineStr">
        <is>
          <t>az elmúlt 30 napban</t>
        </is>
      </c>
      <c r="G101" s="17" t="inlineStr">
        <is>
          <t>Más főkategória terméke</t>
        </is>
      </c>
    </row>
    <row r="102">
      <c r="A102" s="17" t="inlineStr">
        <is>
          <t>GRO0076</t>
        </is>
      </c>
      <c r="B102" s="17" t="inlineStr">
        <is>
          <t>BioBizz Bio-Grow szerves növekedési táp 500 ml</t>
        </is>
      </c>
      <c r="C102" s="17" t="inlineStr">
        <is>
          <t>–</t>
        </is>
      </c>
      <c r="D102" s="17" t="inlineStr"/>
      <c r="E102" s="17" t="inlineStr">
        <is>
          <t>Nem tartozik ide</t>
        </is>
      </c>
      <c r="F102" s="17" t="inlineStr">
        <is>
          <t>az elmúlt 30 napban</t>
        </is>
      </c>
      <c r="G102" s="17" t="inlineStr">
        <is>
          <t>Más főkategória terméke</t>
        </is>
      </c>
    </row>
    <row r="103">
      <c r="A103" s="17" t="inlineStr">
        <is>
          <t>GRO0077</t>
        </is>
      </c>
      <c r="B103" s="17" t="inlineStr">
        <is>
          <t>BioBizz Bio-Grow szerves növekedési táp 1 liter</t>
        </is>
      </c>
      <c r="C103" s="17" t="inlineStr">
        <is>
          <t>–</t>
        </is>
      </c>
      <c r="D103" s="17" t="inlineStr"/>
      <c r="E103" s="17" t="inlineStr">
        <is>
          <t>Nem tartozik ide</t>
        </is>
      </c>
      <c r="F103" s="17" t="inlineStr">
        <is>
          <t>az elmúlt 30 napban</t>
        </is>
      </c>
      <c r="G103" s="17" t="inlineStr">
        <is>
          <t>Más főkategória terméke</t>
        </is>
      </c>
    </row>
    <row r="104">
      <c r="A104" s="17" t="inlineStr">
        <is>
          <t>GRO0078</t>
        </is>
      </c>
      <c r="B104" s="17" t="inlineStr">
        <is>
          <t>BioBizz Bio-Grow szerves növekedési táp 5 liter</t>
        </is>
      </c>
      <c r="C104" s="17" t="inlineStr">
        <is>
          <t>–</t>
        </is>
      </c>
      <c r="D104" s="17" t="inlineStr"/>
      <c r="E104" s="17" t="inlineStr">
        <is>
          <t>Nem tartozik ide</t>
        </is>
      </c>
      <c r="F104" s="17" t="inlineStr">
        <is>
          <t>az elmúlt 30 napban</t>
        </is>
      </c>
      <c r="G104" s="17" t="inlineStr">
        <is>
          <t>Más főkategória terméke</t>
        </is>
      </c>
    </row>
    <row r="105">
      <c r="A105" s="17" t="inlineStr">
        <is>
          <t>GRO0079</t>
        </is>
      </c>
      <c r="B105" s="17" t="inlineStr">
        <is>
          <t>BioBizz Bio-Grow szerves növekedési táp 10 liter</t>
        </is>
      </c>
      <c r="C105" s="17" t="inlineStr">
        <is>
          <t>–</t>
        </is>
      </c>
      <c r="D105" s="17" t="inlineStr"/>
      <c r="E105" s="17" t="inlineStr">
        <is>
          <t>Nem tartozik ide</t>
        </is>
      </c>
      <c r="F105" s="17" t="inlineStr">
        <is>
          <t>az elmúlt 30 napban</t>
        </is>
      </c>
      <c r="G105" s="17" t="inlineStr">
        <is>
          <t>Más főkategória terméke</t>
        </is>
      </c>
    </row>
    <row r="106">
      <c r="A106" s="17" t="inlineStr">
        <is>
          <t>GRO0080</t>
        </is>
      </c>
      <c r="B106" s="17" t="inlineStr">
        <is>
          <t>BioBizz Bio-Bloom szerves virágzási táp 500 ml</t>
        </is>
      </c>
      <c r="C106" s="17" t="inlineStr">
        <is>
          <t>–</t>
        </is>
      </c>
      <c r="D106" s="17" t="inlineStr"/>
      <c r="E106" s="17" t="inlineStr">
        <is>
          <t>Nem tartozik ide</t>
        </is>
      </c>
      <c r="F106" s="17" t="inlineStr">
        <is>
          <t>az elmúlt 30 napban</t>
        </is>
      </c>
      <c r="G106" s="17" t="inlineStr">
        <is>
          <t>Más főkategória terméke</t>
        </is>
      </c>
    </row>
    <row r="107">
      <c r="A107" s="17" t="inlineStr">
        <is>
          <t>GRO0081</t>
        </is>
      </c>
      <c r="B107" s="17" t="inlineStr">
        <is>
          <t>BioBizz Bio-Bloom szerves virágzási táp 1 liter</t>
        </is>
      </c>
      <c r="C107" s="17" t="inlineStr">
        <is>
          <t>–</t>
        </is>
      </c>
      <c r="D107" s="17" t="inlineStr"/>
      <c r="E107" s="17" t="inlineStr">
        <is>
          <t>Nem tartozik ide</t>
        </is>
      </c>
      <c r="F107" s="17" t="inlineStr">
        <is>
          <t>az elmúlt 30 napban</t>
        </is>
      </c>
      <c r="G107" s="17" t="inlineStr">
        <is>
          <t>Más főkategória terméke</t>
        </is>
      </c>
    </row>
    <row r="108">
      <c r="A108" s="17" t="inlineStr">
        <is>
          <t>GRO0084</t>
        </is>
      </c>
      <c r="B108" s="17" t="inlineStr">
        <is>
          <t>BioBizz Alg-A-Mic tengeri alga vitalitásserkentő 500 ml</t>
        </is>
      </c>
      <c r="C108" s="17" t="inlineStr">
        <is>
          <t>–</t>
        </is>
      </c>
      <c r="D108" s="17" t="inlineStr"/>
      <c r="E108" s="17" t="inlineStr">
        <is>
          <t>Nem tartozik ide</t>
        </is>
      </c>
      <c r="F108" s="17" t="inlineStr">
        <is>
          <t>az elmúlt 30 napban</t>
        </is>
      </c>
      <c r="G108" s="17" t="inlineStr">
        <is>
          <t>Más főkategória terméke</t>
        </is>
      </c>
    </row>
    <row r="109">
      <c r="A109" s="17" t="inlineStr">
        <is>
          <t>GRO0085</t>
        </is>
      </c>
      <c r="B109" s="17" t="inlineStr">
        <is>
          <t>BioBizz Alg-A-Mic tengeri alga vitalitásserkentő 1 liter</t>
        </is>
      </c>
      <c r="C109" s="17" t="inlineStr">
        <is>
          <t>–</t>
        </is>
      </c>
      <c r="D109" s="17" t="inlineStr"/>
      <c r="E109" s="17" t="inlineStr">
        <is>
          <t>Nem tartozik ide</t>
        </is>
      </c>
      <c r="F109" s="17" t="inlineStr">
        <is>
          <t>az elmúlt 30 napban</t>
        </is>
      </c>
      <c r="G109" s="17" t="inlineStr">
        <is>
          <t>Más főkategória terméke</t>
        </is>
      </c>
    </row>
    <row r="110">
      <c r="A110" s="17" t="inlineStr">
        <is>
          <t>GRO0088</t>
        </is>
      </c>
      <c r="B110" s="17" t="inlineStr">
        <is>
          <t>BioBizz Fish-Mix szerves növekedési táp halemulzióval 500 ml</t>
        </is>
      </c>
      <c r="C110" s="17" t="inlineStr">
        <is>
          <t>–</t>
        </is>
      </c>
      <c r="D110" s="17" t="inlineStr"/>
      <c r="E110" s="17" t="inlineStr">
        <is>
          <t>Nem tartozik ide</t>
        </is>
      </c>
      <c r="F110" s="17" t="inlineStr">
        <is>
          <t>az elmúlt 30 napban</t>
        </is>
      </c>
      <c r="G110" s="17" t="inlineStr">
        <is>
          <t>Más főkategória terméke</t>
        </is>
      </c>
    </row>
    <row r="111">
      <c r="A111" s="17" t="inlineStr">
        <is>
          <t>GRO0089</t>
        </is>
      </c>
      <c r="B111" s="17" t="inlineStr">
        <is>
          <t>BioBizz Fish-Mix szerves növekedési táp halemulzióval 1 liter</t>
        </is>
      </c>
      <c r="C111" s="17" t="inlineStr">
        <is>
          <t>–</t>
        </is>
      </c>
      <c r="D111" s="17" t="inlineStr"/>
      <c r="E111" s="17" t="inlineStr">
        <is>
          <t>Nem tartozik ide</t>
        </is>
      </c>
      <c r="F111" s="17" t="inlineStr">
        <is>
          <t>az elmúlt 30 napban</t>
        </is>
      </c>
      <c r="G111" s="17" t="inlineStr">
        <is>
          <t>Más főkategória terméke</t>
        </is>
      </c>
    </row>
    <row r="112">
      <c r="A112" s="17" t="inlineStr">
        <is>
          <t>GRO0090</t>
        </is>
      </c>
      <c r="B112" s="17" t="inlineStr">
        <is>
          <t>BioBizz Fish-Mix szerves növekedési táp halemulzióval 5 liter</t>
        </is>
      </c>
      <c r="C112" s="17" t="inlineStr">
        <is>
          <t>–</t>
        </is>
      </c>
      <c r="D112" s="17" t="inlineStr"/>
      <c r="E112" s="17" t="inlineStr">
        <is>
          <t>Nem tartozik ide</t>
        </is>
      </c>
      <c r="F112" s="17" t="inlineStr">
        <is>
          <t>az elmúlt 30 napban</t>
        </is>
      </c>
      <c r="G112" s="17" t="inlineStr">
        <is>
          <t>Más főkategória terméke</t>
        </is>
      </c>
    </row>
    <row r="113">
      <c r="A113" s="17" t="inlineStr">
        <is>
          <t>GRO0092</t>
        </is>
      </c>
      <c r="B113" s="17" t="inlineStr">
        <is>
          <t>BioBizz Root-Juice gyökérserkentő 250 ml</t>
        </is>
      </c>
      <c r="C113" s="17" t="inlineStr">
        <is>
          <t>–</t>
        </is>
      </c>
      <c r="D113" s="17" t="inlineStr"/>
      <c r="E113" s="17" t="inlineStr">
        <is>
          <t>Nem tartozik ide</t>
        </is>
      </c>
      <c r="F113" s="17" t="inlineStr">
        <is>
          <t>az elmúlt 30 napban</t>
        </is>
      </c>
      <c r="G113" s="17" t="inlineStr">
        <is>
          <t>Más főkategória terméke</t>
        </is>
      </c>
    </row>
    <row r="114">
      <c r="A114" s="17" t="inlineStr">
        <is>
          <t>GRO0094</t>
        </is>
      </c>
      <c r="B114" s="17" t="inlineStr">
        <is>
          <t>BioBizz Root-Juice gyökérserkentő 5 liter</t>
        </is>
      </c>
      <c r="C114" s="17" t="inlineStr">
        <is>
          <t>–</t>
        </is>
      </c>
      <c r="D114" s="17" t="inlineStr"/>
      <c r="E114" s="17" t="inlineStr">
        <is>
          <t>Nem tartozik ide</t>
        </is>
      </c>
      <c r="F114" s="17" t="inlineStr">
        <is>
          <t>az elmúlt 30 napban</t>
        </is>
      </c>
      <c r="G114" s="17" t="inlineStr">
        <is>
          <t>Más főkategória terméke</t>
        </is>
      </c>
    </row>
    <row r="115">
      <c r="A115" s="17" t="inlineStr">
        <is>
          <t>GRO0095</t>
        </is>
      </c>
      <c r="B115" s="17" t="inlineStr">
        <is>
          <t>BioBizz Top-Max szerves virágzásserkentő 500 ml</t>
        </is>
      </c>
      <c r="C115" s="17" t="inlineStr">
        <is>
          <t>–</t>
        </is>
      </c>
      <c r="D115" s="17" t="inlineStr"/>
      <c r="E115" s="17" t="inlineStr">
        <is>
          <t>Nem tartozik ide</t>
        </is>
      </c>
      <c r="F115" s="17" t="inlineStr">
        <is>
          <t>az elmúlt 30 napban</t>
        </is>
      </c>
      <c r="G115" s="17" t="inlineStr">
        <is>
          <t>Más főkategória terméke</t>
        </is>
      </c>
    </row>
    <row r="116">
      <c r="A116" s="17" t="inlineStr">
        <is>
          <t>GRO0096</t>
        </is>
      </c>
      <c r="B116" s="17" t="inlineStr">
        <is>
          <t>BioBizz Top-Max szerves virágzásserkentő 1 liter</t>
        </is>
      </c>
      <c r="C116" s="17" t="inlineStr">
        <is>
          <t>–</t>
        </is>
      </c>
      <c r="D116" s="17" t="inlineStr"/>
      <c r="E116" s="17" t="inlineStr">
        <is>
          <t>Nem tartozik ide</t>
        </is>
      </c>
      <c r="F116" s="17" t="inlineStr">
        <is>
          <t>az elmúlt 30 napban</t>
        </is>
      </c>
      <c r="G116" s="17" t="inlineStr">
        <is>
          <t>Más főkategória terméke</t>
        </is>
      </c>
    </row>
    <row r="117">
      <c r="A117" s="17" t="inlineStr">
        <is>
          <t>GRO0097</t>
        </is>
      </c>
      <c r="B117" s="17" t="inlineStr">
        <is>
          <t>BioBizz Top-Max szerves virágzásserkentő 5 liter</t>
        </is>
      </c>
      <c r="C117" s="17" t="inlineStr">
        <is>
          <t>–</t>
        </is>
      </c>
      <c r="D117" s="17" t="inlineStr"/>
      <c r="E117" s="17" t="inlineStr">
        <is>
          <t>Nem tartozik ide</t>
        </is>
      </c>
      <c r="F117" s="17" t="inlineStr">
        <is>
          <t>az elmúlt 30 napban</t>
        </is>
      </c>
      <c r="G117" s="17" t="inlineStr">
        <is>
          <t>Más főkategória terméke</t>
        </is>
      </c>
    </row>
    <row r="118">
      <c r="A118" s="17" t="inlineStr">
        <is>
          <t>GRO0099</t>
        </is>
      </c>
      <c r="B118" s="17" t="inlineStr">
        <is>
          <t>BioBizz Leaf-Coat levélvédő permet 500 ml</t>
        </is>
      </c>
      <c r="C118" s="17" t="inlineStr">
        <is>
          <t>–</t>
        </is>
      </c>
      <c r="D118" s="17" t="inlineStr"/>
      <c r="E118" s="17" t="inlineStr">
        <is>
          <t>Nem tartozik ide</t>
        </is>
      </c>
      <c r="F118" s="17" t="inlineStr">
        <is>
          <t>az elmúlt 30 napban</t>
        </is>
      </c>
      <c r="G118" s="17" t="inlineStr">
        <is>
          <t>Más főkategória terméke</t>
        </is>
      </c>
    </row>
    <row r="119">
      <c r="A119" s="17" t="inlineStr">
        <is>
          <t>GRO0100</t>
        </is>
      </c>
      <c r="B119" s="17" t="inlineStr">
        <is>
          <t>BioBizz Leaf-Coat levélvédő permet 1 liter</t>
        </is>
      </c>
      <c r="C119" s="17" t="inlineStr">
        <is>
          <t>–</t>
        </is>
      </c>
      <c r="D119" s="17" t="inlineStr"/>
      <c r="E119" s="17" t="inlineStr">
        <is>
          <t>Nem tartozik ide</t>
        </is>
      </c>
      <c r="F119" s="17" t="inlineStr">
        <is>
          <t>az elmúlt 30 napban</t>
        </is>
      </c>
      <c r="G119" s="17" t="inlineStr">
        <is>
          <t>Más főkategória terméke</t>
        </is>
      </c>
    </row>
    <row r="120">
      <c r="A120" s="17" t="inlineStr">
        <is>
          <t>GRO0101</t>
        </is>
      </c>
      <c r="B120" s="17" t="inlineStr">
        <is>
          <t>BioBizz Bio-Heaven szerves stimulátor 250 ml</t>
        </is>
      </c>
      <c r="C120" s="17" t="inlineStr">
        <is>
          <t>–</t>
        </is>
      </c>
      <c r="D120" s="17" t="inlineStr"/>
      <c r="E120" s="17" t="inlineStr">
        <is>
          <t>Nem tartozik ide</t>
        </is>
      </c>
      <c r="F120" s="17" t="inlineStr">
        <is>
          <t>az elmúlt 30 napban</t>
        </is>
      </c>
      <c r="G120" s="17" t="inlineStr">
        <is>
          <t>Más főkategória terméke</t>
        </is>
      </c>
    </row>
    <row r="121">
      <c r="A121" s="17" t="inlineStr">
        <is>
          <t>GRO0102</t>
        </is>
      </c>
      <c r="B121" s="17" t="inlineStr">
        <is>
          <t>BioBizz Bio-Heaven szerves stimulátor 500 ml</t>
        </is>
      </c>
      <c r="C121" s="17" t="inlineStr">
        <is>
          <t>–</t>
        </is>
      </c>
      <c r="D121" s="17" t="inlineStr"/>
      <c r="E121" s="17" t="inlineStr">
        <is>
          <t>Nem tartozik ide</t>
        </is>
      </c>
      <c r="F121" s="17" t="inlineStr">
        <is>
          <t>az elmúlt 30 napban</t>
        </is>
      </c>
      <c r="G121" s="17" t="inlineStr">
        <is>
          <t>Más főkategória terméke</t>
        </is>
      </c>
    </row>
    <row r="122">
      <c r="A122" s="17" t="inlineStr">
        <is>
          <t>GRO0103</t>
        </is>
      </c>
      <c r="B122" s="17" t="inlineStr">
        <is>
          <t>BioBizz Bio-Heaven szerves stimulátor 1 liter</t>
        </is>
      </c>
      <c r="C122" s="17" t="inlineStr">
        <is>
          <t>–</t>
        </is>
      </c>
      <c r="D122" s="17" t="inlineStr"/>
      <c r="E122" s="17" t="inlineStr">
        <is>
          <t>Nem tartozik ide</t>
        </is>
      </c>
      <c r="F122" s="17" t="inlineStr">
        <is>
          <t>az elmúlt 30 napban</t>
        </is>
      </c>
      <c r="G122" s="17" t="inlineStr">
        <is>
          <t>Más főkategória terméke</t>
        </is>
      </c>
    </row>
    <row r="123">
      <c r="A123" s="17" t="inlineStr">
        <is>
          <t>GRO0108</t>
        </is>
      </c>
      <c r="B123" s="17" t="inlineStr">
        <is>
          <t>Terra Aquatica (GHE) TriPart Grow növekedési táp, korábban FloraGro, 1 liter</t>
        </is>
      </c>
      <c r="C123" s="17" t="inlineStr">
        <is>
          <t>–</t>
        </is>
      </c>
      <c r="D123" s="17" t="inlineStr"/>
      <c r="E123" s="17" t="inlineStr">
        <is>
          <t>Nem tartozik ide</t>
        </is>
      </c>
      <c r="F123" s="17" t="inlineStr">
        <is>
          <t>az elmúlt 30 napban</t>
        </is>
      </c>
      <c r="G123" s="17" t="inlineStr">
        <is>
          <t>Más főkategória terméke</t>
        </is>
      </c>
    </row>
    <row r="124">
      <c r="A124" s="17" t="inlineStr">
        <is>
          <t>GRO0109</t>
        </is>
      </c>
      <c r="B124" s="17" t="inlineStr">
        <is>
          <t>Terra Aquatica (GHE) TriPart Grow növekedési táp, korábban FloraGro, 5 liter</t>
        </is>
      </c>
      <c r="C124" s="17" t="inlineStr">
        <is>
          <t>–</t>
        </is>
      </c>
      <c r="D124" s="17" t="inlineStr"/>
      <c r="E124" s="17" t="inlineStr">
        <is>
          <t>Nem tartozik ide</t>
        </is>
      </c>
      <c r="F124" s="17" t="inlineStr">
        <is>
          <t>az elmúlt 30 napban</t>
        </is>
      </c>
      <c r="G124" s="17" t="inlineStr">
        <is>
          <t>Más főkategória terméke</t>
        </is>
      </c>
    </row>
    <row r="125">
      <c r="A125" s="17" t="inlineStr">
        <is>
          <t>GRO0110</t>
        </is>
      </c>
      <c r="B125" s="17" t="inlineStr">
        <is>
          <t>Terra Aquatica Tripart Flora Grow (GHE FloraGro) 10 liter</t>
        </is>
      </c>
      <c r="C125" s="17" t="inlineStr">
        <is>
          <t>–</t>
        </is>
      </c>
      <c r="D125" s="17" t="inlineStr"/>
      <c r="E125" s="17" t="inlineStr">
        <is>
          <t>Nem tartozik ide</t>
        </is>
      </c>
      <c r="F125" s="17" t="inlineStr">
        <is>
          <t>az elmúlt 30 napban</t>
        </is>
      </c>
      <c r="G125" s="17" t="inlineStr">
        <is>
          <t>Más főkategória terméke</t>
        </is>
      </c>
    </row>
    <row r="126">
      <c r="A126" s="17" t="inlineStr">
        <is>
          <t>GRO0112</t>
        </is>
      </c>
      <c r="B126" s="17" t="inlineStr">
        <is>
          <t>Terra Aquatica (GHE) TriPart Bloom virágzási táp, korábban FloraBloom, 1 liter</t>
        </is>
      </c>
      <c r="C126" s="17" t="inlineStr">
        <is>
          <t>–</t>
        </is>
      </c>
      <c r="D126" s="17" t="inlineStr"/>
      <c r="E126" s="17" t="inlineStr">
        <is>
          <t>Nem tartozik ide</t>
        </is>
      </c>
      <c r="F126" s="17" t="inlineStr">
        <is>
          <t>az elmúlt 30 napban</t>
        </is>
      </c>
      <c r="G126" s="17" t="inlineStr">
        <is>
          <t>Más főkategória terméke</t>
        </is>
      </c>
    </row>
    <row r="127">
      <c r="A127" s="17" t="inlineStr">
        <is>
          <t>GRO0113</t>
        </is>
      </c>
      <c r="B127" s="17" t="inlineStr">
        <is>
          <t>Terra Aquatica (GHE) Tripart Flora Bloom 5 liter</t>
        </is>
      </c>
      <c r="C127" s="17" t="inlineStr">
        <is>
          <t>–</t>
        </is>
      </c>
      <c r="D127" s="17" t="inlineStr"/>
      <c r="E127" s="17" t="inlineStr">
        <is>
          <t>Nem tartozik ide</t>
        </is>
      </c>
      <c r="F127" s="17" t="inlineStr">
        <is>
          <t>az elmúlt 30 napban</t>
        </is>
      </c>
      <c r="G127" s="17" t="inlineStr">
        <is>
          <t>Más főkategória terméke</t>
        </is>
      </c>
    </row>
    <row r="128">
      <c r="A128" s="17" t="inlineStr">
        <is>
          <t>GRO0116</t>
        </is>
      </c>
      <c r="B128" s="17" t="inlineStr">
        <is>
          <t>Terra Aquatica (GHE) TriPart Micro Soft Water alaptáp, korábban FloraMicro, 1 liter</t>
        </is>
      </c>
      <c r="C128" s="17" t="inlineStr">
        <is>
          <t>–</t>
        </is>
      </c>
      <c r="D128" s="17" t="inlineStr"/>
      <c r="E128" s="17" t="inlineStr">
        <is>
          <t>Nem tartozik ide</t>
        </is>
      </c>
      <c r="F128" s="17" t="inlineStr">
        <is>
          <t>az elmúlt 30 napban</t>
        </is>
      </c>
      <c r="G128" s="17" t="inlineStr">
        <is>
          <t>Más főkategória terméke</t>
        </is>
      </c>
    </row>
    <row r="129">
      <c r="A129" s="17" t="inlineStr">
        <is>
          <t>GRO0117</t>
        </is>
      </c>
      <c r="B129" s="17" t="inlineStr">
        <is>
          <t>Terra Aquatica (GHE) TriPart Micro Soft Water alaptáp, korábban FloraMicro, 5 liter</t>
        </is>
      </c>
      <c r="C129" s="17" t="inlineStr">
        <is>
          <t>–</t>
        </is>
      </c>
      <c r="D129" s="17" t="inlineStr"/>
      <c r="E129" s="17" t="inlineStr">
        <is>
          <t>Nem tartozik ide</t>
        </is>
      </c>
      <c r="F129" s="17" t="inlineStr">
        <is>
          <t>az elmúlt 30 napban</t>
        </is>
      </c>
      <c r="G129" s="17" t="inlineStr">
        <is>
          <t>Más főkategória terméke</t>
        </is>
      </c>
    </row>
    <row r="130">
      <c r="A130" s="17" t="inlineStr">
        <is>
          <t>GRO0118</t>
        </is>
      </c>
      <c r="B130" s="17" t="inlineStr">
        <is>
          <t>Terra Aquatica (GHE) TriPart Micro Soft Water alaptáp, korábban FloraMicro, 10 liter</t>
        </is>
      </c>
      <c r="C130" s="17" t="inlineStr">
        <is>
          <t>–</t>
        </is>
      </c>
      <c r="D130" s="17" t="inlineStr"/>
      <c r="E130" s="17" t="inlineStr">
        <is>
          <t>Nem tartozik ide</t>
        </is>
      </c>
      <c r="F130" s="17" t="inlineStr">
        <is>
          <t>az elmúlt 30 napban</t>
        </is>
      </c>
      <c r="G130" s="17" t="inlineStr">
        <is>
          <t>Más főkategória terméke</t>
        </is>
      </c>
    </row>
    <row r="131">
      <c r="A131" s="17" t="inlineStr">
        <is>
          <t>GRO0132</t>
        </is>
      </c>
      <c r="B131" s="17" t="inlineStr">
        <is>
          <t>Terra Aquatica (GHE) FinalPart érlelő táp késői virágzáshoz, korábban Ripen, 1 liter</t>
        </is>
      </c>
      <c r="C131" s="17" t="inlineStr">
        <is>
          <t>–</t>
        </is>
      </c>
      <c r="D131" s="17" t="inlineStr"/>
      <c r="E131" s="17" t="inlineStr">
        <is>
          <t>Nem tartozik ide</t>
        </is>
      </c>
      <c r="F131" s="17" t="inlineStr">
        <is>
          <t>az elmúlt 30 napban</t>
        </is>
      </c>
      <c r="G131" s="17" t="inlineStr">
        <is>
          <t>Más főkategória terméke</t>
        </is>
      </c>
    </row>
    <row r="132">
      <c r="A132" s="17" t="inlineStr">
        <is>
          <t>GRO0133</t>
        </is>
      </c>
      <c r="B132" s="17" t="inlineStr">
        <is>
          <t>Terra Aquatica (GHE) FinalPart érlelő táp késői virágzáshoz, korábban Ripen, 5 liter</t>
        </is>
      </c>
      <c r="C132" s="17" t="inlineStr">
        <is>
          <t>–</t>
        </is>
      </c>
      <c r="D132" s="17" t="inlineStr"/>
      <c r="E132" s="17" t="inlineStr">
        <is>
          <t>Nem tartozik ide</t>
        </is>
      </c>
      <c r="F132" s="17" t="inlineStr">
        <is>
          <t>az elmúlt 30 napban</t>
        </is>
      </c>
      <c r="G132" s="17" t="inlineStr">
        <is>
          <t>Más főkategória terméke</t>
        </is>
      </c>
    </row>
    <row r="133">
      <c r="A133" s="17" t="inlineStr">
        <is>
          <t>GRO0134</t>
        </is>
      </c>
      <c r="B133" s="17" t="inlineStr">
        <is>
          <t>Terra Aquatica (GHE) FinalPart érlelő táp késői virágzáshoz, korábban Ripen, 10 liter</t>
        </is>
      </c>
      <c r="C133" s="17" t="inlineStr">
        <is>
          <t>–</t>
        </is>
      </c>
      <c r="D133" s="17" t="inlineStr"/>
      <c r="E133" s="17" t="inlineStr">
        <is>
          <t>Nem tartozik ide</t>
        </is>
      </c>
      <c r="F133" s="17" t="inlineStr">
        <is>
          <t>az elmúlt 30 napban</t>
        </is>
      </c>
      <c r="G133" s="17" t="inlineStr">
        <is>
          <t>Más főkategória terméke</t>
        </is>
      </c>
    </row>
    <row r="134">
      <c r="A134" s="17" t="inlineStr">
        <is>
          <t>GRO0154</t>
        </is>
      </c>
      <c r="B134" s="17" t="inlineStr">
        <is>
          <t>Terra Aquatica pH test kit cseppteszt 30 ml</t>
        </is>
      </c>
      <c r="C134" s="17" t="inlineStr">
        <is>
          <t>–</t>
        </is>
      </c>
      <c r="D134" s="17" t="inlineStr"/>
      <c r="E134" s="17" t="inlineStr">
        <is>
          <t>Nem tartozik ide</t>
        </is>
      </c>
      <c r="F134" s="17" t="inlineStr">
        <is>
          <t>az elmúlt 30 napban</t>
        </is>
      </c>
      <c r="G134" s="17" t="inlineStr">
        <is>
          <t>Más főkategória terméke</t>
        </is>
      </c>
    </row>
    <row r="135">
      <c r="A135" s="17" t="inlineStr">
        <is>
          <t>GRO0230</t>
        </is>
      </c>
      <c r="B135" s="17" t="inlineStr">
        <is>
          <t>Hesi PowerZyme enzimes közegjavító adalék, 500 ml</t>
        </is>
      </c>
      <c r="C135" s="17" t="inlineStr">
        <is>
          <t>–</t>
        </is>
      </c>
      <c r="D135" s="17" t="inlineStr"/>
      <c r="E135" s="17" t="inlineStr">
        <is>
          <t>Nem tartozik ide</t>
        </is>
      </c>
      <c r="F135" s="17" t="inlineStr">
        <is>
          <t>az elmúlt 30 napban</t>
        </is>
      </c>
      <c r="G135" s="17" t="inlineStr">
        <is>
          <t>Más főkategória terméke</t>
        </is>
      </c>
    </row>
    <row r="136">
      <c r="A136" s="17" t="inlineStr">
        <is>
          <t>GRO0231</t>
        </is>
      </c>
      <c r="B136" s="17" t="inlineStr">
        <is>
          <t>Hesi PowerZyme enzimes közegjavító adalék, 1 liter</t>
        </is>
      </c>
      <c r="C136" s="17" t="inlineStr">
        <is>
          <t>–</t>
        </is>
      </c>
      <c r="D136" s="17" t="inlineStr"/>
      <c r="E136" s="17" t="inlineStr">
        <is>
          <t>Nem tartozik ide</t>
        </is>
      </c>
      <c r="F136" s="17" t="inlineStr">
        <is>
          <t>az elmúlt 30 napban</t>
        </is>
      </c>
      <c r="G136" s="17" t="inlineStr">
        <is>
          <t>Más főkategória terméke</t>
        </is>
      </c>
    </row>
    <row r="137">
      <c r="A137" s="17" t="inlineStr">
        <is>
          <t>GRO0233</t>
        </is>
      </c>
      <c r="B137" s="17" t="inlineStr">
        <is>
          <t>Hesi PowerZyme enzimes közegjavító adalék, 5 liter</t>
        </is>
      </c>
      <c r="C137" s="17" t="inlineStr">
        <is>
          <t>–</t>
        </is>
      </c>
      <c r="D137" s="17" t="inlineStr"/>
      <c r="E137" s="17" t="inlineStr">
        <is>
          <t>Nem tartozik ide</t>
        </is>
      </c>
      <c r="F137" s="17" t="inlineStr">
        <is>
          <t>az elmúlt 30 napban</t>
        </is>
      </c>
      <c r="G137" s="17" t="inlineStr">
        <is>
          <t>Más főkategória terméke</t>
        </is>
      </c>
    </row>
    <row r="138">
      <c r="A138" s="17" t="inlineStr">
        <is>
          <t>GRO0234</t>
        </is>
      </c>
      <c r="B138" s="17" t="inlineStr">
        <is>
          <t>Hesi PowerZyme enzimes közegjavító adalék, 10 liter</t>
        </is>
      </c>
      <c r="C138" s="17" t="inlineStr">
        <is>
          <t>–</t>
        </is>
      </c>
      <c r="D138" s="17" t="inlineStr"/>
      <c r="E138" s="17" t="inlineStr">
        <is>
          <t>Nem tartozik ide</t>
        </is>
      </c>
      <c r="F138" s="17" t="inlineStr">
        <is>
          <t>az elmúlt 30 napban</t>
        </is>
      </c>
      <c r="G138" s="17" t="inlineStr">
        <is>
          <t>Más főkategória terméke</t>
        </is>
      </c>
    </row>
    <row r="139">
      <c r="A139" s="17" t="inlineStr">
        <is>
          <t>GRO0306</t>
        </is>
      </c>
      <c r="B139" s="17" t="inlineStr">
        <is>
          <t>Flexibilis alumínium légcsatorna cső Aluflex 102 mm, 10 m</t>
        </is>
      </c>
      <c r="C139" s="17" t="inlineStr">
        <is>
          <t>–</t>
        </is>
      </c>
      <c r="D139" s="17" t="inlineStr"/>
      <c r="E139" s="17" t="inlineStr">
        <is>
          <t>Nem tartozik ide</t>
        </is>
      </c>
      <c r="F139" s="17" t="inlineStr">
        <is>
          <t>az elmúlt 30 napban</t>
        </is>
      </c>
      <c r="G139" s="17" t="inlineStr">
        <is>
          <t>Más főkategória terméke</t>
        </is>
      </c>
    </row>
    <row r="140">
      <c r="A140" s="17" t="inlineStr">
        <is>
          <t>GRO0307</t>
        </is>
      </c>
      <c r="B140" s="17" t="inlineStr">
        <is>
          <t>Flexibilis alumínium légcsatorna cső Aluflex 127 mm, 10 m</t>
        </is>
      </c>
      <c r="C140" s="17" t="inlineStr">
        <is>
          <t>–</t>
        </is>
      </c>
      <c r="D140" s="17" t="inlineStr"/>
      <c r="E140" s="17" t="inlineStr">
        <is>
          <t>Nem tartozik ide</t>
        </is>
      </c>
      <c r="F140" s="17" t="inlineStr">
        <is>
          <t>az elmúlt 30 napban</t>
        </is>
      </c>
      <c r="G140" s="17" t="inlineStr">
        <is>
          <t>Más főkategória terméke</t>
        </is>
      </c>
    </row>
    <row r="141">
      <c r="A141" s="17" t="inlineStr">
        <is>
          <t>GRO0308</t>
        </is>
      </c>
      <c r="B141" s="17" t="inlineStr">
        <is>
          <t>Flexibilis alumínium légcsatorna cső Aluflex 152 mm, 10 m</t>
        </is>
      </c>
      <c r="C141" s="17" t="inlineStr">
        <is>
          <t>–</t>
        </is>
      </c>
      <c r="D141" s="17" t="inlineStr"/>
      <c r="E141" s="17" t="inlineStr">
        <is>
          <t>Nem tartozik ide</t>
        </is>
      </c>
      <c r="F141" s="17" t="inlineStr">
        <is>
          <t>az elmúlt 30 napban</t>
        </is>
      </c>
      <c r="G141" s="17" t="inlineStr">
        <is>
          <t>Más főkategória terméke</t>
        </is>
      </c>
    </row>
    <row r="142">
      <c r="A142" s="17" t="inlineStr">
        <is>
          <t>GRO0310</t>
        </is>
      </c>
      <c r="B142" s="17" t="inlineStr">
        <is>
          <t>Flexibilis alumínium légcsatorna cső Aluflex 203 mm, 10 m</t>
        </is>
      </c>
      <c r="C142" s="17" t="inlineStr">
        <is>
          <t>–</t>
        </is>
      </c>
      <c r="D142" s="17" t="inlineStr"/>
      <c r="E142" s="17" t="inlineStr">
        <is>
          <t>Nem tartozik ide</t>
        </is>
      </c>
      <c r="F142" s="17" t="inlineStr">
        <is>
          <t>az elmúlt 30 napban</t>
        </is>
      </c>
      <c r="G142" s="17" t="inlineStr">
        <is>
          <t>Más főkategória terméke</t>
        </is>
      </c>
    </row>
    <row r="143">
      <c r="A143" s="17" t="inlineStr">
        <is>
          <t>GRO0312</t>
        </is>
      </c>
      <c r="B143" s="17" t="inlineStr">
        <is>
          <t>Flexibilis alumínium légcsatorna cső Aluflex 315 mm, 10 m</t>
        </is>
      </c>
      <c r="C143" s="17" t="inlineStr">
        <is>
          <t>–</t>
        </is>
      </c>
      <c r="D143" s="17" t="inlineStr"/>
      <c r="E143" s="17" t="inlineStr">
        <is>
          <t>Nem tartozik ide</t>
        </is>
      </c>
      <c r="F143" s="17" t="inlineStr">
        <is>
          <t>az elmúlt 30 napban</t>
        </is>
      </c>
      <c r="G143" s="17" t="inlineStr">
        <is>
          <t>Más főkategória terméke</t>
        </is>
      </c>
    </row>
    <row r="144">
      <c r="A144" s="17" t="inlineStr">
        <is>
          <t>GRO0317</t>
        </is>
      </c>
      <c r="B144" s="17" t="inlineStr">
        <is>
          <t>Sonoflex hang- és hőszigetelt flexibilis légcsatorna cső 102 mm, 10 m</t>
        </is>
      </c>
      <c r="C144" s="17" t="inlineStr">
        <is>
          <t>–</t>
        </is>
      </c>
      <c r="D144" s="17" t="inlineStr"/>
      <c r="E144" s="17" t="inlineStr">
        <is>
          <t>Nem tartozik ide</t>
        </is>
      </c>
      <c r="F144" s="17" t="inlineStr">
        <is>
          <t>az elmúlt 30 napban</t>
        </is>
      </c>
      <c r="G144" s="17" t="inlineStr">
        <is>
          <t>Más főkategória terméke</t>
        </is>
      </c>
    </row>
    <row r="145">
      <c r="A145" s="17" t="inlineStr">
        <is>
          <t>GRO0318</t>
        </is>
      </c>
      <c r="B145" s="17" t="inlineStr">
        <is>
          <t>Sonoflex hang- és hőszigetelt flexibilis légcsatorna cső 127 mm, 10 m</t>
        </is>
      </c>
      <c r="C145" s="17" t="inlineStr">
        <is>
          <t>–</t>
        </is>
      </c>
      <c r="D145" s="17" t="inlineStr"/>
      <c r="E145" s="17" t="inlineStr">
        <is>
          <t>Nem tartozik ide</t>
        </is>
      </c>
      <c r="F145" s="17" t="inlineStr">
        <is>
          <t>az elmúlt 30 napban</t>
        </is>
      </c>
      <c r="G145" s="17" t="inlineStr">
        <is>
          <t>Más főkategória terméke</t>
        </is>
      </c>
    </row>
    <row r="146">
      <c r="A146" s="17" t="inlineStr">
        <is>
          <t>GRO0319</t>
        </is>
      </c>
      <c r="B146" s="17" t="inlineStr">
        <is>
          <t>Sonoflex hang- és hőszigetelt flexibilis légcsatorna cső 152 mm, 10 m</t>
        </is>
      </c>
      <c r="C146" s="17" t="inlineStr">
        <is>
          <t>–</t>
        </is>
      </c>
      <c r="D146" s="17" t="inlineStr"/>
      <c r="E146" s="17" t="inlineStr">
        <is>
          <t>Nem tartozik ide</t>
        </is>
      </c>
      <c r="F146" s="17" t="inlineStr">
        <is>
          <t>az elmúlt 30 napban</t>
        </is>
      </c>
      <c r="G146" s="17" t="inlineStr">
        <is>
          <t>Más főkategória terméke</t>
        </is>
      </c>
    </row>
    <row r="147">
      <c r="A147" s="17" t="inlineStr">
        <is>
          <t>GRO0321</t>
        </is>
      </c>
      <c r="B147" s="17" t="inlineStr">
        <is>
          <t>Sonoflex hang- és hőszigetelt flexibilis légcsatorna cső 203 mm, 10 m</t>
        </is>
      </c>
      <c r="C147" s="17" t="inlineStr">
        <is>
          <t>–</t>
        </is>
      </c>
      <c r="D147" s="17" t="inlineStr"/>
      <c r="E147" s="17" t="inlineStr">
        <is>
          <t>Nem tartozik ide</t>
        </is>
      </c>
      <c r="F147" s="17" t="inlineStr">
        <is>
          <t>az elmúlt 30 napban</t>
        </is>
      </c>
      <c r="G147" s="17" t="inlineStr">
        <is>
          <t>Más főkategória terméke</t>
        </is>
      </c>
    </row>
    <row r="148">
      <c r="A148" s="17" t="inlineStr">
        <is>
          <t>GRO0322</t>
        </is>
      </c>
      <c r="B148" s="17" t="inlineStr">
        <is>
          <t>Sonoflex hang- és hőszigetelt flexibilis légcsatorna cső 254 mm, 10 m</t>
        </is>
      </c>
      <c r="C148" s="17" t="inlineStr">
        <is>
          <t>–</t>
        </is>
      </c>
      <c r="D148" s="17" t="inlineStr"/>
      <c r="E148" s="17" t="inlineStr">
        <is>
          <t>Nem tartozik ide</t>
        </is>
      </c>
      <c r="F148" s="17" t="inlineStr">
        <is>
          <t>az elmúlt 30 napban</t>
        </is>
      </c>
      <c r="G148" s="17" t="inlineStr">
        <is>
          <t>Más főkategória terméke</t>
        </is>
      </c>
    </row>
    <row r="149">
      <c r="A149" s="17" t="inlineStr">
        <is>
          <t>GRO0330</t>
        </is>
      </c>
      <c r="B149" s="17" t="inlineStr">
        <is>
          <t>Combiflex 6 rétegű flexibilis alumínium légcsatorna cső 102 mm, 10 m</t>
        </is>
      </c>
      <c r="C149" s="17" t="inlineStr">
        <is>
          <t>–</t>
        </is>
      </c>
      <c r="D149" s="17" t="inlineStr"/>
      <c r="E149" s="17" t="inlineStr">
        <is>
          <t>Nem tartozik ide</t>
        </is>
      </c>
      <c r="F149" s="17" t="inlineStr">
        <is>
          <t>az elmúlt 30 napban</t>
        </is>
      </c>
      <c r="G149" s="17" t="inlineStr">
        <is>
          <t>Más főkategória terméke</t>
        </is>
      </c>
    </row>
    <row r="150">
      <c r="A150" s="17" t="inlineStr">
        <is>
          <t>GRO0331</t>
        </is>
      </c>
      <c r="B150" s="17" t="inlineStr">
        <is>
          <t>Combiflex 6 rétegű flexibilis alumínium légcsatorna cső 127 mm, 10 m</t>
        </is>
      </c>
      <c r="C150" s="17" t="inlineStr">
        <is>
          <t>–</t>
        </is>
      </c>
      <c r="D150" s="17" t="inlineStr"/>
      <c r="E150" s="17" t="inlineStr">
        <is>
          <t>Nem tartozik ide</t>
        </is>
      </c>
      <c r="F150" s="17" t="inlineStr">
        <is>
          <t>az elmúlt 30 napban</t>
        </is>
      </c>
      <c r="G150" s="17" t="inlineStr">
        <is>
          <t>Más főkategória terméke</t>
        </is>
      </c>
    </row>
    <row r="151">
      <c r="A151" s="17" t="inlineStr">
        <is>
          <t>GRO0332</t>
        </is>
      </c>
      <c r="B151" s="17" t="inlineStr">
        <is>
          <t>Combiflex 6 rétegű flexibilis alumínium légcsatorna cső 152 mm, 10 m</t>
        </is>
      </c>
      <c r="C151" s="17" t="inlineStr">
        <is>
          <t>–</t>
        </is>
      </c>
      <c r="D151" s="17" t="inlineStr"/>
      <c r="E151" s="17" t="inlineStr">
        <is>
          <t>Nem tartozik ide</t>
        </is>
      </c>
      <c r="F151" s="17" t="inlineStr">
        <is>
          <t>az elmúlt 30 napban</t>
        </is>
      </c>
      <c r="G151" s="17" t="inlineStr">
        <is>
          <t>Más főkategória terméke</t>
        </is>
      </c>
    </row>
    <row r="152">
      <c r="A152" s="17" t="inlineStr">
        <is>
          <t>GRO0334</t>
        </is>
      </c>
      <c r="B152" s="17" t="inlineStr">
        <is>
          <t>Combiflex 6 rétegű flexibilis alumínium légcsatorna cső 203 mm, 10 m</t>
        </is>
      </c>
      <c r="C152" s="17" t="inlineStr">
        <is>
          <t>–</t>
        </is>
      </c>
      <c r="D152" s="17" t="inlineStr"/>
      <c r="E152" s="17" t="inlineStr">
        <is>
          <t>Nem tartozik ide</t>
        </is>
      </c>
      <c r="F152" s="17" t="inlineStr">
        <is>
          <t>az elmúlt 30 napban</t>
        </is>
      </c>
      <c r="G152" s="17" t="inlineStr">
        <is>
          <t>Más főkategória terméke</t>
        </is>
      </c>
    </row>
    <row r="153">
      <c r="A153" s="17" t="inlineStr">
        <is>
          <t>GRO0335</t>
        </is>
      </c>
      <c r="B153" s="17" t="inlineStr">
        <is>
          <t>Combiflex 6 rétegű flexibilis alumínium légcsatorna cső 254 mm, 10 m</t>
        </is>
      </c>
      <c r="C153" s="17" t="inlineStr">
        <is>
          <t>–</t>
        </is>
      </c>
      <c r="D153" s="17" t="inlineStr"/>
      <c r="E153" s="17" t="inlineStr">
        <is>
          <t>Nem tartozik ide</t>
        </is>
      </c>
      <c r="F153" s="17" t="inlineStr">
        <is>
          <t>az elmúlt 30 napban</t>
        </is>
      </c>
      <c r="G153" s="17" t="inlineStr">
        <is>
          <t>Más főkategória terméke</t>
        </is>
      </c>
    </row>
    <row r="154">
      <c r="A154" s="17" t="inlineStr">
        <is>
          <t>GRO0336</t>
        </is>
      </c>
      <c r="B154" s="17" t="inlineStr">
        <is>
          <t>Combiflex 6 rétegű flexibilis alumínium légcsatorna cső 315 mm, 10 m</t>
        </is>
      </c>
      <c r="C154" s="17" t="inlineStr">
        <is>
          <t>–</t>
        </is>
      </c>
      <c r="D154" s="17" t="inlineStr"/>
      <c r="E154" s="17" t="inlineStr">
        <is>
          <t>Nem tartozik ide</t>
        </is>
      </c>
      <c r="F154" s="17" t="inlineStr">
        <is>
          <t>az elmúlt 30 napban</t>
        </is>
      </c>
      <c r="G154" s="17" t="inlineStr">
        <is>
          <t>Más főkategória terméke</t>
        </is>
      </c>
    </row>
    <row r="155">
      <c r="A155" s="17" t="inlineStr">
        <is>
          <t>GRO0346</t>
        </is>
      </c>
      <c r="B155" s="17" t="inlineStr">
        <is>
          <t>Can-Fan RK 250 centrifugális csőventilátor 250 mm, 830 m3/h</t>
        </is>
      </c>
      <c r="C155" s="17" t="inlineStr">
        <is>
          <t>–</t>
        </is>
      </c>
      <c r="D155" s="17" t="inlineStr"/>
      <c r="E155" s="17" t="inlineStr">
        <is>
          <t>Nem tartozik ide</t>
        </is>
      </c>
      <c r="F155" s="17" t="inlineStr">
        <is>
          <t>az elmúlt 30 napban</t>
        </is>
      </c>
      <c r="G155" s="17" t="inlineStr">
        <is>
          <t>Más főkategória terméke</t>
        </is>
      </c>
    </row>
    <row r="156">
      <c r="A156" s="17" t="inlineStr">
        <is>
          <t>GRO0355</t>
        </is>
      </c>
      <c r="B156" s="17" t="inlineStr">
        <is>
          <t>Bővítő cső 100–125 mm légcsatornához, szellőzőrendszerekhez</t>
        </is>
      </c>
      <c r="C156" s="17" t="inlineStr">
        <is>
          <t>–</t>
        </is>
      </c>
      <c r="D156" s="17" t="inlineStr"/>
      <c r="E156" s="17" t="inlineStr">
        <is>
          <t>Nem tartozik ide</t>
        </is>
      </c>
      <c r="F156" s="17" t="inlineStr">
        <is>
          <t>az elmúlt 30 napban</t>
        </is>
      </c>
      <c r="G156" s="17" t="inlineStr">
        <is>
          <t>Más főkategória terméke</t>
        </is>
      </c>
    </row>
    <row r="157">
      <c r="A157" s="17" t="inlineStr">
        <is>
          <t>GRO0358</t>
        </is>
      </c>
      <c r="B157" s="17" t="inlineStr">
        <is>
          <t>Bővítő cső 125–150 mm légcsatornához, szellőzőrendszerekhez</t>
        </is>
      </c>
      <c r="C157" s="17" t="inlineStr">
        <is>
          <t>–</t>
        </is>
      </c>
      <c r="D157" s="17" t="inlineStr"/>
      <c r="E157" s="17" t="inlineStr">
        <is>
          <t>Nem tartozik ide</t>
        </is>
      </c>
      <c r="F157" s="17" t="inlineStr">
        <is>
          <t>az elmúlt 30 napban</t>
        </is>
      </c>
      <c r="G157" s="17" t="inlineStr">
        <is>
          <t>Más főkategória terméke</t>
        </is>
      </c>
    </row>
    <row r="158">
      <c r="A158" s="17" t="inlineStr">
        <is>
          <t>GRO0361</t>
        </is>
      </c>
      <c r="B158" s="17" t="inlineStr">
        <is>
          <t>Bővítő cső 160–200 mm légcsatornához, szellőzőrendszerekhez</t>
        </is>
      </c>
      <c r="C158" s="17" t="inlineStr">
        <is>
          <t>–</t>
        </is>
      </c>
      <c r="D158" s="17" t="inlineStr"/>
      <c r="E158" s="17" t="inlineStr">
        <is>
          <t>Nem tartozik ide</t>
        </is>
      </c>
      <c r="F158" s="17" t="inlineStr">
        <is>
          <t>az elmúlt 30 napban</t>
        </is>
      </c>
      <c r="G158" s="17" t="inlineStr">
        <is>
          <t>Más főkategória terméke</t>
        </is>
      </c>
    </row>
    <row r="159">
      <c r="A159" s="17" t="inlineStr">
        <is>
          <t>GRO0388</t>
        </is>
      </c>
      <c r="B159" s="17" t="inlineStr">
        <is>
          <t>Grodan SBS kőzetgyapot kocka tálcában 25x25x40 mm, 150 darab</t>
        </is>
      </c>
      <c r="C159" s="17" t="inlineStr">
        <is>
          <t>–</t>
        </is>
      </c>
      <c r="D159" s="17" t="inlineStr"/>
      <c r="E159" s="17" t="inlineStr">
        <is>
          <t>Nem tartozik ide</t>
        </is>
      </c>
      <c r="F159" s="17" t="inlineStr">
        <is>
          <t>az elmúlt 30 napban</t>
        </is>
      </c>
      <c r="G159" s="17" t="inlineStr">
        <is>
          <t>Más főkategória terméke</t>
        </is>
      </c>
    </row>
    <row r="160">
      <c r="A160" s="17" t="inlineStr">
        <is>
          <t>GRO0418</t>
        </is>
      </c>
      <c r="B160" s="17" t="inlineStr">
        <is>
          <t>CANNA Coco Natural kókuszrost termesztőközeg 50 liter</t>
        </is>
      </c>
      <c r="C160" s="17" t="inlineStr">
        <is>
          <t>–</t>
        </is>
      </c>
      <c r="D160" s="17" t="inlineStr"/>
      <c r="E160" s="17" t="inlineStr">
        <is>
          <t>Nem tartozik ide</t>
        </is>
      </c>
      <c r="F160" s="17" t="inlineStr">
        <is>
          <t>az elmúlt 30 napban</t>
        </is>
      </c>
      <c r="G160" s="17" t="inlineStr">
        <is>
          <t>Más főkategória terméke</t>
        </is>
      </c>
    </row>
    <row r="161">
      <c r="A161" s="17" t="inlineStr">
        <is>
          <t>GRO0424</t>
        </is>
      </c>
      <c r="B161" s="17" t="inlineStr">
        <is>
          <t>CANNA Hydro Vega A/B kétkomponensű növekedési táp kőzetgyapothoz 1 liter</t>
        </is>
      </c>
      <c r="C161" s="17" t="inlineStr">
        <is>
          <t>–</t>
        </is>
      </c>
      <c r="D161" s="17" t="inlineStr"/>
      <c r="E161" s="17" t="inlineStr">
        <is>
          <t>Nem tartozik ide</t>
        </is>
      </c>
      <c r="F161" s="17" t="inlineStr">
        <is>
          <t>az elmúlt 30 napban</t>
        </is>
      </c>
      <c r="G161" s="17" t="inlineStr">
        <is>
          <t>Más főkategória terméke</t>
        </is>
      </c>
    </row>
    <row r="162">
      <c r="A162" s="17" t="inlineStr">
        <is>
          <t>GRO0427</t>
        </is>
      </c>
      <c r="B162" s="17" t="inlineStr">
        <is>
          <t>CANNA Hydro Flores A/B kétkomponensű virágzási táp kőzetgyapothoz 1 liter</t>
        </is>
      </c>
      <c r="C162" s="17" t="inlineStr">
        <is>
          <t>–</t>
        </is>
      </c>
      <c r="D162" s="17" t="inlineStr"/>
      <c r="E162" s="17" t="inlineStr">
        <is>
          <t>Nem tartozik ide</t>
        </is>
      </c>
      <c r="F162" s="17" t="inlineStr">
        <is>
          <t>az elmúlt 30 napban</t>
        </is>
      </c>
      <c r="G162" s="17" t="inlineStr">
        <is>
          <t>Más főkategória terméke</t>
        </is>
      </c>
    </row>
    <row r="163">
      <c r="A163" s="17" t="inlineStr">
        <is>
          <t>GRO0430</t>
        </is>
      </c>
      <c r="B163" s="17" t="inlineStr">
        <is>
          <t>CANNA Terra Vega ásványi növekedési táp földhöz 1 liter</t>
        </is>
      </c>
      <c r="C163" s="17" t="inlineStr">
        <is>
          <t>–</t>
        </is>
      </c>
      <c r="D163" s="17" t="inlineStr"/>
      <c r="E163" s="17" t="inlineStr">
        <is>
          <t>Nem tartozik ide</t>
        </is>
      </c>
      <c r="F163" s="17" t="inlineStr">
        <is>
          <t>az elmúlt 30 napban</t>
        </is>
      </c>
      <c r="G163" s="17" t="inlineStr">
        <is>
          <t>Más főkategória terméke</t>
        </is>
      </c>
    </row>
    <row r="164">
      <c r="A164" s="17" t="inlineStr">
        <is>
          <t>GRO0433</t>
        </is>
      </c>
      <c r="B164" s="17" t="inlineStr">
        <is>
          <t>CANNA Terra Flores ásványi virágzási táp földhöz 1 liter</t>
        </is>
      </c>
      <c r="C164" s="17" t="inlineStr">
        <is>
          <t>–</t>
        </is>
      </c>
      <c r="D164" s="17" t="inlineStr"/>
      <c r="E164" s="17" t="inlineStr">
        <is>
          <t>Nem tartozik ide</t>
        </is>
      </c>
      <c r="F164" s="17" t="inlineStr">
        <is>
          <t>az elmúlt 30 napban</t>
        </is>
      </c>
      <c r="G164" s="17" t="inlineStr">
        <is>
          <t>Más főkategória terméke</t>
        </is>
      </c>
    </row>
    <row r="165">
      <c r="A165" s="17" t="inlineStr">
        <is>
          <t>GRO0436</t>
        </is>
      </c>
      <c r="B165" s="17" t="inlineStr">
        <is>
          <t>CANNA COGr Vega A/B kétkomponensű növekedési táp kókuszhoz 1 liter</t>
        </is>
      </c>
      <c r="C165" s="17" t="inlineStr">
        <is>
          <t>–</t>
        </is>
      </c>
      <c r="D165" s="17" t="inlineStr"/>
      <c r="E165" s="17" t="inlineStr">
        <is>
          <t>Nem tartozik ide</t>
        </is>
      </c>
      <c r="F165" s="17" t="inlineStr">
        <is>
          <t>az elmúlt 30 napban</t>
        </is>
      </c>
      <c r="G165" s="17" t="inlineStr">
        <is>
          <t>Más főkategória terméke</t>
        </is>
      </c>
    </row>
    <row r="166">
      <c r="A166" s="17" t="inlineStr">
        <is>
          <t>GRO0437</t>
        </is>
      </c>
      <c r="B166" s="17" t="inlineStr">
        <is>
          <t>Canna Coco A/B 5 liter</t>
        </is>
      </c>
      <c r="C166" s="17" t="inlineStr">
        <is>
          <t>–</t>
        </is>
      </c>
      <c r="D166" s="17" t="inlineStr"/>
      <c r="E166" s="17" t="inlineStr">
        <is>
          <t>Nem tartozik ide</t>
        </is>
      </c>
      <c r="F166" s="17" t="inlineStr">
        <is>
          <t>az elmúlt 30 napban</t>
        </is>
      </c>
      <c r="G166" s="17" t="inlineStr">
        <is>
          <t>Más főkategória terméke</t>
        </is>
      </c>
    </row>
    <row r="167">
      <c r="A167" s="17" t="inlineStr">
        <is>
          <t>GRO0448</t>
        </is>
      </c>
      <c r="B167" s="17" t="inlineStr">
        <is>
          <t>CANNA Aqua Vega A/B növekedési táp recirkulációs rendszerhez 1 liter</t>
        </is>
      </c>
      <c r="C167" s="17" t="inlineStr">
        <is>
          <t>–</t>
        </is>
      </c>
      <c r="D167" s="17" t="inlineStr"/>
      <c r="E167" s="17" t="inlineStr">
        <is>
          <t>Nem tartozik ide</t>
        </is>
      </c>
      <c r="F167" s="17" t="inlineStr">
        <is>
          <t>az elmúlt 30 napban</t>
        </is>
      </c>
      <c r="G167" s="17" t="inlineStr">
        <is>
          <t>Más főkategória terméke</t>
        </is>
      </c>
    </row>
    <row r="168">
      <c r="A168" s="17" t="inlineStr">
        <is>
          <t>GRO0450</t>
        </is>
      </c>
      <c r="B168" s="17" t="inlineStr">
        <is>
          <t>CANNA Aqua Vega A/B növekedési táp recirkulációs rendszerhez 10 liter</t>
        </is>
      </c>
      <c r="C168" s="17" t="inlineStr">
        <is>
          <t>–</t>
        </is>
      </c>
      <c r="D168" s="17" t="inlineStr"/>
      <c r="E168" s="17" t="inlineStr">
        <is>
          <t>Nem tartozik ide</t>
        </is>
      </c>
      <c r="F168" s="17" t="inlineStr">
        <is>
          <t>az elmúlt 30 napban</t>
        </is>
      </c>
      <c r="G168" s="17" t="inlineStr">
        <is>
          <t>Más főkategória terméke</t>
        </is>
      </c>
    </row>
    <row r="169">
      <c r="A169" s="17" t="inlineStr">
        <is>
          <t>GRO0451</t>
        </is>
      </c>
      <c r="B169" s="17" t="inlineStr">
        <is>
          <t>CANNA Aqua Flores A/B virágzási táp recirkulációs rendszerhez 1 liter</t>
        </is>
      </c>
      <c r="C169" s="17" t="inlineStr">
        <is>
          <t>–</t>
        </is>
      </c>
      <c r="D169" s="17" t="inlineStr"/>
      <c r="E169" s="17" t="inlineStr">
        <is>
          <t>Nem tartozik ide</t>
        </is>
      </c>
      <c r="F169" s="17" t="inlineStr">
        <is>
          <t>az elmúlt 30 napban</t>
        </is>
      </c>
      <c r="G169" s="17" t="inlineStr">
        <is>
          <t>Más főkategória terméke</t>
        </is>
      </c>
    </row>
    <row r="170">
      <c r="A170" s="17" t="inlineStr">
        <is>
          <t>GRO0453</t>
        </is>
      </c>
      <c r="B170" s="17" t="inlineStr">
        <is>
          <t>CANNA Aqua Flores A/B virágzási táp recirkulációs rendszerhez 10 liter</t>
        </is>
      </c>
      <c r="C170" s="17" t="inlineStr">
        <is>
          <t>–</t>
        </is>
      </c>
      <c r="D170" s="17" t="inlineStr"/>
      <c r="E170" s="17" t="inlineStr">
        <is>
          <t>Nem tartozik ide</t>
        </is>
      </c>
      <c r="F170" s="17" t="inlineStr">
        <is>
          <t>az elmúlt 30 napban</t>
        </is>
      </c>
      <c r="G170" s="17" t="inlineStr">
        <is>
          <t>Más főkategória terméke</t>
        </is>
      </c>
    </row>
    <row r="171">
      <c r="A171" s="17" t="inlineStr">
        <is>
          <t>GRO0454</t>
        </is>
      </c>
      <c r="B171" s="17" t="inlineStr">
        <is>
          <t>CANNA Rhizotonic tengeri alga alapú gyökérserkentő 250 ml</t>
        </is>
      </c>
      <c r="C171" s="17" t="inlineStr">
        <is>
          <t>–</t>
        </is>
      </c>
      <c r="D171" s="17" t="inlineStr"/>
      <c r="E171" s="17" t="inlineStr">
        <is>
          <t>Nem tartozik ide</t>
        </is>
      </c>
      <c r="F171" s="17" t="inlineStr">
        <is>
          <t>az elmúlt 30 napban</t>
        </is>
      </c>
      <c r="G171" s="17" t="inlineStr">
        <is>
          <t>Más főkategória terméke</t>
        </is>
      </c>
    </row>
    <row r="172">
      <c r="A172" s="17" t="inlineStr">
        <is>
          <t>GRO0459</t>
        </is>
      </c>
      <c r="B172" s="17" t="inlineStr">
        <is>
          <t>CANNAZYM enzimkészítmény az egészséges gyökérzónáért 500 ml</t>
        </is>
      </c>
      <c r="C172" s="17" t="inlineStr">
        <is>
          <t>–</t>
        </is>
      </c>
      <c r="D172" s="17" t="inlineStr"/>
      <c r="E172" s="17" t="inlineStr">
        <is>
          <t>Nem tartozik ide</t>
        </is>
      </c>
      <c r="F172" s="17" t="inlineStr">
        <is>
          <t>az elmúlt 30 napban</t>
        </is>
      </c>
      <c r="G172" s="17" t="inlineStr">
        <is>
          <t>Más főkategória terméke</t>
        </is>
      </c>
    </row>
    <row r="173">
      <c r="A173" s="17" t="inlineStr">
        <is>
          <t>GRO0460</t>
        </is>
      </c>
      <c r="B173" s="17" t="inlineStr">
        <is>
          <t>CANNAZYM enzimkészítmény az egészséges gyökérzónáért 1 liter</t>
        </is>
      </c>
      <c r="C173" s="17" t="inlineStr">
        <is>
          <t>–</t>
        </is>
      </c>
      <c r="D173" s="17" t="inlineStr"/>
      <c r="E173" s="17" t="inlineStr">
        <is>
          <t>Nem tartozik ide</t>
        </is>
      </c>
      <c r="F173" s="17" t="inlineStr">
        <is>
          <t>az elmúlt 30 napban</t>
        </is>
      </c>
      <c r="G173" s="17" t="inlineStr">
        <is>
          <t>Más főkategória terméke</t>
        </is>
      </c>
    </row>
    <row r="174">
      <c r="A174" s="17" t="inlineStr">
        <is>
          <t>GRO0461</t>
        </is>
      </c>
      <c r="B174" s="17" t="inlineStr">
        <is>
          <t>CANNAZYM enzimkészítmény az egészséges gyökérzónáért 5 liter</t>
        </is>
      </c>
      <c r="C174" s="17" t="inlineStr">
        <is>
          <t>–</t>
        </is>
      </c>
      <c r="D174" s="17" t="inlineStr"/>
      <c r="E174" s="17" t="inlineStr">
        <is>
          <t>Nem tartozik ide</t>
        </is>
      </c>
      <c r="F174" s="17" t="inlineStr">
        <is>
          <t>az elmúlt 30 napban</t>
        </is>
      </c>
      <c r="G174" s="17" t="inlineStr">
        <is>
          <t>Más főkategória terméke</t>
        </is>
      </c>
    </row>
    <row r="175">
      <c r="A175" s="17" t="inlineStr">
        <is>
          <t>GRO0464</t>
        </is>
      </c>
      <c r="B175" s="17" t="inlineStr">
        <is>
          <t>Canna PK 13/14 1 liter</t>
        </is>
      </c>
      <c r="C175" s="17" t="inlineStr">
        <is>
          <t>–</t>
        </is>
      </c>
      <c r="D175" s="17" t="inlineStr"/>
      <c r="E175" s="17" t="inlineStr">
        <is>
          <t>Nem tartozik ide</t>
        </is>
      </c>
      <c r="F175" s="17" t="inlineStr">
        <is>
          <t>az elmúlt 30 napban</t>
        </is>
      </c>
      <c r="G175" s="17" t="inlineStr">
        <is>
          <t>Más főkategória terméke</t>
        </is>
      </c>
    </row>
    <row r="176">
      <c r="A176" s="17" t="inlineStr">
        <is>
          <t>GRO0467</t>
        </is>
      </c>
      <c r="B176" s="17" t="inlineStr">
        <is>
          <t>CANNABOOST Accelerator virágzásserkentő adalék 250 ml</t>
        </is>
      </c>
      <c r="C176" s="17" t="inlineStr">
        <is>
          <t>–</t>
        </is>
      </c>
      <c r="D176" s="17" t="inlineStr"/>
      <c r="E176" s="17" t="inlineStr">
        <is>
          <t>Nem tartozik ide</t>
        </is>
      </c>
      <c r="F176" s="17" t="inlineStr">
        <is>
          <t>az elmúlt 30 napban</t>
        </is>
      </c>
      <c r="G176" s="17" t="inlineStr">
        <is>
          <t>Más főkategória terméke</t>
        </is>
      </c>
    </row>
    <row r="177">
      <c r="A177" s="17" t="inlineStr">
        <is>
          <t>GRO0483</t>
        </is>
      </c>
      <c r="B177" s="17" t="inlineStr">
        <is>
          <t>CANNA Mono Kalcium folyékony kalciumpótló tápoldat 1 liter</t>
        </is>
      </c>
      <c r="C177" s="17" t="inlineStr">
        <is>
          <t>–</t>
        </is>
      </c>
      <c r="D177" s="17" t="inlineStr"/>
      <c r="E177" s="17" t="inlineStr">
        <is>
          <t>Nem tartozik ide</t>
        </is>
      </c>
      <c r="F177" s="17" t="inlineStr">
        <is>
          <t>az elmúlt 30 napban</t>
        </is>
      </c>
      <c r="G177" s="17" t="inlineStr">
        <is>
          <t>Más főkategória terméke</t>
        </is>
      </c>
    </row>
    <row r="178">
      <c r="A178" s="17" t="inlineStr">
        <is>
          <t>GRO0484</t>
        </is>
      </c>
      <c r="B178" s="17" t="inlineStr">
        <is>
          <t>CANNA Mono Foszfor folyékony foszforpótló tápoldat 1 liter</t>
        </is>
      </c>
      <c r="C178" s="17" t="inlineStr">
        <is>
          <t>–</t>
        </is>
      </c>
      <c r="D178" s="17" t="inlineStr"/>
      <c r="E178" s="17" t="inlineStr">
        <is>
          <t>Nem tartozik ide</t>
        </is>
      </c>
      <c r="F178" s="17" t="inlineStr">
        <is>
          <t>az elmúlt 30 napban</t>
        </is>
      </c>
      <c r="G178" s="17" t="inlineStr">
        <is>
          <t>Más főkategória terméke</t>
        </is>
      </c>
    </row>
    <row r="179">
      <c r="A179" s="17" t="inlineStr">
        <is>
          <t>GRO0485</t>
        </is>
      </c>
      <c r="B179" s="17" t="inlineStr">
        <is>
          <t>CANNA Mononutriensek kálium 1 liter</t>
        </is>
      </c>
      <c r="C179" s="17" t="inlineStr">
        <is>
          <t>–</t>
        </is>
      </c>
      <c r="D179" s="17" t="inlineStr"/>
      <c r="E179" s="17" t="inlineStr">
        <is>
          <t>Nem tartozik ide</t>
        </is>
      </c>
      <c r="F179" s="17" t="inlineStr">
        <is>
          <t>az elmúlt 30 napban</t>
        </is>
      </c>
      <c r="G179" s="17" t="inlineStr">
        <is>
          <t>Más főkategória terméke</t>
        </is>
      </c>
    </row>
    <row r="180">
      <c r="A180" s="17" t="inlineStr">
        <is>
          <t>GRO0486</t>
        </is>
      </c>
      <c r="B180" s="17" t="inlineStr">
        <is>
          <t>CANNA Mono Magnézium folyékony magnéziumpótló tápoldat 1 liter</t>
        </is>
      </c>
      <c r="C180" s="17" t="inlineStr">
        <is>
          <t>–</t>
        </is>
      </c>
      <c r="D180" s="17" t="inlineStr"/>
      <c r="E180" s="17" t="inlineStr">
        <is>
          <t>Nem tartozik ide</t>
        </is>
      </c>
      <c r="F180" s="17" t="inlineStr">
        <is>
          <t>az elmúlt 30 napban</t>
        </is>
      </c>
      <c r="G180" s="17" t="inlineStr">
        <is>
          <t>Más főkategória terméke</t>
        </is>
      </c>
    </row>
    <row r="181">
      <c r="A181" s="17" t="inlineStr">
        <is>
          <t>GRO0487</t>
        </is>
      </c>
      <c r="B181" s="17" t="inlineStr">
        <is>
          <t>CANNA Mono Nitrogén folyékony nitrogénpótló tápoldat 1 liter</t>
        </is>
      </c>
      <c r="C181" s="17" t="inlineStr">
        <is>
          <t>–</t>
        </is>
      </c>
      <c r="D181" s="17" t="inlineStr"/>
      <c r="E181" s="17" t="inlineStr">
        <is>
          <t>Nem tartozik ide</t>
        </is>
      </c>
      <c r="F181" s="17" t="inlineStr">
        <is>
          <t>az elmúlt 30 napban</t>
        </is>
      </c>
      <c r="G181" s="17" t="inlineStr">
        <is>
          <t>Más főkategória terméke</t>
        </is>
      </c>
    </row>
    <row r="182">
      <c r="A182" s="17" t="inlineStr">
        <is>
          <t>GRO0488</t>
        </is>
      </c>
      <c r="B182" s="17" t="inlineStr">
        <is>
          <t>CANNA Mono Trace Mix folyékony nyomelem-keverék 1 liter</t>
        </is>
      </c>
      <c r="C182" s="17" t="inlineStr">
        <is>
          <t>–</t>
        </is>
      </c>
      <c r="D182" s="17" t="inlineStr"/>
      <c r="E182" s="17" t="inlineStr">
        <is>
          <t>Nem tartozik ide</t>
        </is>
      </c>
      <c r="F182" s="17" t="inlineStr">
        <is>
          <t>az elmúlt 30 napban</t>
        </is>
      </c>
      <c r="G182" s="17" t="inlineStr">
        <is>
          <t>Más főkategória terméke</t>
        </is>
      </c>
    </row>
    <row r="183">
      <c r="A183" s="17" t="inlineStr">
        <is>
          <t>GRO0489</t>
        </is>
      </c>
      <c r="B183" s="17" t="inlineStr">
        <is>
          <t>CANNA Mono Vas folyékony vaspótló tápoldat DTPA és EDDHA keláttal 1 liter</t>
        </is>
      </c>
      <c r="C183" s="17" t="inlineStr">
        <is>
          <t>–</t>
        </is>
      </c>
      <c r="D183" s="17" t="inlineStr"/>
      <c r="E183" s="17" t="inlineStr">
        <is>
          <t>Nem tartozik ide</t>
        </is>
      </c>
      <c r="F183" s="17" t="inlineStr">
        <is>
          <t>az elmúlt 30 napban</t>
        </is>
      </c>
      <c r="G183" s="17" t="inlineStr">
        <is>
          <t>Más főkategória terméke</t>
        </is>
      </c>
    </row>
    <row r="184">
      <c r="A184" s="17" t="inlineStr">
        <is>
          <t>GRO0490</t>
        </is>
      </c>
      <c r="B184" s="17" t="inlineStr">
        <is>
          <t>BIOCANNA Bio Vega szerves növekedési táp betain-nitrogénnel 1 liter</t>
        </is>
      </c>
      <c r="C184" s="17" t="inlineStr">
        <is>
          <t>–</t>
        </is>
      </c>
      <c r="D184" s="17" t="inlineStr"/>
      <c r="E184" s="17" t="inlineStr">
        <is>
          <t>Nem tartozik ide</t>
        </is>
      </c>
      <c r="F184" s="17" t="inlineStr">
        <is>
          <t>az elmúlt 30 napban</t>
        </is>
      </c>
      <c r="G184" s="17" t="inlineStr">
        <is>
          <t>Más főkategória terméke</t>
        </is>
      </c>
    </row>
    <row r="185">
      <c r="A185" s="17" t="inlineStr">
        <is>
          <t>GRO0492</t>
        </is>
      </c>
      <c r="B185" s="17" t="inlineStr">
        <is>
          <t>BIOCANNA Bio Flores szerves virágzási táp aminosavakkal 1 liter</t>
        </is>
      </c>
      <c r="C185" s="17" t="inlineStr">
        <is>
          <t>–</t>
        </is>
      </c>
      <c r="D185" s="17" t="inlineStr"/>
      <c r="E185" s="17" t="inlineStr">
        <is>
          <t>Nem tartozik ide</t>
        </is>
      </c>
      <c r="F185" s="17" t="inlineStr">
        <is>
          <t>az elmúlt 30 napban</t>
        </is>
      </c>
      <c r="G185" s="17" t="inlineStr">
        <is>
          <t>Más főkategória terméke</t>
        </is>
      </c>
    </row>
    <row r="186">
      <c r="A186" s="17" t="inlineStr">
        <is>
          <t>GRO0493</t>
        </is>
      </c>
      <c r="B186" s="17" t="inlineStr">
        <is>
          <t>BIOCANNA Bio Flores szerves virágzási táp aminosavakkal 5 liter</t>
        </is>
      </c>
      <c r="C186" s="17" t="inlineStr">
        <is>
          <t>–</t>
        </is>
      </c>
      <c r="D186" s="17" t="inlineStr"/>
      <c r="E186" s="17" t="inlineStr">
        <is>
          <t>Nem tartozik ide</t>
        </is>
      </c>
      <c r="F186" s="17" t="inlineStr">
        <is>
          <t>az elmúlt 30 napban</t>
        </is>
      </c>
      <c r="G186" s="17" t="inlineStr">
        <is>
          <t>Más főkategória terméke</t>
        </is>
      </c>
    </row>
    <row r="187">
      <c r="A187" s="17" t="inlineStr">
        <is>
          <t>GRO0494</t>
        </is>
      </c>
      <c r="B187" s="17" t="inlineStr">
        <is>
          <t>BIOCANNA Bio Rhizotonic biotanúsított gyökérserkentő 250 ml</t>
        </is>
      </c>
      <c r="C187" s="17" t="inlineStr">
        <is>
          <t>–</t>
        </is>
      </c>
      <c r="D187" s="17" t="inlineStr"/>
      <c r="E187" s="17" t="inlineStr">
        <is>
          <t>Nem tartozik ide</t>
        </is>
      </c>
      <c r="F187" s="17" t="inlineStr">
        <is>
          <t>az elmúlt 30 napban</t>
        </is>
      </c>
      <c r="G187" s="17" t="inlineStr">
        <is>
          <t>Más főkategória terméke</t>
        </is>
      </c>
    </row>
    <row r="188">
      <c r="A188" s="17" t="inlineStr">
        <is>
          <t>GRO0495</t>
        </is>
      </c>
      <c r="B188" s="17" t="inlineStr">
        <is>
          <t>BIOCANNA Bio Rhizotonic biotanúsított gyökérserkentő 1 liter</t>
        </is>
      </c>
      <c r="C188" s="17" t="inlineStr">
        <is>
          <t>–</t>
        </is>
      </c>
      <c r="D188" s="17" t="inlineStr"/>
      <c r="E188" s="17" t="inlineStr">
        <is>
          <t>Nem tartozik ide</t>
        </is>
      </c>
      <c r="F188" s="17" t="inlineStr">
        <is>
          <t>az elmúlt 30 napban</t>
        </is>
      </c>
      <c r="G188" s="17" t="inlineStr">
        <is>
          <t>Más főkategória terméke</t>
        </is>
      </c>
    </row>
    <row r="189">
      <c r="A189" s="17" t="inlineStr">
        <is>
          <t>GRO0496</t>
        </is>
      </c>
      <c r="B189" s="17" t="inlineStr">
        <is>
          <t>BIOCANNA Bio Boost szerves hozamnövelő és virágzássegítő 250 ml</t>
        </is>
      </c>
      <c r="C189" s="17" t="inlineStr">
        <is>
          <t>–</t>
        </is>
      </c>
      <c r="D189" s="17" t="inlineStr"/>
      <c r="E189" s="17" t="inlineStr">
        <is>
          <t>Nem tartozik ide</t>
        </is>
      </c>
      <c r="F189" s="17" t="inlineStr">
        <is>
          <t>az elmúlt 30 napban</t>
        </is>
      </c>
      <c r="G189" s="17" t="inlineStr">
        <is>
          <t>Más főkategória terméke</t>
        </is>
      </c>
    </row>
    <row r="190">
      <c r="A190" s="17" t="inlineStr">
        <is>
          <t>GRO0497</t>
        </is>
      </c>
      <c r="B190" s="17" t="inlineStr">
        <is>
          <t>BIOCANNA Bio Boost szerves hozamnövelő és virágzássegítő 1 liter</t>
        </is>
      </c>
      <c r="C190" s="17" t="inlineStr">
        <is>
          <t>–</t>
        </is>
      </c>
      <c r="D190" s="17" t="inlineStr"/>
      <c r="E190" s="17" t="inlineStr">
        <is>
          <t>Nem tartozik ide</t>
        </is>
      </c>
      <c r="F190" s="17" t="inlineStr">
        <is>
          <t>az elmúlt 30 napban</t>
        </is>
      </c>
      <c r="G190" s="17" t="inlineStr">
        <is>
          <t>Más főkategória terméke</t>
        </is>
      </c>
    </row>
    <row r="191">
      <c r="A191" s="17" t="inlineStr">
        <is>
          <t>GRO0506</t>
        </is>
      </c>
      <c r="B191" s="17" t="inlineStr">
        <is>
          <t>E40 kerámiafoglalat falon kívüli szereléshez, nagy kompakt fénycsövekhez</t>
        </is>
      </c>
      <c r="C191" s="17" t="inlineStr">
        <is>
          <t>–</t>
        </is>
      </c>
      <c r="D191" s="17" t="inlineStr"/>
      <c r="E191" s="17" t="inlineStr">
        <is>
          <t>Nem tartozik ide</t>
        </is>
      </c>
      <c r="F191" s="17" t="inlineStr">
        <is>
          <t>az elmúlt 30 napban</t>
        </is>
      </c>
      <c r="G191" s="17" t="inlineStr">
        <is>
          <t>Más főkategória terméke</t>
        </is>
      </c>
    </row>
    <row r="192">
      <c r="A192" s="17" t="inlineStr">
        <is>
          <t>GRO0524</t>
        </is>
      </c>
      <c r="B192" s="17" t="inlineStr">
        <is>
          <t>Atami Bloombastic PK 14-15 virágzásserkentő, 325 ml</t>
        </is>
      </c>
      <c r="C192" s="17" t="inlineStr">
        <is>
          <t>–</t>
        </is>
      </c>
      <c r="D192" s="17" t="inlineStr"/>
      <c r="E192" s="17" t="inlineStr">
        <is>
          <t>Nem tartozik ide</t>
        </is>
      </c>
      <c r="F192" s="17" t="inlineStr">
        <is>
          <t>az elmúlt 30 napban</t>
        </is>
      </c>
      <c r="G192" s="17" t="inlineStr">
        <is>
          <t>Más főkategória terméke</t>
        </is>
      </c>
    </row>
    <row r="193">
      <c r="A193" s="17" t="inlineStr">
        <is>
          <t>GRO0525</t>
        </is>
      </c>
      <c r="B193" s="17" t="inlineStr">
        <is>
          <t>Atami Bloombastic PK 14-15 virágzásserkentő, 100 ml</t>
        </is>
      </c>
      <c r="C193" s="17" t="inlineStr">
        <is>
          <t>–</t>
        </is>
      </c>
      <c r="D193" s="17" t="inlineStr"/>
      <c r="E193" s="17" t="inlineStr">
        <is>
          <t>Nem tartozik ide</t>
        </is>
      </c>
      <c r="F193" s="17" t="inlineStr">
        <is>
          <t>az elmúlt 30 napban</t>
        </is>
      </c>
      <c r="G193" s="17" t="inlineStr">
        <is>
          <t>Más főkategória terméke</t>
        </is>
      </c>
    </row>
    <row r="194">
      <c r="A194" s="17" t="inlineStr">
        <is>
          <t>GRO0600</t>
        </is>
      </c>
      <c r="B194" s="17" t="inlineStr">
        <is>
          <t>Milwaukee pH kalibráló folyadék pH 10,01, 20 ml, pH mérőkhöz</t>
        </is>
      </c>
      <c r="C194" s="17" t="inlineStr">
        <is>
          <t>–</t>
        </is>
      </c>
      <c r="D194" s="17" t="inlineStr"/>
      <c r="E194" s="17" t="inlineStr">
        <is>
          <t>Nem tartozik ide</t>
        </is>
      </c>
      <c r="F194" s="17" t="inlineStr">
        <is>
          <t>az elmúlt 30 napban</t>
        </is>
      </c>
      <c r="G194" s="17" t="inlineStr">
        <is>
          <t>Más főkategória terméke</t>
        </is>
      </c>
    </row>
    <row r="195">
      <c r="A195" s="17" t="inlineStr">
        <is>
          <t>GRO0601</t>
        </is>
      </c>
      <c r="B195" s="17" t="inlineStr">
        <is>
          <t>Milwaukee pH kalibráló folyadék pH 7,01, 20 ml, pH mérőkhöz</t>
        </is>
      </c>
      <c r="C195" s="17" t="inlineStr">
        <is>
          <t>–</t>
        </is>
      </c>
      <c r="D195" s="17" t="inlineStr"/>
      <c r="E195" s="17" t="inlineStr">
        <is>
          <t>Nem tartozik ide</t>
        </is>
      </c>
      <c r="F195" s="17" t="inlineStr">
        <is>
          <t>az elmúlt 30 napban</t>
        </is>
      </c>
      <c r="G195" s="17" t="inlineStr">
        <is>
          <t>Más főkategória terméke</t>
        </is>
      </c>
    </row>
    <row r="196">
      <c r="A196" s="17" t="inlineStr">
        <is>
          <t>GRO0602</t>
        </is>
      </c>
      <c r="B196" s="17" t="inlineStr">
        <is>
          <t>Milwaukee pH kalibráló folyadék pH 4,01, 20 ml, pH mérőkhöz</t>
        </is>
      </c>
      <c r="C196" s="17" t="inlineStr">
        <is>
          <t>–</t>
        </is>
      </c>
      <c r="D196" s="17" t="inlineStr"/>
      <c r="E196" s="17" t="inlineStr">
        <is>
          <t>Nem tartozik ide</t>
        </is>
      </c>
      <c r="F196" s="17" t="inlineStr">
        <is>
          <t>az elmúlt 30 napban</t>
        </is>
      </c>
      <c r="G196" s="17" t="inlineStr">
        <is>
          <t>Más főkategória terméke</t>
        </is>
      </c>
    </row>
    <row r="197">
      <c r="A197" s="17" t="inlineStr">
        <is>
          <t>GRO0604</t>
        </is>
      </c>
      <c r="B197" s="17" t="inlineStr">
        <is>
          <t>Lépcsős bővítő cső 80/100/120/125/150 mm légcsatornához</t>
        </is>
      </c>
      <c r="C197" s="17" t="inlineStr">
        <is>
          <t>–</t>
        </is>
      </c>
      <c r="D197" s="17" t="inlineStr"/>
      <c r="E197" s="17" t="inlineStr">
        <is>
          <t>Nem tartozik ide</t>
        </is>
      </c>
      <c r="F197" s="17" t="inlineStr">
        <is>
          <t>az elmúlt 30 napban</t>
        </is>
      </c>
      <c r="G197" s="17" t="inlineStr">
        <is>
          <t>Más főkategória terméke</t>
        </is>
      </c>
    </row>
    <row r="198">
      <c r="A198" s="17" t="inlineStr">
        <is>
          <t>GRO0609</t>
        </is>
      </c>
      <c r="B198" s="17" t="inlineStr">
        <is>
          <t>Milwaukee EC kalibráló folyadék 1413 μS/cm, 20 ml, EC és TDS mérőkhöz</t>
        </is>
      </c>
      <c r="C198" s="17" t="inlineStr">
        <is>
          <t>–</t>
        </is>
      </c>
      <c r="D198" s="17" t="inlineStr"/>
      <c r="E198" s="17" t="inlineStr">
        <is>
          <t>Nem tartozik ide</t>
        </is>
      </c>
      <c r="F198" s="17" t="inlineStr">
        <is>
          <t>az elmúlt 30 napban</t>
        </is>
      </c>
      <c r="G198" s="17" t="inlineStr">
        <is>
          <t>Más főkategória terméke</t>
        </is>
      </c>
    </row>
    <row r="199">
      <c r="A199" s="17" t="inlineStr">
        <is>
          <t>GRO0618</t>
        </is>
      </c>
      <c r="B199" s="17" t="inlineStr">
        <is>
          <t>Green Force külső trafó 400 W HPS és MH izzókhoz, fém házban, hővédelemmel</t>
        </is>
      </c>
      <c r="C199" s="17" t="inlineStr">
        <is>
          <t>–</t>
        </is>
      </c>
      <c r="D199" s="17" t="inlineStr"/>
      <c r="E199" s="17" t="inlineStr">
        <is>
          <t>Nem tartozik ide</t>
        </is>
      </c>
      <c r="F199" s="17" t="inlineStr">
        <is>
          <t>az elmúlt 30 napban</t>
        </is>
      </c>
      <c r="G199" s="17" t="inlineStr">
        <is>
          <t>Más főkategória terméke</t>
        </is>
      </c>
    </row>
    <row r="200">
      <c r="A200" s="17" t="inlineStr">
        <is>
          <t>GRO0632</t>
        </is>
      </c>
      <c r="B200" s="17" t="inlineStr">
        <is>
          <t>Advanced Hydroponics pH- Bloom pH-csökkentő a virágzási szakaszra 500 ml</t>
        </is>
      </c>
      <c r="C200" s="17" t="inlineStr">
        <is>
          <t>–</t>
        </is>
      </c>
      <c r="D200" s="17" t="inlineStr"/>
      <c r="E200" s="17" t="inlineStr">
        <is>
          <t>Nem tartozik ide</t>
        </is>
      </c>
      <c r="F200" s="17" t="inlineStr">
        <is>
          <t>az elmúlt 30 napban</t>
        </is>
      </c>
      <c r="G200" s="17" t="inlineStr">
        <is>
          <t>Más főkategória terméke</t>
        </is>
      </c>
    </row>
    <row r="201">
      <c r="A201" s="17" t="inlineStr">
        <is>
          <t>GRO0634</t>
        </is>
      </c>
      <c r="B201" s="17" t="inlineStr">
        <is>
          <t>Advanced Hydroponics pH- Bloom pH-csökkentő a virágzási szakaszra 1 liter</t>
        </is>
      </c>
      <c r="C201" s="17" t="inlineStr">
        <is>
          <t>–</t>
        </is>
      </c>
      <c r="D201" s="17" t="inlineStr"/>
      <c r="E201" s="17" t="inlineStr">
        <is>
          <t>Nem tartozik ide</t>
        </is>
      </c>
      <c r="F201" s="17" t="inlineStr">
        <is>
          <t>az elmúlt 30 napban</t>
        </is>
      </c>
      <c r="G201" s="17" t="inlineStr">
        <is>
          <t>Más főkategória terméke</t>
        </is>
      </c>
    </row>
    <row r="202">
      <c r="A202" s="17" t="inlineStr">
        <is>
          <t>GRO0645</t>
        </is>
      </c>
      <c r="B202" s="17" t="inlineStr">
        <is>
          <t>Advanced Hydroponics Natural Power Root Stimulator gyökérserkentő 1 liter</t>
        </is>
      </c>
      <c r="C202" s="17" t="inlineStr">
        <is>
          <t>–</t>
        </is>
      </c>
      <c r="D202" s="17" t="inlineStr"/>
      <c r="E202" s="17" t="inlineStr">
        <is>
          <t>Nem tartozik ide</t>
        </is>
      </c>
      <c r="F202" s="17" t="inlineStr">
        <is>
          <t>az elmúlt 30 napban</t>
        </is>
      </c>
      <c r="G202" s="17" t="inlineStr">
        <is>
          <t>Más főkategória terméke</t>
        </is>
      </c>
    </row>
    <row r="203">
      <c r="A203" s="17" t="inlineStr">
        <is>
          <t>GRO0647</t>
        </is>
      </c>
      <c r="B203" s="17" t="inlineStr">
        <is>
          <t>Advanced Hydroponics Enzymes+ 1 liter</t>
        </is>
      </c>
      <c r="C203" s="17" t="inlineStr">
        <is>
          <t>–</t>
        </is>
      </c>
      <c r="D203" s="17" t="inlineStr"/>
      <c r="E203" s="17" t="inlineStr">
        <is>
          <t>Nem tartozik ide</t>
        </is>
      </c>
      <c r="F203" s="17" t="inlineStr">
        <is>
          <t>az elmúlt 30 napban</t>
        </is>
      </c>
      <c r="G203" s="17" t="inlineStr">
        <is>
          <t>Más főkategória terméke</t>
        </is>
      </c>
    </row>
    <row r="204">
      <c r="A204" s="17" t="inlineStr">
        <is>
          <t>GRO0648</t>
        </is>
      </c>
      <c r="B204" s="17" t="inlineStr">
        <is>
          <t>Advanced Hydroponics Natural Power Enzymes+ enzimes adalék 500 ml</t>
        </is>
      </c>
      <c r="C204" s="17" t="inlineStr">
        <is>
          <t>–</t>
        </is>
      </c>
      <c r="D204" s="17" t="inlineStr"/>
      <c r="E204" s="17" t="inlineStr">
        <is>
          <t>Nem tartozik ide</t>
        </is>
      </c>
      <c r="F204" s="17" t="inlineStr">
        <is>
          <t>az elmúlt 30 napban</t>
        </is>
      </c>
      <c r="G204" s="17" t="inlineStr">
        <is>
          <t>Más főkategória terméke</t>
        </is>
      </c>
    </row>
    <row r="205">
      <c r="A205" s="17" t="inlineStr">
        <is>
          <t>GRO0663</t>
        </is>
      </c>
      <c r="B205" s="17" t="inlineStr">
        <is>
          <t>Hidrokosár 8 cm rácsos hidro cserép hidropóniás rendszerekhez</t>
        </is>
      </c>
      <c r="C205" s="17" t="inlineStr">
        <is>
          <t>–</t>
        </is>
      </c>
      <c r="D205" s="17" t="inlineStr"/>
      <c r="E205" s="17" t="inlineStr">
        <is>
          <t>Nem tartozik ide</t>
        </is>
      </c>
      <c r="F205" s="17" t="inlineStr">
        <is>
          <t>az elmúlt 30 napban</t>
        </is>
      </c>
      <c r="G205" s="17" t="inlineStr">
        <is>
          <t>Más főkategória terméke</t>
        </is>
      </c>
    </row>
    <row r="206">
      <c r="A206" s="17" t="inlineStr">
        <is>
          <t>GRO0666</t>
        </is>
      </c>
      <c r="B206" s="17" t="inlineStr">
        <is>
          <t>Plagron Terra Grow ásványi növekedési táp földhöz 1 liter</t>
        </is>
      </c>
      <c r="C206" s="17" t="inlineStr">
        <is>
          <t>–</t>
        </is>
      </c>
      <c r="D206" s="17" t="inlineStr"/>
      <c r="E206" s="17" t="inlineStr">
        <is>
          <t>Nem tartozik ide</t>
        </is>
      </c>
      <c r="F206" s="17" t="inlineStr">
        <is>
          <t>az elmúlt 30 napban</t>
        </is>
      </c>
      <c r="G206" s="17" t="inlineStr">
        <is>
          <t>Más főkategória terméke</t>
        </is>
      </c>
    </row>
    <row r="207">
      <c r="A207" s="17" t="inlineStr">
        <is>
          <t>GRO0667</t>
        </is>
      </c>
      <c r="B207" s="17" t="inlineStr">
        <is>
          <t>Plagron Terra Grow ásványi növekedési táp földhöz 5 liter</t>
        </is>
      </c>
      <c r="C207" s="17" t="inlineStr">
        <is>
          <t>–</t>
        </is>
      </c>
      <c r="D207" s="17" t="inlineStr"/>
      <c r="E207" s="17" t="inlineStr">
        <is>
          <t>Nem tartozik ide</t>
        </is>
      </c>
      <c r="F207" s="17" t="inlineStr">
        <is>
          <t>az elmúlt 30 napban</t>
        </is>
      </c>
      <c r="G207" s="17" t="inlineStr">
        <is>
          <t>Más főkategória terméke</t>
        </is>
      </c>
    </row>
    <row r="208">
      <c r="A208" s="17" t="inlineStr">
        <is>
          <t>GRO0668</t>
        </is>
      </c>
      <c r="B208" s="17" t="inlineStr">
        <is>
          <t>Plagron Terra Bloom ásványi virágzási táp földhöz 1 liter</t>
        </is>
      </c>
      <c r="C208" s="17" t="inlineStr">
        <is>
          <t>–</t>
        </is>
      </c>
      <c r="D208" s="17" t="inlineStr"/>
      <c r="E208" s="17" t="inlineStr">
        <is>
          <t>Nem tartozik ide</t>
        </is>
      </c>
      <c r="F208" s="17" t="inlineStr">
        <is>
          <t>az elmúlt 30 napban</t>
        </is>
      </c>
      <c r="G208" s="17" t="inlineStr">
        <is>
          <t>Más főkategória terméke</t>
        </is>
      </c>
    </row>
    <row r="209">
      <c r="A209" s="17" t="inlineStr">
        <is>
          <t>GRO0669</t>
        </is>
      </c>
      <c r="B209" s="17" t="inlineStr">
        <is>
          <t>Plagron Terra Bloom ásványi virágzási táp földhöz 5 liter</t>
        </is>
      </c>
      <c r="C209" s="17" t="inlineStr">
        <is>
          <t>–</t>
        </is>
      </c>
      <c r="D209" s="17" t="inlineStr"/>
      <c r="E209" s="17" t="inlineStr">
        <is>
          <t>Nem tartozik ide</t>
        </is>
      </c>
      <c r="F209" s="17" t="inlineStr">
        <is>
          <t>az elmúlt 30 napban</t>
        </is>
      </c>
      <c r="G209" s="17" t="inlineStr">
        <is>
          <t>Más főkategória terméke</t>
        </is>
      </c>
    </row>
    <row r="210">
      <c r="A210" s="17" t="inlineStr">
        <is>
          <t>GRO0670</t>
        </is>
      </c>
      <c r="B210" s="17" t="inlineStr">
        <is>
          <t>Plagron Pure Zym enzimes talajjavító 500 ml</t>
        </is>
      </c>
      <c r="C210" s="17" t="inlineStr">
        <is>
          <t>–</t>
        </is>
      </c>
      <c r="D210" s="17" t="inlineStr"/>
      <c r="E210" s="17" t="inlineStr">
        <is>
          <t>Nem tartozik ide</t>
        </is>
      </c>
      <c r="F210" s="17" t="inlineStr">
        <is>
          <t>az elmúlt 30 napban</t>
        </is>
      </c>
      <c r="G210" s="17" t="inlineStr">
        <is>
          <t>Más főkategória terméke</t>
        </is>
      </c>
    </row>
    <row r="211">
      <c r="A211" s="17" t="inlineStr">
        <is>
          <t>GRO0671</t>
        </is>
      </c>
      <c r="B211" s="17" t="inlineStr">
        <is>
          <t>Plagron Pure Zym enzimes talajjavító 1 liter</t>
        </is>
      </c>
      <c r="C211" s="17" t="inlineStr">
        <is>
          <t>–</t>
        </is>
      </c>
      <c r="D211" s="17" t="inlineStr"/>
      <c r="E211" s="17" t="inlineStr">
        <is>
          <t>Nem tartozik ide</t>
        </is>
      </c>
      <c r="F211" s="17" t="inlineStr">
        <is>
          <t>az elmúlt 30 napban</t>
        </is>
      </c>
      <c r="G211" s="17" t="inlineStr">
        <is>
          <t>Más főkategória terméke</t>
        </is>
      </c>
    </row>
    <row r="212">
      <c r="A212" s="17" t="inlineStr">
        <is>
          <t>GRO0672</t>
        </is>
      </c>
      <c r="B212" s="17" t="inlineStr">
        <is>
          <t>Plagron Green Sensation booster virágzásfokozó 500 ml</t>
        </is>
      </c>
      <c r="C212" s="17" t="inlineStr">
        <is>
          <t>–</t>
        </is>
      </c>
      <c r="D212" s="17" t="inlineStr"/>
      <c r="E212" s="17" t="inlineStr">
        <is>
          <t>Nem tartozik ide</t>
        </is>
      </c>
      <c r="F212" s="17" t="inlineStr">
        <is>
          <t>az elmúlt 30 napban</t>
        </is>
      </c>
      <c r="G212" s="17" t="inlineStr">
        <is>
          <t>Más főkategória terméke</t>
        </is>
      </c>
    </row>
    <row r="213">
      <c r="A213" s="17" t="inlineStr">
        <is>
          <t>GRO0674</t>
        </is>
      </c>
      <c r="B213" s="17" t="inlineStr">
        <is>
          <t>Plagron Vita Race vasas levélpermet 100 ml</t>
        </is>
      </c>
      <c r="C213" s="17" t="inlineStr">
        <is>
          <t>–</t>
        </is>
      </c>
      <c r="D213" s="17" t="inlineStr"/>
      <c r="E213" s="17" t="inlineStr">
        <is>
          <t>Nem tartozik ide</t>
        </is>
      </c>
      <c r="F213" s="17" t="inlineStr">
        <is>
          <t>az elmúlt 30 napban</t>
        </is>
      </c>
      <c r="G213" s="17" t="inlineStr">
        <is>
          <t>Más főkategória terméke</t>
        </is>
      </c>
    </row>
    <row r="214">
      <c r="A214" s="17" t="inlineStr">
        <is>
          <t>GRO0676</t>
        </is>
      </c>
      <c r="B214" s="17" t="inlineStr">
        <is>
          <t>Plagron Top Grow Box Terra ásványi tápszett földes termesztéshez, 1 m²</t>
        </is>
      </c>
      <c r="C214" s="17" t="inlineStr">
        <is>
          <t>–</t>
        </is>
      </c>
      <c r="D214" s="17" t="inlineStr"/>
      <c r="E214" s="17" t="inlineStr">
        <is>
          <t>Nem tartozik ide</t>
        </is>
      </c>
      <c r="F214" s="17" t="inlineStr">
        <is>
          <t>az elmúlt 30 napban</t>
        </is>
      </c>
      <c r="G214" s="17" t="inlineStr">
        <is>
          <t>Más főkategória terméke</t>
        </is>
      </c>
    </row>
    <row r="215">
      <c r="A215" s="17" t="inlineStr">
        <is>
          <t>GRO0677</t>
        </is>
      </c>
      <c r="B215" s="17" t="inlineStr">
        <is>
          <t>Plagron Power Roots gyökérerősítő adalék 500 ml</t>
        </is>
      </c>
      <c r="C215" s="17" t="inlineStr">
        <is>
          <t>–</t>
        </is>
      </c>
      <c r="D215" s="17" t="inlineStr"/>
      <c r="E215" s="17" t="inlineStr">
        <is>
          <t>Nem tartozik ide</t>
        </is>
      </c>
      <c r="F215" s="17" t="inlineStr">
        <is>
          <t>az elmúlt 30 napban</t>
        </is>
      </c>
      <c r="G215" s="17" t="inlineStr">
        <is>
          <t>Más főkategória terméke</t>
        </is>
      </c>
    </row>
    <row r="216">
      <c r="A216" s="17" t="inlineStr">
        <is>
          <t>GRO0678</t>
        </is>
      </c>
      <c r="B216" s="17" t="inlineStr">
        <is>
          <t>Advanced Hydroponics Dutch Formula GROW 1 liter</t>
        </is>
      </c>
      <c r="C216" s="17" t="inlineStr">
        <is>
          <t>–</t>
        </is>
      </c>
      <c r="D216" s="17" t="inlineStr"/>
      <c r="E216" s="17" t="inlineStr">
        <is>
          <t>Nem tartozik ide</t>
        </is>
      </c>
      <c r="F216" s="17" t="inlineStr">
        <is>
          <t>az elmúlt 30 napban</t>
        </is>
      </c>
      <c r="G216" s="17" t="inlineStr">
        <is>
          <t>Más főkategória terméke</t>
        </is>
      </c>
    </row>
    <row r="217">
      <c r="A217" s="17" t="inlineStr">
        <is>
          <t>GRO0679</t>
        </is>
      </c>
      <c r="B217" s="17" t="inlineStr">
        <is>
          <t>Advanced Hydroponics Dutch Formula MICRO mikroelemes alaptáp 1 liter</t>
        </is>
      </c>
      <c r="C217" s="17" t="inlineStr">
        <is>
          <t>–</t>
        </is>
      </c>
      <c r="D217" s="17" t="inlineStr"/>
      <c r="E217" s="17" t="inlineStr">
        <is>
          <t>Nem tartozik ide</t>
        </is>
      </c>
      <c r="F217" s="17" t="inlineStr">
        <is>
          <t>az elmúlt 30 napban</t>
        </is>
      </c>
      <c r="G217" s="17" t="inlineStr">
        <is>
          <t>Más főkategória terméke</t>
        </is>
      </c>
    </row>
    <row r="218">
      <c r="A218" s="17" t="inlineStr">
        <is>
          <t>GRO0680</t>
        </is>
      </c>
      <c r="B218" s="17" t="inlineStr">
        <is>
          <t>Advanced Hydroponics pH+ Up pH-emelő folyadék tápoldathoz 500 ml</t>
        </is>
      </c>
      <c r="C218" s="17" t="inlineStr">
        <is>
          <t>–</t>
        </is>
      </c>
      <c r="D218" s="17" t="inlineStr"/>
      <c r="E218" s="17" t="inlineStr">
        <is>
          <t>Nem tartozik ide</t>
        </is>
      </c>
      <c r="F218" s="17" t="inlineStr">
        <is>
          <t>az elmúlt 30 napban</t>
        </is>
      </c>
      <c r="G218" s="17" t="inlineStr">
        <is>
          <t>Más főkategória terméke</t>
        </is>
      </c>
    </row>
    <row r="219">
      <c r="A219" s="17" t="inlineStr">
        <is>
          <t>GRO0687</t>
        </is>
      </c>
      <c r="B219" s="17" t="inlineStr">
        <is>
          <t>Advanced Hydroponics Natural Power Final Solution öblítő szer 500 ml</t>
        </is>
      </c>
      <c r="C219" s="17" t="inlineStr">
        <is>
          <t>–</t>
        </is>
      </c>
      <c r="D219" s="17" t="inlineStr"/>
      <c r="E219" s="17" t="inlineStr">
        <is>
          <t>Nem tartozik ide</t>
        </is>
      </c>
      <c r="F219" s="17" t="inlineStr">
        <is>
          <t>az elmúlt 30 napban</t>
        </is>
      </c>
      <c r="G219" s="17" t="inlineStr">
        <is>
          <t>Más főkategória terméke</t>
        </is>
      </c>
    </row>
    <row r="220">
      <c r="A220" s="17" t="inlineStr">
        <is>
          <t>GRO0688</t>
        </is>
      </c>
      <c r="B220" s="17" t="inlineStr">
        <is>
          <t>Advanced Hydroponics Dutch Formula BLOOM ásványi virágzási alaptáp 500 ml</t>
        </is>
      </c>
      <c r="C220" s="17" t="inlineStr">
        <is>
          <t>–</t>
        </is>
      </c>
      <c r="D220" s="17" t="inlineStr"/>
      <c r="E220" s="17" t="inlineStr">
        <is>
          <t>Nem tartozik ide</t>
        </is>
      </c>
      <c r="F220" s="17" t="inlineStr">
        <is>
          <t>az elmúlt 30 napban</t>
        </is>
      </c>
      <c r="G220" s="17" t="inlineStr">
        <is>
          <t>Más főkategória terméke</t>
        </is>
      </c>
    </row>
    <row r="221">
      <c r="A221" s="17" t="inlineStr">
        <is>
          <t>GRO0690</t>
        </is>
      </c>
      <c r="B221" s="17" t="inlineStr">
        <is>
          <t>BioBizz Bio-Bloom szerves virágzási táp 5 liter</t>
        </is>
      </c>
      <c r="C221" s="17" t="inlineStr">
        <is>
          <t>–</t>
        </is>
      </c>
      <c r="D221" s="17" t="inlineStr"/>
      <c r="E221" s="17" t="inlineStr">
        <is>
          <t>Nem tartozik ide</t>
        </is>
      </c>
      <c r="F221" s="17" t="inlineStr">
        <is>
          <t>az elmúlt 30 napban</t>
        </is>
      </c>
      <c r="G221" s="17" t="inlineStr">
        <is>
          <t>Más főkategória terméke</t>
        </is>
      </c>
    </row>
    <row r="222">
      <c r="A222" s="17" t="inlineStr">
        <is>
          <t>GRO0696</t>
        </is>
      </c>
      <c r="B222" s="17" t="inlineStr">
        <is>
          <t>Advanced Hydroponics Dutch Formula BLOOM ásványi virágzási alaptáp 1 liter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az elmúlt 30 napban</t>
        </is>
      </c>
      <c r="G222" s="17" t="inlineStr">
        <is>
          <t>Más főkategória terméke</t>
        </is>
      </c>
    </row>
    <row r="223">
      <c r="A223" s="17" t="inlineStr">
        <is>
          <t>GRO0704</t>
        </is>
      </c>
      <c r="B223" s="17" t="inlineStr">
        <is>
          <t>BIOCANNA Bio Vega szerves növekedési táp betain-nitrogénnel 5 liter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30 napban</t>
        </is>
      </c>
      <c r="G223" s="17" t="inlineStr">
        <is>
          <t>Más főkategória terméke</t>
        </is>
      </c>
    </row>
    <row r="224">
      <c r="A224" s="17" t="inlineStr">
        <is>
          <t>GRO0705</t>
        </is>
      </c>
      <c r="B224" s="17" t="inlineStr">
        <is>
          <t>CANNA Terra Vega ásványi növekedési táp földhöz 5 liter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GRO0706</t>
        </is>
      </c>
      <c r="B225" s="17" t="inlineStr">
        <is>
          <t>CANNA Terra Flores ásványi virágzási táp földhöz 5 liter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az elmúlt 30 napban</t>
        </is>
      </c>
      <c r="G225" s="17" t="inlineStr">
        <is>
          <t>Más főkategória terméke</t>
        </is>
      </c>
    </row>
    <row r="226">
      <c r="A226" s="17" t="inlineStr">
        <is>
          <t>GRO0709</t>
        </is>
      </c>
      <c r="B226" s="17" t="inlineStr">
        <is>
          <t>BioNova Soil Supermix egykomponensű talajtáp 1 liter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GRO0710</t>
        </is>
      </c>
      <c r="B227" s="17" t="inlineStr">
        <is>
          <t>BioNova Hydro Supermix egykomponensű hidropóniás táp 1 liter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30 napban</t>
        </is>
      </c>
      <c r="G227" s="17" t="inlineStr">
        <is>
          <t>Más főkategória terméke</t>
        </is>
      </c>
    </row>
    <row r="228">
      <c r="A228" s="17" t="inlineStr">
        <is>
          <t>GRO0711</t>
        </is>
      </c>
      <c r="B228" s="17" t="inlineStr">
        <is>
          <t>BioNova Aero Supermix alaptáp aeropóniás rendszerekhez 1 liter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GRO0713</t>
        </is>
      </c>
      <c r="B229" s="17" t="inlineStr">
        <is>
          <t>BioNova Nutri Forte A+B Hydro kétkomponensű hidropóniás táp 1 liter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GRO0714</t>
        </is>
      </c>
      <c r="B230" s="17" t="inlineStr">
        <is>
          <t>BioNova Coco Forte A+B kétkomponensű kókusztáp 1 liter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GRO0715</t>
        </is>
      </c>
      <c r="B231" s="17" t="inlineStr">
        <is>
          <t>BioNova PK 13-14 foszfor-kálium virágzásserkentő 1 liter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az elmúlt 30 napban</t>
        </is>
      </c>
      <c r="G231" s="17" t="inlineStr">
        <is>
          <t>Más főkategória terméke</t>
        </is>
      </c>
    </row>
    <row r="232">
      <c r="A232" s="17" t="inlineStr">
        <is>
          <t>GRO0716</t>
        </is>
      </c>
      <c r="B232" s="17" t="inlineStr">
        <is>
          <t>BioNova P 20 folyékony foszforműtrágya foszforhiányra 1 liter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GRO0717</t>
        </is>
      </c>
      <c r="B233" s="17" t="inlineStr">
        <is>
          <t>BioNova K 20 folyékony káliumműtrágya káliumhiányra 1 liter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az elmúlt 30 napban</t>
        </is>
      </c>
      <c r="G233" s="17" t="inlineStr">
        <is>
          <t>Más főkategória terméke</t>
        </is>
      </c>
    </row>
    <row r="234">
      <c r="A234" s="17" t="inlineStr">
        <is>
          <t>GRO0718</t>
        </is>
      </c>
      <c r="B234" s="17" t="inlineStr">
        <is>
          <t>BioNova Ca 15 folyékony kalciumműtrágya kalciumhiányra 1 liter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az elmúlt 30 napban</t>
        </is>
      </c>
      <c r="G234" s="17" t="inlineStr">
        <is>
          <t>Más főkategória terméke</t>
        </is>
      </c>
    </row>
    <row r="235">
      <c r="A235" s="17" t="inlineStr">
        <is>
          <t>GRO0719</t>
        </is>
      </c>
      <c r="B235" s="17" t="inlineStr">
        <is>
          <t>BioNova MgO 10 folyékony magnéziumműtrágya magnéziumhiányra 1 liter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az elmúlt 30 napban</t>
        </is>
      </c>
      <c r="G235" s="17" t="inlineStr">
        <is>
          <t>Más főkategória terméke</t>
        </is>
      </c>
    </row>
    <row r="236">
      <c r="A236" s="17" t="inlineStr">
        <is>
          <t>GRO0720</t>
        </is>
      </c>
      <c r="B236" s="17" t="inlineStr">
        <is>
          <t>BioNova Micromix kelátos mikroelem-keverék nyomelemhiányra 1 liter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az elmúlt 30 napban</t>
        </is>
      </c>
      <c r="G236" s="17" t="inlineStr">
        <is>
          <t>Más főkategória terméke</t>
        </is>
      </c>
    </row>
    <row r="237">
      <c r="A237" s="17" t="inlineStr">
        <is>
          <t>GRO0721</t>
        </is>
      </c>
      <c r="B237" s="17" t="inlineStr">
        <is>
          <t>BioNova X-ceL bio növekedés- és virágzásserkentő stimulátor 1 liter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GRO0722</t>
        </is>
      </c>
      <c r="B238" s="17" t="inlineStr">
        <is>
          <t>BioNova Roots gyökérstimulátor huminsavval és algával 1 liter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GRO0723</t>
        </is>
      </c>
      <c r="B239" s="17" t="inlineStr">
        <is>
          <t>BioNova Zym enzimes közegjavító és biokatalizátor 1 liter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az elmúlt 30 napban</t>
        </is>
      </c>
      <c r="G239" s="17" t="inlineStr">
        <is>
          <t>Más főkategória terméke</t>
        </is>
      </c>
    </row>
    <row r="240">
      <c r="A240" s="17" t="inlineStr">
        <is>
          <t>GRO0724</t>
        </is>
      </c>
      <c r="B240" s="17" t="inlineStr">
        <is>
          <t>BioNova pH+ kálium-hidroxid alapú pH emelő folyadék 1 liter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GRO0725</t>
        </is>
      </c>
      <c r="B241" s="17" t="inlineStr">
        <is>
          <t>BioNova pH- foszforsav alapú pH csökkentő folyadék 1 liter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GRO0726</t>
        </is>
      </c>
      <c r="B242" s="17" t="inlineStr">
        <is>
          <t>BioNova Autoflower Supermix táp önvirágzó növényekhez 1 liter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GRO0727</t>
        </is>
      </c>
      <c r="B243" s="17" t="inlineStr">
        <is>
          <t>BioNova Soil Supermix 5 liter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GRO0728</t>
        </is>
      </c>
      <c r="B244" s="17" t="inlineStr">
        <is>
          <t>BioNova Hydro Supermix egykomponensű hidropóniás táp 5 liter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GRO0729</t>
        </is>
      </c>
      <c r="B245" s="17" t="inlineStr">
        <is>
          <t>BioNova Nutri Forte A+B Hydro kétkomponensű hidropóniás táp 5 liter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az elmúlt 30 napban</t>
        </is>
      </c>
      <c r="G245" s="17" t="inlineStr">
        <is>
          <t>Más főkategória terméke</t>
        </is>
      </c>
    </row>
    <row r="246">
      <c r="A246" s="17" t="inlineStr">
        <is>
          <t>GRO0730</t>
        </is>
      </c>
      <c r="B246" s="17" t="inlineStr">
        <is>
          <t>BioNova Coco Forte A+B kétkomponensű kókusztáp 5 liter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GRO0731</t>
        </is>
      </c>
      <c r="B247" s="17" t="inlineStr">
        <is>
          <t>BioNova PK 13-14 foszfor-kálium virágzásserkentő 5 liter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az elmúlt 30 napban</t>
        </is>
      </c>
      <c r="G247" s="17" t="inlineStr">
        <is>
          <t>Más főkategória terméke</t>
        </is>
      </c>
    </row>
    <row r="248">
      <c r="A248" s="17" t="inlineStr">
        <is>
          <t>GRO0732</t>
        </is>
      </c>
      <c r="B248" s="17" t="inlineStr">
        <is>
          <t>BioNova PK 13-14 foszfor-kálium virágzásserkentő 250 ml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az elmúlt 30 napban</t>
        </is>
      </c>
      <c r="G248" s="17" t="inlineStr">
        <is>
          <t>Más főkategória terméke</t>
        </is>
      </c>
    </row>
    <row r="249">
      <c r="A249" s="17" t="inlineStr">
        <is>
          <t>GRO0733</t>
        </is>
      </c>
      <c r="B249" s="17" t="inlineStr">
        <is>
          <t>BioNova X-ceL bio növekedés- és virágzásserkentő stimulátor 250 ml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30 napban</t>
        </is>
      </c>
      <c r="G249" s="17" t="inlineStr">
        <is>
          <t>Más főkategória terméke</t>
        </is>
      </c>
    </row>
    <row r="250">
      <c r="A250" s="17" t="inlineStr">
        <is>
          <t>GRO0734</t>
        </is>
      </c>
      <c r="B250" s="17" t="inlineStr">
        <is>
          <t>BioNova The Missing Link (TML) bio stimulátor fulvosavval 250 ml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az elmúlt 30 napban</t>
        </is>
      </c>
      <c r="G250" s="17" t="inlineStr">
        <is>
          <t>Más főkategória terméke</t>
        </is>
      </c>
    </row>
    <row r="251">
      <c r="A251" s="17" t="inlineStr">
        <is>
          <t>GRO0735</t>
        </is>
      </c>
      <c r="B251" s="17" t="inlineStr">
        <is>
          <t>BioNova Roots gyökérstimulátor huminsavval és algával 250 ml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30 napban</t>
        </is>
      </c>
      <c r="G251" s="17" t="inlineStr">
        <is>
          <t>Más főkategória terméke</t>
        </is>
      </c>
    </row>
    <row r="252">
      <c r="A252" s="17" t="inlineStr">
        <is>
          <t>GRO0736</t>
        </is>
      </c>
      <c r="B252" s="17" t="inlineStr">
        <is>
          <t>BioNova Zym 250 ml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30 napban</t>
        </is>
      </c>
      <c r="G252" s="17" t="inlineStr">
        <is>
          <t>Más főkategória terméke</t>
        </is>
      </c>
    </row>
    <row r="253">
      <c r="A253" s="17" t="inlineStr">
        <is>
          <t>GRO0745</t>
        </is>
      </c>
      <c r="B253" s="17" t="inlineStr">
        <is>
          <t>BioNova N 27 kloridmentes folyékony nitrogénműtrágya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az elmúlt 30 napban</t>
        </is>
      </c>
      <c r="G253" s="17" t="inlineStr">
        <is>
          <t>Más főkategória terméke</t>
        </is>
      </c>
    </row>
    <row r="254">
      <c r="A254" s="17" t="inlineStr">
        <is>
          <t>GRO0748</t>
        </is>
      </c>
      <c r="B254" s="17" t="inlineStr">
        <is>
          <t>Görög mintás négyzetes műanyag virágcserép 9 liter, 23 x 23 cm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az elmúlt 30 napban</t>
        </is>
      </c>
      <c r="G254" s="17" t="inlineStr">
        <is>
          <t>Más főkategória terméke</t>
        </is>
      </c>
    </row>
    <row r="255">
      <c r="A255" s="17" t="inlineStr">
        <is>
          <t>GRO0749</t>
        </is>
      </c>
      <c r="B255" s="17" t="inlineStr">
        <is>
          <t>Plagron Power Roots gyökérerősítő adalék 250 ml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az elmúlt 30 napban</t>
        </is>
      </c>
      <c r="G255" s="17" t="inlineStr">
        <is>
          <t>Más főkategória terméke</t>
        </is>
      </c>
    </row>
    <row r="256">
      <c r="A256" s="17" t="inlineStr">
        <is>
          <t>GRO0750</t>
        </is>
      </c>
      <c r="B256" s="17" t="inlineStr">
        <is>
          <t>Advanced Hydroponics Dutch Formula GROW ásványi növekedési alaptáp 500 ml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az elmúlt 30 napban</t>
        </is>
      </c>
      <c r="G256" s="17" t="inlineStr">
        <is>
          <t>Más főkategória terméke</t>
        </is>
      </c>
    </row>
    <row r="257">
      <c r="A257" s="17" t="inlineStr">
        <is>
          <t>GRO0751</t>
        </is>
      </c>
      <c r="B257" s="17" t="inlineStr">
        <is>
          <t>Advanced Hydroponics Dutch Formula MICRO mikroelemes alaptáp 500 ml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az elmúlt 30 napban</t>
        </is>
      </c>
      <c r="G257" s="17" t="inlineStr">
        <is>
          <t>Más főkategória terméke</t>
        </is>
      </c>
    </row>
    <row r="258">
      <c r="A258" s="17" t="inlineStr">
        <is>
          <t>GRO0752</t>
        </is>
      </c>
      <c r="B258" s="17" t="inlineStr">
        <is>
          <t>Advanced Hydroponics Dutch Formula GROW ásványi növekedési alaptáp 5 liter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az elmúlt 30 napban</t>
        </is>
      </c>
      <c r="G258" s="17" t="inlineStr">
        <is>
          <t>Más főkategória terméke</t>
        </is>
      </c>
    </row>
    <row r="259">
      <c r="A259" s="17" t="inlineStr">
        <is>
          <t>GRO0753</t>
        </is>
      </c>
      <c r="B259" s="17" t="inlineStr">
        <is>
          <t>Advanced Hydroponics Dutch Formula BLOOM 5 liter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az elmúlt 30 napban</t>
        </is>
      </c>
      <c r="G259" s="17" t="inlineStr">
        <is>
          <t>Más főkategória terméke</t>
        </is>
      </c>
    </row>
    <row r="260">
      <c r="A260" s="17" t="inlineStr">
        <is>
          <t>GRO0754</t>
        </is>
      </c>
      <c r="B260" s="17" t="inlineStr">
        <is>
          <t>Advanced Hydroponics Dutch Formula MICRO mikroelemes alaptáp 5 liter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az elmúlt 30 napban</t>
        </is>
      </c>
      <c r="G260" s="17" t="inlineStr">
        <is>
          <t>Más főkategória terméke</t>
        </is>
      </c>
    </row>
    <row r="261">
      <c r="A261" s="17" t="inlineStr">
        <is>
          <t>GRO0759</t>
        </is>
      </c>
      <c r="B261" s="17" t="inlineStr">
        <is>
          <t>Advanced Hydroponics Natural Power Final Solution öblítő szer 1 liter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GRO0770</t>
        </is>
      </c>
      <c r="B262" s="17" t="inlineStr">
        <is>
          <t>Rope Ratchet racsnis reflektor felfüggesztő pár karabinerekkel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GRO0774</t>
        </is>
      </c>
      <c r="B263" s="17" t="inlineStr">
        <is>
          <t>Csíptetős ventilátor 15 W, 19 cm, bilinccsel és támasztékkal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GRO0776</t>
        </is>
      </c>
      <c r="B264" s="17" t="inlineStr">
        <is>
          <t>Vents 100 VKO csőbe szerelhető axiális ventilátor 100 mm, 105 m3/h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az elmúlt 30 napban</t>
        </is>
      </c>
      <c r="G264" s="17" t="inlineStr">
        <is>
          <t>Más főkategória terméke</t>
        </is>
      </c>
    </row>
    <row r="265">
      <c r="A265" s="17" t="inlineStr">
        <is>
          <t>GRO0777</t>
        </is>
      </c>
      <c r="B265" s="17" t="inlineStr">
        <is>
          <t>Vents 125 VKO csőbe szerelhető axiális ventilátor 125 mm, 185 m3/h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az elmúlt 30 napban</t>
        </is>
      </c>
      <c r="G265" s="17" t="inlineStr">
        <is>
          <t>Más főkategória terméke</t>
        </is>
      </c>
    </row>
    <row r="266">
      <c r="A266" s="17" t="inlineStr">
        <is>
          <t>GRO0778</t>
        </is>
      </c>
      <c r="B266" s="17" t="inlineStr">
        <is>
          <t>Vents 150 VKO csőbe szerelhető axiális ventilátor 150 mm, 298 m3/h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30 napban</t>
        </is>
      </c>
      <c r="G266" s="17" t="inlineStr">
        <is>
          <t>Más főkategória terméke</t>
        </is>
      </c>
    </row>
    <row r="267">
      <c r="A267" s="17" t="inlineStr">
        <is>
          <t>GRO0779</t>
        </is>
      </c>
      <c r="B267" s="17" t="inlineStr">
        <is>
          <t>Vents VK csatornaventilátor VK100 250m3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az elmúlt 30 napban</t>
        </is>
      </c>
      <c r="G267" s="17" t="inlineStr">
        <is>
          <t>Más főkategória terméke</t>
        </is>
      </c>
    </row>
    <row r="268">
      <c r="A268" s="17" t="inlineStr">
        <is>
          <t>GRO0780</t>
        </is>
      </c>
      <c r="B268" s="17" t="inlineStr">
        <is>
          <t>Vents VK 125 centrifugális csatornaventilátor 125 mm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GRO0781</t>
        </is>
      </c>
      <c r="B269" s="17" t="inlineStr">
        <is>
          <t>Vents VK 200 centrifugális csatornaventilátor 200 mm, 780 m3/h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GRO0787</t>
        </is>
      </c>
      <c r="B270" s="17" t="inlineStr">
        <is>
          <t>Digitális időkapcsoló 16 programmal, RANDOM és nyári idő funkcióval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GRO0788</t>
        </is>
      </c>
      <c r="B271" s="17" t="inlineStr">
        <is>
          <t>Dimmerkapcsoló ventilátorokhoz és elszívókhoz 0-300 W, konnektorba dugható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az elmúlt 30 napban</t>
        </is>
      </c>
      <c r="G271" s="17" t="inlineStr">
        <is>
          <t>Más főkategória terméke</t>
        </is>
      </c>
    </row>
    <row r="272">
      <c r="A272" s="17" t="inlineStr">
        <is>
          <t>GRO0789</t>
        </is>
      </c>
      <c r="B272" s="17" t="inlineStr">
        <is>
          <t>Digitális hőmérséklet-szabályozó termosztát fűtéshez és hűtéshez 3600 W-ig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az elmúlt 30 napban</t>
        </is>
      </c>
      <c r="G272" s="17" t="inlineStr">
        <is>
          <t>Más főkategória terméke</t>
        </is>
      </c>
    </row>
    <row r="273">
      <c r="A273" s="17" t="inlineStr">
        <is>
          <t>GRO0790</t>
        </is>
      </c>
      <c r="B273" s="17" t="inlineStr">
        <is>
          <t>Digitális páratartalom-szabályozó párásításhoz és párátlanításhoz 30-90%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az elmúlt 30 napban</t>
        </is>
      </c>
      <c r="G273" s="17" t="inlineStr">
        <is>
          <t>Más főkategória terméke</t>
        </is>
      </c>
    </row>
    <row r="274">
      <c r="A274" s="17" t="inlineStr">
        <is>
          <t>GRO0791</t>
        </is>
      </c>
      <c r="B274" s="17" t="inlineStr">
        <is>
          <t>Peltier páramentesítő 250 ml/nap, 500 ml víztartály, kompakt méret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az elmúlt 30 napban</t>
        </is>
      </c>
      <c r="G274" s="17" t="inlineStr">
        <is>
          <t>Más főkategória terméke</t>
        </is>
      </c>
    </row>
    <row r="275">
      <c r="A275" s="17" t="inlineStr">
        <is>
          <t>GRO0795</t>
        </is>
      </c>
      <c r="B275" s="17" t="inlineStr">
        <is>
          <t>Digitális hőmérséklet- és páratartalom-mérő kábel nélkül, minimum és maximum kijelzéssel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az elmúlt 30 napban</t>
        </is>
      </c>
      <c r="G275" s="17" t="inlineStr">
        <is>
          <t>Más főkategória terméke</t>
        </is>
      </c>
    </row>
    <row r="276">
      <c r="A276" s="17" t="inlineStr">
        <is>
          <t>GRO0796</t>
        </is>
      </c>
      <c r="B276" s="17" t="inlineStr">
        <is>
          <t>Digitális hőmérséklet- és páratartalom-mérő kábellel, minimum és maximum kijelzéssel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GRO0797</t>
        </is>
      </c>
      <c r="B277" s="17" t="inlineStr">
        <is>
          <t>Ozonizátor, ózongenerátor szagtalanításhoz 200 mg/h, 7 W, időzítővel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GRO0798</t>
        </is>
      </c>
      <c r="B278" s="17" t="inlineStr">
        <is>
          <t>OsmoTech fordított ozmózisos vízszűrő 190 l/nap, csapra szerelhető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GRO0801</t>
        </is>
      </c>
      <c r="B279" s="17" t="inlineStr">
        <is>
          <t>Neoprén tartókorong színes 50 mm aeropóniás rendszerekhez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30 napban</t>
        </is>
      </c>
      <c r="G279" s="17" t="inlineStr">
        <is>
          <t>Más főkategória terméke</t>
        </is>
      </c>
    </row>
    <row r="280">
      <c r="A280" s="17" t="inlineStr">
        <is>
          <t>GRO0804</t>
        </is>
      </c>
      <c r="B280" s="17" t="inlineStr">
        <is>
          <t>Propagátor 38x24x19 cm dugványok gyökereztetéséhez és magok csíráztatásához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az elmúlt 30 napban</t>
        </is>
      </c>
      <c r="G280" s="17" t="inlineStr">
        <is>
          <t>Más főkategória terméke</t>
        </is>
      </c>
    </row>
    <row r="281">
      <c r="A281" s="17" t="inlineStr">
        <is>
          <t>GRO0807</t>
        </is>
      </c>
      <c r="B281" s="17" t="inlineStr">
        <is>
          <t>Fűthető propagátor 38x24x20 cm beépített fűtéssel, 17–23 °C, klónozáshoz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GRO0810</t>
        </is>
      </c>
      <c r="B282" s="17" t="inlineStr">
        <is>
          <t>Automata öntözőrendszer 10 növényhez, időzítővel és szivattyúval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az elmúlt 30 napban</t>
        </is>
      </c>
      <c r="G282" s="17" t="inlineStr">
        <is>
          <t>Más főkategória terméke</t>
        </is>
      </c>
    </row>
    <row r="283">
      <c r="A283" s="17" t="inlineStr">
        <is>
          <t>GRO0811</t>
        </is>
      </c>
      <c r="B283" s="17" t="inlineStr">
        <is>
          <t>Kézi permetező 1 literes műanyag szórófejes flakon növényekhez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GRO0812</t>
        </is>
      </c>
      <c r="B284" s="17" t="inlineStr">
        <is>
          <t>Pumpás permetező 2 literes, tápoldathoz és növényvédő szerekhez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GRO0813</t>
        </is>
      </c>
      <c r="B285" s="17" t="inlineStr">
        <is>
          <t>Pumpás permetező 5 literes állítható szórófejjel, biztonsági szeleppel, hordpánttal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GRO0814</t>
        </is>
      </c>
      <c r="B286" s="17" t="inlineStr">
        <is>
          <t>Alumínium keret dán tálcához 101x111x47 cm, L szelvényes állvány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GRO0815</t>
        </is>
      </c>
      <c r="B287" s="17" t="inlineStr">
        <is>
          <t>Alumínium keret dán tálcához 101x204x47 cm, L szelvényes állvány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GRO0816</t>
        </is>
      </c>
      <c r="B288" s="17" t="inlineStr">
        <is>
          <t>Cultibox Combi termesztősátor 120 x 120 x 200 cm, moduláris, összekapcsolható grow box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az elmúlt 30 napban</t>
        </is>
      </c>
      <c r="G288" s="17" t="inlineStr">
        <is>
          <t>Más főkategória terméke</t>
        </is>
      </c>
    </row>
    <row r="289">
      <c r="A289" s="17" t="inlineStr">
        <is>
          <t>GRO0817</t>
        </is>
      </c>
      <c r="B289" s="17" t="inlineStr">
        <is>
          <t>Cultibox Combi termesztősátor 80 x 80 x 160 cm, moduláris, összekapcsolható grow box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GRO0822</t>
        </is>
      </c>
      <c r="B290" s="17" t="inlineStr">
        <is>
          <t>Szövet edény 3 liter, Smart Pot klón légáteresztő textilcserép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GRO0823</t>
        </is>
      </c>
      <c r="B291" s="17" t="inlineStr">
        <is>
          <t>Szövet edény 15 liter, Smart Pot klón légáteresztő textilcserép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GRO0824</t>
        </is>
      </c>
      <c r="B292" s="17" t="inlineStr">
        <is>
          <t>Szövet edény 25 liter, Smart Pot klón légáteresztő textilcserép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GRO0825</t>
        </is>
      </c>
      <c r="B293" s="17" t="inlineStr">
        <is>
          <t>Fekete-ezüst fényvisszaverő fólia gyémántmintás, 110 μm, 1,20 m széles, méterre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GRO0828</t>
        </is>
      </c>
      <c r="B294" s="17" t="inlineStr">
        <is>
          <t>CANNA PK 13/14 foszfor-kálium virágzásserkentő 250 ml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GRO0829</t>
        </is>
      </c>
      <c r="B295" s="17" t="inlineStr">
        <is>
          <t>CANNA Terra Vega ásványi növekedési táp földhöz 10 liter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GRO0835</t>
        </is>
      </c>
      <c r="B296" s="17" t="inlineStr">
        <is>
          <t>Adjust-A-Wing kiegészítő E40 foglalat Medium és Large reflektorhoz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GRO0847</t>
        </is>
      </c>
      <c r="B297" s="17" t="inlineStr">
        <is>
          <t>CANNA Rhizotonic tengeri alga alapú gyökérserkentő 500 ml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GRO0848</t>
        </is>
      </c>
      <c r="B298" s="17" t="inlineStr">
        <is>
          <t>Kókusztégla mosott 650 g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GRO0852</t>
        </is>
      </c>
      <c r="B299" s="17" t="inlineStr">
        <is>
          <t>Plagron Alga Bloom algás bio virágzási táp földhöz 500 ml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GRO0853</t>
        </is>
      </c>
      <c r="B300" s="17" t="inlineStr">
        <is>
          <t>Plagron Alga Bloom algás bio virágzási táp földhöz 1 liter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GRO0854</t>
        </is>
      </c>
      <c r="B301" s="17" t="inlineStr">
        <is>
          <t>Plagron Alga Bloom algás bio virágzási táp földhöz 5 liter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GRO0856</t>
        </is>
      </c>
      <c r="B302" s="17" t="inlineStr">
        <is>
          <t>Plagron Alga Grow algás bio növekedési táp földhöz 0,5 liter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GRO0857</t>
        </is>
      </c>
      <c r="B303" s="17" t="inlineStr">
        <is>
          <t>Plagron Alga Grow algás bio növekedési táp földhöz 1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GRO0858</t>
        </is>
      </c>
      <c r="B304" s="17" t="inlineStr">
        <is>
          <t>Plagron Alga Grow algás bio növekedési táp földhöz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GRO0859</t>
        </is>
      </c>
      <c r="B305" s="17" t="inlineStr">
        <is>
          <t>Plagron Green Sensation booster virágzásfokozó 100 ml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GRO0860</t>
        </is>
      </c>
      <c r="B306" s="17" t="inlineStr">
        <is>
          <t>Plagron Green Sensation booster virágzásfokozó 250 ml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GRO0861</t>
        </is>
      </c>
      <c r="B307" s="17" t="inlineStr">
        <is>
          <t>Plagron Green Sensation booster virágzásfokozó 1 liter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GRO0862</t>
        </is>
      </c>
      <c r="B308" s="17" t="inlineStr">
        <is>
          <t>Plagron Green Sensation booster virágzásfokozó 5 liter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GRO0865</t>
        </is>
      </c>
      <c r="B309" s="17" t="inlineStr">
        <is>
          <t>Plagron Vita Race vasas levélpermet 1 liter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30 napban</t>
        </is>
      </c>
      <c r="G309" s="17" t="inlineStr">
        <is>
          <t>Más főkategória terméke</t>
        </is>
      </c>
    </row>
    <row r="310">
      <c r="A310" s="17" t="inlineStr">
        <is>
          <t>GRO0866</t>
        </is>
      </c>
      <c r="B310" s="17" t="inlineStr">
        <is>
          <t>Plagron Power Roots gyökérerősítő adalék 1 liter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GRO0867</t>
        </is>
      </c>
      <c r="B311" s="17" t="inlineStr">
        <is>
          <t>Plagron Terra Grow ásványi növekedési táp földhöz 100 ml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GRO0868</t>
        </is>
      </c>
      <c r="B312" s="17" t="inlineStr">
        <is>
          <t>Plagron Pure Zym enzimes talajjavító 250 ml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GRO0870</t>
        </is>
      </c>
      <c r="B313" s="17" t="inlineStr">
        <is>
          <t>Plagron Pure Zym enzimes talajjavító 5 liter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GRO0871</t>
        </is>
      </c>
      <c r="B314" s="17" t="inlineStr">
        <is>
          <t>Plagron Terra Bloom ásványi virágzási táp földhöz 10 liter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GRO0872</t>
        </is>
      </c>
      <c r="B315" s="17" t="inlineStr">
        <is>
          <t>Plagron Terra Grow ásványi növekedési táp földhöz 10 liter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GRO0874</t>
        </is>
      </c>
      <c r="B316" s="17" t="inlineStr">
        <is>
          <t>Plagron Cocos A/B kétkomponensű ásványi alaptáp kókuszhoz 1 liter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GRO0879</t>
        </is>
      </c>
      <c r="B317" s="17" t="inlineStr">
        <is>
          <t>Plagron Sugar Royal aminosavas booster az ízért és illatért 100 ml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GRO0880</t>
        </is>
      </c>
      <c r="B318" s="17" t="inlineStr">
        <is>
          <t>Plagron Sugar Royal aminosavas booster az ízért és illatért 250 ml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GRO0881</t>
        </is>
      </c>
      <c r="B319" s="17" t="inlineStr">
        <is>
          <t>Plagron Sugar Royal aminosavas booster az ízért és illatért 1 liter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GRO0882</t>
        </is>
      </c>
      <c r="B320" s="17" t="inlineStr">
        <is>
          <t>Plagron Sugar Royal aminosavas booster az ízért és illatért 0,5 liter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GRO0888</t>
        </is>
      </c>
      <c r="B321" s="17" t="inlineStr">
        <is>
          <t>CANNA Terra Flores ásványi virágzási táp földhöz 10 liter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az elmúlt 30 napban</t>
        </is>
      </c>
      <c r="G321" s="17" t="inlineStr">
        <is>
          <t>Más főkategória terméke</t>
        </is>
      </c>
    </row>
    <row r="322">
      <c r="A322" s="17" t="inlineStr">
        <is>
          <t>GRO0892</t>
        </is>
      </c>
      <c r="B322" s="17" t="inlineStr">
        <is>
          <t>Plagron Lightmix föld, könnyű, gyengén előtrágyázott tőzeges közeg 50 liter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az elmúlt 30 napban</t>
        </is>
      </c>
      <c r="G322" s="17" t="inlineStr">
        <is>
          <t>Más főkategória terméke</t>
        </is>
      </c>
    </row>
    <row r="323">
      <c r="A323" s="17" t="inlineStr">
        <is>
          <t>GRO0922</t>
        </is>
      </c>
      <c r="B323" s="17" t="inlineStr">
        <is>
          <t>Advanced Hydroponics Dutch Formula BLOOM ásványi virágzási alaptáp 10 liter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az elmúlt 30 napban</t>
        </is>
      </c>
      <c r="G323" s="17" t="inlineStr">
        <is>
          <t>Más főkategória terméke</t>
        </is>
      </c>
    </row>
    <row r="324">
      <c r="A324" s="17" t="inlineStr">
        <is>
          <t>GRO0923</t>
        </is>
      </c>
      <c r="B324" s="17" t="inlineStr">
        <is>
          <t>Advanced Hydroponics Dutch Formula BLOOM 25 liter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GRO0925</t>
        </is>
      </c>
      <c r="B325" s="17" t="inlineStr">
        <is>
          <t>Advanced Hydroponics Enzymes+ 5 liter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GRO0927</t>
        </is>
      </c>
      <c r="B326" s="17" t="inlineStr">
        <is>
          <t>Advanced Hydroponics Natural Power Final Solution öblítő szer 5 liter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GRO0928</t>
        </is>
      </c>
      <c r="B327" s="17" t="inlineStr">
        <is>
          <t>Advanced Hydroponics Dutch Formula GROW ásványi növekedési alaptáp 10 liter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GRO0929</t>
        </is>
      </c>
      <c r="B328" s="17" t="inlineStr">
        <is>
          <t>Advanced Hydroponics Dutch Formula GROW ásványi növekedési alaptáp 25 liter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GRO0933</t>
        </is>
      </c>
      <c r="B329" s="17" t="inlineStr">
        <is>
          <t>Advanced Hydroponics Dutch Formula MICRO mikroelemes alaptáp 10 liter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GRO0934</t>
        </is>
      </c>
      <c r="B330" s="17" t="inlineStr">
        <is>
          <t>Advanced Hydroponics Dutch Formula MICRO 25 liter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GRO0941</t>
        </is>
      </c>
      <c r="B331" s="17" t="inlineStr">
        <is>
          <t>Advanced Hydroponics Natural Power Root Stimulator gyökérserkentő 5 liter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az elmúlt 30 napban</t>
        </is>
      </c>
      <c r="G331" s="17" t="inlineStr">
        <is>
          <t>Más főkategória terméke</t>
        </is>
      </c>
    </row>
    <row r="332">
      <c r="A332" s="17" t="inlineStr">
        <is>
          <t>GRO0963</t>
        </is>
      </c>
      <c r="B332" s="17" t="inlineStr">
        <is>
          <t>Cultibox Combi termesztősátor 100 x 100 x 200 cm, moduláris, összekapcsolható grow box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GRO0968</t>
        </is>
      </c>
      <c r="B333" s="17" t="inlineStr">
        <is>
          <t>CANNA PK 13/14 foszfor-kálium virágzásserkentő 500 ml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az elmúlt 30 napban</t>
        </is>
      </c>
      <c r="G333" s="17" t="inlineStr">
        <is>
          <t>Más főkategória terméke</t>
        </is>
      </c>
    </row>
    <row r="334">
      <c r="A334" s="17" t="inlineStr">
        <is>
          <t>GRO0969</t>
        </is>
      </c>
      <c r="B334" s="17" t="inlineStr">
        <is>
          <t>CANNA Rhizotonic tengeri alga alapú gyökérserkentő 1 liter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az elmúlt 30 napban</t>
        </is>
      </c>
      <c r="G334" s="17" t="inlineStr">
        <is>
          <t>Más főkategória terméke</t>
        </is>
      </c>
    </row>
    <row r="335">
      <c r="A335" s="17" t="inlineStr">
        <is>
          <t>GRO0971</t>
        </is>
      </c>
      <c r="B335" s="17" t="inlineStr">
        <is>
          <t>CANNABOOST Accelerator virágzásserkentő adalék 10 liter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GRO1008</t>
        </is>
      </c>
      <c r="B336" s="17" t="inlineStr">
        <is>
          <t>Growth Technology SMC Spidermite Control atka elleni koncentrátum 100 ml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az elmúlt 30 napban</t>
        </is>
      </c>
      <c r="G336" s="17" t="inlineStr">
        <is>
          <t>Más főkategória terméke</t>
        </is>
      </c>
    </row>
    <row r="337">
      <c r="A337" s="17" t="inlineStr">
        <is>
          <t>GRO1012</t>
        </is>
      </c>
      <c r="B337" s="17" t="inlineStr">
        <is>
          <t>Advanced Hydroponics pH- Bloom pH-csökkentő a virágzási szakaszra 5 liter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GRO1013</t>
        </is>
      </c>
      <c r="B338" s="17" t="inlineStr">
        <is>
          <t>Pipetta 3 ml átlátszó műanyag, külső skálával, tápok adagolásához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GRO1015</t>
        </is>
      </c>
      <c r="B339" s="17" t="inlineStr">
        <is>
          <t>ADWA ECO209 digitális pH monitor folyamatos méréshez, 0–14 pH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az elmúlt 30 napban</t>
        </is>
      </c>
      <c r="G339" s="17" t="inlineStr">
        <is>
          <t>Más főkategória terméke</t>
        </is>
      </c>
    </row>
    <row r="340">
      <c r="A340" s="17" t="inlineStr">
        <is>
          <t>GRO1016</t>
        </is>
      </c>
      <c r="B340" s="17" t="inlineStr">
        <is>
          <t>ADWA AD12 digitális pH és hőmérséklet mérő cserélhető szondával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GRO1021</t>
        </is>
      </c>
      <c r="B341" s="17" t="inlineStr">
        <is>
          <t>Plagron Growmix föld gilisztahumusszal, 3 hétre előtrágyázva 50 liter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30 napban</t>
        </is>
      </c>
      <c r="G341" s="17" t="inlineStr">
        <is>
          <t>Más főkategória terméke</t>
        </is>
      </c>
    </row>
    <row r="342">
      <c r="A342" s="17" t="inlineStr">
        <is>
          <t>GRO1022</t>
        </is>
      </c>
      <c r="B342" s="17" t="inlineStr">
        <is>
          <t>Plagron Batmix föld denevérguanóval, bio minősítésű 50 liter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GRO1023</t>
        </is>
      </c>
      <c r="B343" s="17" t="inlineStr">
        <is>
          <t>Hajlékony elektromos kábel 3 x 0,75 mm², fehér, 300/500 V, méterre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GRO1026</t>
        </is>
      </c>
      <c r="B344" s="17" t="inlineStr">
        <is>
          <t>ADWA ECO406 digitális EC monitor folyamatos méréshez, 0–9,99 mS/cm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GRO1044</t>
        </is>
      </c>
      <c r="B345" s="17" t="inlineStr">
        <is>
          <t>Can Filters Can-Lite 1500 aktív szénszűrő acél házzal, 1500 m3/h, 250 mm szűrővég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GRO1049</t>
        </is>
      </c>
      <c r="B346" s="17" t="inlineStr">
        <is>
          <t>Szögletes műanyag virágcserép alátét 16 x 16 cm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GRO1055</t>
        </is>
      </c>
      <c r="B347" s="17" t="inlineStr">
        <is>
          <t>CANNA PK 13/14 foszfor-kálium virágzásserkentő 10 liter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GRO1056</t>
        </is>
      </c>
      <c r="B348" s="17" t="inlineStr">
        <is>
          <t>Bővítő cső 250–315 mm légcsatornához, szellőzőrendszerekhez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GRO1060</t>
        </is>
      </c>
      <c r="B349" s="17" t="inlineStr">
        <is>
          <t>Bővítő cső 200–250 mm légcsatornához, szellőzőrendszerekhez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GRO1062</t>
        </is>
      </c>
      <c r="B350" s="17" t="inlineStr">
        <is>
          <t>Bővítő cső 150–160 mm légcsatornához, szellőzőrendszerekhez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30 napban</t>
        </is>
      </c>
      <c r="G350" s="17" t="inlineStr">
        <is>
          <t>Más főkategória terméke</t>
        </is>
      </c>
    </row>
    <row r="351">
      <c r="A351" s="17" t="inlineStr">
        <is>
          <t>GRO1063</t>
        </is>
      </c>
      <c r="B351" s="17" t="inlineStr">
        <is>
          <t>House &amp; Garden Shooting Powder PK virágzásfokozó por 65 g tasak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GRO1075</t>
        </is>
      </c>
      <c r="B352" s="17" t="inlineStr">
        <is>
          <t>Can Filters Can-Lite 2500 aktív szénszűrő acél házzal, 2500 m3/h, 250 mm szűrővég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GRO1077</t>
        </is>
      </c>
      <c r="B353" s="17" t="inlineStr">
        <is>
          <t>Can Filters Can-Lite 1000 aktív szénszűrő acél házzal, 1000 m3/h, 250 mm szűrővég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GRO1078</t>
        </is>
      </c>
      <c r="B354" s="17" t="inlineStr">
        <is>
          <t>Can Filters Can-Lite 600 aktív szénszűrő acél házzal, 600 m3/h, 150 mm szűrővég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GRO1079</t>
        </is>
      </c>
      <c r="B355" s="17" t="inlineStr">
        <is>
          <t>Can Filters Can-Lite 300 aktív szénszűrő műanyag házzal, 300 m3/h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GRO1080</t>
        </is>
      </c>
      <c r="B356" s="17" t="inlineStr">
        <is>
          <t>Can Filters Can-Lite 150 aktív szénszűrő műanyag házzal, 150 m3/h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az elmúlt 30 napban</t>
        </is>
      </c>
      <c r="G356" s="17" t="inlineStr">
        <is>
          <t>Más főkategória terméke</t>
        </is>
      </c>
    </row>
    <row r="357">
      <c r="A357" s="17" t="inlineStr">
        <is>
          <t>GRO1081</t>
        </is>
      </c>
      <c r="B357" s="17" t="inlineStr">
        <is>
          <t>Can Filters Can-Lite 425 aktív szénszűrő műanyag házzal, 425 m3/h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az elmúlt 30 napban</t>
        </is>
      </c>
      <c r="G357" s="17" t="inlineStr">
        <is>
          <t>Más főkategória terméke</t>
        </is>
      </c>
    </row>
    <row r="358">
      <c r="A358" s="17" t="inlineStr">
        <is>
          <t>GRO1084</t>
        </is>
      </c>
      <c r="B358" s="17" t="inlineStr">
        <is>
          <t>Levegőztető cső 6x4 mm átlátszó, akváriumhoz és hidropóniához, méterre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az elmúlt 30 napban</t>
        </is>
      </c>
      <c r="G358" s="17" t="inlineStr">
        <is>
          <t>Más főkategória terméke</t>
        </is>
      </c>
    </row>
    <row r="359">
      <c r="A359" s="17" t="inlineStr">
        <is>
          <t>GRO1089</t>
        </is>
      </c>
      <c r="B359" s="17" t="inlineStr">
        <is>
          <t>CANNA Aqua Flores A/B virágzási táp recirkulációs rendszerhez 5 liter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az elmúlt 30 napban</t>
        </is>
      </c>
      <c r="G359" s="17" t="inlineStr">
        <is>
          <t>Más főkategória terméke</t>
        </is>
      </c>
    </row>
    <row r="360">
      <c r="A360" s="17" t="inlineStr">
        <is>
          <t>GRO1090</t>
        </is>
      </c>
      <c r="B360" s="17" t="inlineStr">
        <is>
          <t>Atami Bloombastic PK 14-15 virágzásserkentő, 1,25 liter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az elmúlt 30 napban</t>
        </is>
      </c>
      <c r="G360" s="17" t="inlineStr">
        <is>
          <t>Más főkategória terméke</t>
        </is>
      </c>
    </row>
    <row r="361">
      <c r="A361" s="17" t="inlineStr">
        <is>
          <t>GRO1105</t>
        </is>
      </c>
      <c r="B361" s="17" t="inlineStr">
        <is>
          <t>Mechanikus időkapcsoló stiftes órakoronggal, 230 V, max. 3680 W, 16 A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GRO1106</t>
        </is>
      </c>
      <c r="B362" s="17" t="inlineStr">
        <is>
          <t>Neptune Hydroponics DWC mélyvizes termesztőedény 25 literes tartállyal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GRO1108</t>
        </is>
      </c>
      <c r="B363" s="17" t="inlineStr">
        <is>
          <t>Vents VK 150 centrifugális csatornaventilátor 150 mm, 460 m3/h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GRO1110</t>
        </is>
      </c>
      <c r="B364" s="17" t="inlineStr">
        <is>
          <t>Szövet edény 7 liter, Smart Pot klón légáteresztő textilcserép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30 napban</t>
        </is>
      </c>
      <c r="G364" s="17" t="inlineStr">
        <is>
          <t>Más főkategória terméke</t>
        </is>
      </c>
    </row>
    <row r="365">
      <c r="A365" s="17" t="inlineStr">
        <is>
          <t>GRO1111</t>
        </is>
      </c>
      <c r="B365" s="17" t="inlineStr">
        <is>
          <t>Szövet edény 10 liter, Smart Pot klón légáteresztő textilcserép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az elmúlt 30 napban</t>
        </is>
      </c>
      <c r="G365" s="17" t="inlineStr">
        <is>
          <t>Más főkategória terméke</t>
        </is>
      </c>
    </row>
    <row r="366">
      <c r="A366" s="17" t="inlineStr">
        <is>
          <t>GRO1141</t>
        </is>
      </c>
      <c r="B366" s="17" t="inlineStr">
        <is>
          <t>Szögletes műanyag cserép 2,5 liter, 13 x 13 x 18 cm, gyökércsavarodás gátló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az elmúlt 30 napban</t>
        </is>
      </c>
      <c r="G366" s="17" t="inlineStr">
        <is>
          <t>Más főkategória terméke</t>
        </is>
      </c>
    </row>
    <row r="367">
      <c r="A367" s="17" t="inlineStr">
        <is>
          <t>GRO1143</t>
        </is>
      </c>
      <c r="B367" s="17" t="inlineStr">
        <is>
          <t>Görög mintás négyzetes műanyag virágcserép 14 liter, 28,5 x 28,5 cm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az elmúlt 30 napban</t>
        </is>
      </c>
      <c r="G367" s="17" t="inlineStr">
        <is>
          <t>Más főkategória terméke</t>
        </is>
      </c>
    </row>
    <row r="368">
      <c r="A368" s="17" t="inlineStr">
        <is>
          <t>GRO1145</t>
        </is>
      </c>
      <c r="B368" s="17" t="inlineStr">
        <is>
          <t>Milwaukee EC kalibráló folyadék 12880 μS/cm, 20 ml, EC és TDS mérőkhöz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30 napban</t>
        </is>
      </c>
      <c r="G368" s="17" t="inlineStr">
        <is>
          <t>Más főkategória terméke</t>
        </is>
      </c>
    </row>
    <row r="369">
      <c r="A369" s="17" t="inlineStr">
        <is>
          <t>GRO1148</t>
        </is>
      </c>
      <c r="B369" s="17" t="inlineStr">
        <is>
          <t>BioNova The Missing Link (TML) bio stimulátor fulvosavval 1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GRO1160</t>
        </is>
      </c>
      <c r="B370" s="17" t="inlineStr">
        <is>
          <t>Szögletes műanyag cserép 1,4 liter, 10 x 10 x 17 cm, gyökércsavarodás gátló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GRO1161</t>
        </is>
      </c>
      <c r="B371" s="17" t="inlineStr">
        <is>
          <t>Szögletes műanyag cserép 1,8 liter, 10,5 x 8,5 x 22 cm, gyökércsavarodás gátló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30 napban</t>
        </is>
      </c>
      <c r="G371" s="17" t="inlineStr">
        <is>
          <t>Más főkategória terméke</t>
        </is>
      </c>
    </row>
    <row r="372">
      <c r="A372" s="17" t="inlineStr">
        <is>
          <t>GRO1173</t>
        </is>
      </c>
      <c r="B372" s="17" t="inlineStr">
        <is>
          <t>Plagron Allmix szerves föld gilisztahumusszal, bio minősítésű 50 liter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GRO1175</t>
        </is>
      </c>
      <c r="B373" s="17" t="inlineStr">
        <is>
          <t>Philips SON-T PIA GreenPower 600 W HPS nátriumlámpa izzó, E40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GRO1184</t>
        </is>
      </c>
      <c r="B374" s="17" t="inlineStr">
        <is>
          <t>Szögletes műanyag virágcserép alátét 13,5 x 13,5 cm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az elmúlt 30 napban</t>
        </is>
      </c>
      <c r="G374" s="17" t="inlineStr">
        <is>
          <t>Más főkategória terméke</t>
        </is>
      </c>
    </row>
    <row r="375">
      <c r="A375" s="17" t="inlineStr">
        <is>
          <t>GRO1185</t>
        </is>
      </c>
      <c r="B375" s="17" t="inlineStr">
        <is>
          <t>Szögletes műanyag virágcserép alátét 14 x 14 cm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az elmúlt 30 napban</t>
        </is>
      </c>
      <c r="G375" s="17" t="inlineStr">
        <is>
          <t>Más főkategória terméke</t>
        </is>
      </c>
    </row>
    <row r="376">
      <c r="A376" s="17" t="inlineStr">
        <is>
          <t>GRO1189</t>
        </is>
      </c>
      <c r="B376" s="17" t="inlineStr">
        <is>
          <t>Görög mintás négyzetes műanyag virágcserép 11 liter, 25 x 25 cm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GRO1190</t>
        </is>
      </c>
      <c r="B377" s="17" t="inlineStr">
        <is>
          <t>Szögletes műanyag virágcserép alátét 24 x 24 cm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30 napban</t>
        </is>
      </c>
      <c r="G377" s="17" t="inlineStr">
        <is>
          <t>Más főkategória terméke</t>
        </is>
      </c>
    </row>
    <row r="378">
      <c r="A378" s="17" t="inlineStr">
        <is>
          <t>GRO1192</t>
        </is>
      </c>
      <c r="B378" s="17" t="inlineStr">
        <is>
          <t>Cool Tube 125 x 400 hűtött lámpabúra keményüveg csővel és E40 kerámiafoglalattal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GRO1194</t>
        </is>
      </c>
      <c r="B379" s="17" t="inlineStr">
        <is>
          <t>Háromeres elektromos kábel 2,5 mm nagy teljesítményű trafókhoz és lámpákhoz, méterre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GRO1201</t>
        </is>
      </c>
      <c r="B380" s="17" t="inlineStr">
        <is>
          <t>GSE időzítő kapcsolódoboz 12 x 600 W-os lámpákhoz, beépített 24 órás időzítővel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GRO1205</t>
        </is>
      </c>
      <c r="B381" s="17" t="inlineStr">
        <is>
          <t>Advanced Nutrients CarboLoad Liquid szénhidrát adalék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GRO1210</t>
        </is>
      </c>
      <c r="B382" s="17" t="inlineStr">
        <is>
          <t>Advanced Nutrients Big Bud Liquid virágzásfokozó PK 0-1-3, 1 liter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GRO1219</t>
        </is>
      </c>
      <c r="B383" s="17" t="inlineStr">
        <is>
          <t>Nutriculture Amazon Twin 32 aeropóniás termesztő rendszer 32 növényhez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30 napban</t>
        </is>
      </c>
      <c r="G383" s="17" t="inlineStr">
        <is>
          <t>Más főkategória terméke</t>
        </is>
      </c>
    </row>
    <row r="384">
      <c r="A384" s="17" t="inlineStr">
        <is>
          <t>GRO1222</t>
        </is>
      </c>
      <c r="B384" s="17" t="inlineStr">
        <is>
          <t>Nutriculture X-Stream Clone Master PT300 aeropóniás propagátor 40 dugványhoz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az elmúlt 30 napban</t>
        </is>
      </c>
      <c r="G384" s="17" t="inlineStr">
        <is>
          <t>Más főkategória terméke</t>
        </is>
      </c>
    </row>
    <row r="385">
      <c r="A385" s="17" t="inlineStr">
        <is>
          <t>GRO1237</t>
        </is>
      </c>
      <c r="B385" s="17" t="inlineStr">
        <is>
          <t>Digitális ventilátorszabályzó páratartalom, hőmérséklet és negatív nyomás szerint, 230 V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GRO1239</t>
        </is>
      </c>
      <c r="B386" s="17" t="inlineStr">
        <is>
          <t>Digitális hőmérséklet és minimum sebesség szabályzó ventilátorokhoz, 230 V, 600 W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30 napban</t>
        </is>
      </c>
      <c r="G386" s="17" t="inlineStr">
        <is>
          <t>Más főkategória terméke</t>
        </is>
      </c>
    </row>
    <row r="387">
      <c r="A387" s="17" t="inlineStr">
        <is>
          <t>GRO1241</t>
        </is>
      </c>
      <c r="B387" s="17" t="inlineStr">
        <is>
          <t>Elektromos kábel IEC C14 lengődugóval, háromeres, 1,5 mm, 2,5 m, 10 A, 250 V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GRO1249</t>
        </is>
      </c>
      <c r="B388" s="17" t="inlineStr">
        <is>
          <t>Inline üledékszűrő előszűrő patron víztisztítóhoz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GRO1250</t>
        </is>
      </c>
      <c r="B389" s="17" t="inlineStr">
        <is>
          <t>T33 aktív szénszűrő patron víztisztítóhoz, kókuszhéj szénnel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30 napban</t>
        </is>
      </c>
      <c r="G389" s="17" t="inlineStr">
        <is>
          <t>Más főkategória terméke</t>
        </is>
      </c>
    </row>
    <row r="390">
      <c r="A390" s="17" t="inlineStr">
        <is>
          <t>GRO1259</t>
        </is>
      </c>
      <c r="B390" s="17" t="inlineStr">
        <is>
          <t>Szögletes műanyag cserép 1,5 liter, 12 x 12 x 13 cm, gyökércsavarodás gátló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GRO1261</t>
        </is>
      </c>
      <c r="B391" s="17" t="inlineStr">
        <is>
          <t>Szögletes műanyag cserép 15 x 15 x 20 cm, gyökércsavarodás gátló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GRO1262</t>
        </is>
      </c>
      <c r="B392" s="17" t="inlineStr">
        <is>
          <t>Szögletes műanyag virágcserép alátét 25 x 25 cm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GRO1265</t>
        </is>
      </c>
      <c r="B393" s="17" t="inlineStr">
        <is>
          <t>BioBizz Alg-A-Mic tengeri alga vitalitásserkentő 5 liter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az elmúlt 30 napban</t>
        </is>
      </c>
      <c r="G393" s="17" t="inlineStr">
        <is>
          <t>Más főkategória terméke</t>
        </is>
      </c>
    </row>
    <row r="394">
      <c r="A394" s="17" t="inlineStr">
        <is>
          <t>GRO1267</t>
        </is>
      </c>
      <c r="B394" s="17" t="inlineStr">
        <is>
          <t>Can-Fan RK 160L centrifugális csőventilátor 160 mm, 780 m3/h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30 napban</t>
        </is>
      </c>
      <c r="G394" s="17" t="inlineStr">
        <is>
          <t>Más főkategória terméke</t>
        </is>
      </c>
    </row>
    <row r="395">
      <c r="A395" s="17" t="inlineStr">
        <is>
          <t>GRO1268</t>
        </is>
      </c>
      <c r="B395" s="17" t="inlineStr">
        <is>
          <t>Can-Fan RK 200 centrifugális csőventilátor 200 mm, 820 m3/h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30 napban</t>
        </is>
      </c>
      <c r="G395" s="17" t="inlineStr">
        <is>
          <t>Más főkategória terméke</t>
        </is>
      </c>
    </row>
    <row r="396">
      <c r="A396" s="17" t="inlineStr">
        <is>
          <t>GRO1279</t>
        </is>
      </c>
      <c r="B396" s="17" t="inlineStr">
        <is>
          <t>Sylvania SHP-TS Super nátriumlámpa izzó 150 W, E40, virágzáshoz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GRO1291</t>
        </is>
      </c>
      <c r="B397" s="17" t="inlineStr">
        <is>
          <t>Hidrokosár 5,5 cm rácsos hidro cserép hidropóniás rendszerekhez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GRO1324</t>
        </is>
      </c>
      <c r="B398" s="17" t="inlineStr">
        <is>
          <t>CANNABOOST Accelerator virágzásserkentő adalék 1 liter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GRO1325</t>
        </is>
      </c>
      <c r="B399" s="17" t="inlineStr">
        <is>
          <t>Grodan AO kőzetgyapot magvető kocka 36x36x40 mm, 98 darabos lap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GRO1326</t>
        </is>
      </c>
      <c r="B400" s="17" t="inlineStr">
        <is>
          <t>Grodan AO kőzetgyapot magvető kocka 25x25x40 mm, 200 darabos lap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GRO1327</t>
        </is>
      </c>
      <c r="B401" s="17" t="inlineStr">
        <is>
          <t>Grodan Delta 4G kőzetgyapot nevelőkocka 75x75x65 mm, kis lyukú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30 napban</t>
        </is>
      </c>
      <c r="G401" s="17" t="inlineStr">
        <is>
          <t>Más főkategória terméke</t>
        </is>
      </c>
    </row>
    <row r="402">
      <c r="A402" s="17" t="inlineStr">
        <is>
          <t>GRO1328</t>
        </is>
      </c>
      <c r="B402" s="17" t="inlineStr">
        <is>
          <t>Merülő keringető szivattyú Neptune Hydroponics 600 l/h, 10 W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az elmúlt 30 napban</t>
        </is>
      </c>
      <c r="G402" s="17" t="inlineStr">
        <is>
          <t>Más főkategória terméke</t>
        </is>
      </c>
    </row>
    <row r="403">
      <c r="A403" s="17" t="inlineStr">
        <is>
          <t>GRO1331</t>
        </is>
      </c>
      <c r="B403" s="17" t="inlineStr">
        <is>
          <t>Merülő keringető szivattyú Neptune Hydroponics 2000 l/h, 55 W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GRO1332</t>
        </is>
      </c>
      <c r="B404" s="17" t="inlineStr">
        <is>
          <t>Merülő keringető szivattyú Neptune Hydroponics 3000 l/h, 85 W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30 napban</t>
        </is>
      </c>
      <c r="G404" s="17" t="inlineStr">
        <is>
          <t>Más főkategória terméke</t>
        </is>
      </c>
    </row>
    <row r="405">
      <c r="A405" s="17" t="inlineStr">
        <is>
          <t>GRO1333</t>
        </is>
      </c>
      <c r="B405" s="17" t="inlineStr">
        <is>
          <t>BioNova Zym 5 liter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GRO1342</t>
        </is>
      </c>
      <c r="B406" s="17" t="inlineStr">
        <is>
          <t>Plagron Seedbooster Plus csíráztató tápoldat magvetéshez, NPK 5-4-7, 10 ml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GRO1343</t>
        </is>
      </c>
      <c r="B407" s="17" t="inlineStr">
        <is>
          <t>Grodan Delta 6,5G kőzetgyapot nevelőkocka 100x100x65 mm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GRO1348</t>
        </is>
      </c>
      <c r="B408" s="17" t="inlineStr">
        <is>
          <t>Grodan SBS kőzetgyapot kocka tálcában 36x36x40 mm, 77 darab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GRO1353</t>
        </is>
      </c>
      <c r="B409" s="17" t="inlineStr">
        <is>
          <t>Mérőedény 1000 ml műanyag, milliliter beosztással, folyadékok kiméréséhez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GRO1359</t>
        </is>
      </c>
      <c r="B410" s="17" t="inlineStr">
        <is>
          <t>Advanced Nutrients CarboLoad Liquid szénhidrát adalék 500 ml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az elmúlt 30 napban</t>
        </is>
      </c>
      <c r="G410" s="17" t="inlineStr">
        <is>
          <t>Más főkategória terméke</t>
        </is>
      </c>
    </row>
    <row r="411">
      <c r="A411" s="17" t="inlineStr">
        <is>
          <t>GRO1362</t>
        </is>
      </c>
      <c r="B411" s="17" t="inlineStr">
        <is>
          <t>CANNABOOST Accelerator virágzásserkentő adalék 5 liter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GRO1387</t>
        </is>
      </c>
      <c r="B412" s="17" t="inlineStr">
        <is>
          <t>BioBizz Bio-Bloom szerves virágzási táp 10 liter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30 napban</t>
        </is>
      </c>
      <c r="G412" s="17" t="inlineStr">
        <is>
          <t>Más főkategória terméke</t>
        </is>
      </c>
    </row>
    <row r="413">
      <c r="A413" s="17" t="inlineStr">
        <is>
          <t>GRO1399</t>
        </is>
      </c>
      <c r="B413" s="17" t="inlineStr">
        <is>
          <t>Plagron Promix föld gilisztahumusszal, előtrágyázás nélkül 50 liter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GRO1400</t>
        </is>
      </c>
      <c r="B414" s="17" t="inlineStr">
        <is>
          <t>Plagron Lightmix föld, könnyű, gyengén előtrágyázott tőzeges közeg 25 liter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GRO1401</t>
        </is>
      </c>
      <c r="B415" s="17" t="inlineStr">
        <is>
          <t>Plagron Growmix föld gilisztahumusszal, 3 hétre előtrágyázva 25 liter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GRO1402</t>
        </is>
      </c>
      <c r="B416" s="17" t="inlineStr">
        <is>
          <t>Plagron Batmix föld denevérguanóval, bio minősítésű 25 liter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GRO1403</t>
        </is>
      </c>
      <c r="B417" s="17" t="inlineStr">
        <is>
          <t>Plagron Royal Mix szerves föld perlittel, 6 hétre előtrágyázva 50 liter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GRO1404</t>
        </is>
      </c>
      <c r="B418" s="17" t="inlineStr">
        <is>
          <t>Plagron Royal Mix szerves föld perlittel, 6 hétre előtrágyázva 25 liter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az elmúlt 30 napban</t>
        </is>
      </c>
      <c r="G418" s="17" t="inlineStr">
        <is>
          <t>Más főkategória terméke</t>
        </is>
      </c>
    </row>
    <row r="419">
      <c r="A419" s="17" t="inlineStr">
        <is>
          <t>GRO1405</t>
        </is>
      </c>
      <c r="B419" s="17" t="inlineStr">
        <is>
          <t>Plagron Cocos Premium pufferolt kókuszközeg, RHP minősítésű 50 liter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GRO1406</t>
        </is>
      </c>
      <c r="B420" s="17" t="inlineStr">
        <is>
          <t>Plagron Euro Pebbles agyaggolyó hidrokultúrához, 8–16 mm, 45 liter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30 napban</t>
        </is>
      </c>
      <c r="G420" s="17" t="inlineStr">
        <is>
          <t>Más főkategória terméke</t>
        </is>
      </c>
    </row>
    <row r="421">
      <c r="A421" s="17" t="inlineStr">
        <is>
          <t>GRO1417</t>
        </is>
      </c>
      <c r="B421" s="17" t="inlineStr">
        <is>
          <t>Dán tálca apály-dagály alátét 106 x 63 cm árasztásos rendszerhez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GRO1422</t>
        </is>
      </c>
      <c r="B422" s="17" t="inlineStr">
        <is>
          <t>Advanced Nutrients CarboLoad Liquid szénhidrát adalék 5 liter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30 napban</t>
        </is>
      </c>
      <c r="G422" s="17" t="inlineStr">
        <is>
          <t>Más főkategória terméke</t>
        </is>
      </c>
    </row>
    <row r="423">
      <c r="A423" s="17" t="inlineStr">
        <is>
          <t>GRO1426</t>
        </is>
      </c>
      <c r="B423" s="17" t="inlineStr">
        <is>
          <t>Milwaukee PH600 digitális pH teszter 0–14 pH, 0,1 pH felbontással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az elmúlt 30 napban</t>
        </is>
      </c>
      <c r="G423" s="17" t="inlineStr">
        <is>
          <t>Más főkategória terméke</t>
        </is>
      </c>
    </row>
    <row r="424">
      <c r="A424" s="17" t="inlineStr">
        <is>
          <t>GRO1427</t>
        </is>
      </c>
      <c r="B424" s="17" t="inlineStr">
        <is>
          <t>Milwaukee CD611 EC teszter 0–20 000 μS/cm, automatikus hőkompenzációval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az elmúlt 30 napban</t>
        </is>
      </c>
      <c r="G424" s="17" t="inlineStr">
        <is>
          <t>Más főkategória terméke</t>
        </is>
      </c>
    </row>
    <row r="425">
      <c r="A425" s="17" t="inlineStr">
        <is>
          <t>GRO1428</t>
        </is>
      </c>
      <c r="B425" s="17" t="inlineStr">
        <is>
          <t>Milwaukee Martini pH55 vízálló pH és hőmérséklet teszter cserélhető szondával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az elmúlt 30 napban</t>
        </is>
      </c>
      <c r="G425" s="17" t="inlineStr">
        <is>
          <t>Más főkategória terméke</t>
        </is>
      </c>
    </row>
    <row r="426">
      <c r="A426" s="17" t="inlineStr">
        <is>
          <t>GRO1429</t>
        </is>
      </c>
      <c r="B426" s="17" t="inlineStr">
        <is>
          <t>Milwaukee EC60 vízálló EC, TDS és hőmérséklet teszter cserélhető szondával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GRO1436</t>
        </is>
      </c>
      <c r="B427" s="17" t="inlineStr">
        <is>
          <t>Can Filters Silencer CFS02 ventilátor hangtompító 125 mm, 45 cm, ásványgyapot szigeteléssel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GRO1439</t>
        </is>
      </c>
      <c r="B428" s="17" t="inlineStr">
        <is>
          <t>Superpro AC-1 analóg klímaszabályzó hőmérséklet, páratartalom és CO2 vezérléséhez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az elmúlt 30 napban</t>
        </is>
      </c>
      <c r="G428" s="17" t="inlineStr">
        <is>
          <t>Más főkategória terméke</t>
        </is>
      </c>
    </row>
    <row r="429">
      <c r="A429" s="17" t="inlineStr">
        <is>
          <t>GRO1449</t>
        </is>
      </c>
      <c r="B429" s="17" t="inlineStr">
        <is>
          <t>Advanced Nutrients pH Perfect Sensi Grow A+B kétkomponensű növekedési alaptáp 1 liter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az elmúlt 30 napban</t>
        </is>
      </c>
      <c r="G429" s="17" t="inlineStr">
        <is>
          <t>Más főkategória terméke</t>
        </is>
      </c>
    </row>
    <row r="430">
      <c r="A430" s="17" t="inlineStr">
        <is>
          <t>GRO1451</t>
        </is>
      </c>
      <c r="B430" s="17" t="inlineStr">
        <is>
          <t>Advanced Nutrients pH Perfect Sensi Bloom A+B kétkomponensű virágzási alaptáp 1 liter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az elmúlt 30 napban</t>
        </is>
      </c>
      <c r="G430" s="17" t="inlineStr">
        <is>
          <t>Más főkategória terméke</t>
        </is>
      </c>
    </row>
    <row r="431">
      <c r="A431" s="17" t="inlineStr">
        <is>
          <t>GRO1456</t>
        </is>
      </c>
      <c r="B431" s="17" t="inlineStr">
        <is>
          <t>Cornwall fém padlóventilátor 55 W, 30 cm, 3 sebességfokozattal, állítható dőlésszöggel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30 napban</t>
        </is>
      </c>
      <c r="G431" s="17" t="inlineStr">
        <is>
          <t>Más főkategória terméke</t>
        </is>
      </c>
    </row>
    <row r="432">
      <c r="A432" s="17" t="inlineStr">
        <is>
          <t>GRO1460</t>
        </is>
      </c>
      <c r="B432" s="17" t="inlineStr">
        <is>
          <t>Cornwall RF 40 padlóventilátor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az elmúlt 30 napban</t>
        </is>
      </c>
      <c r="G432" s="17" t="inlineStr">
        <is>
          <t>Más főkategória terméke</t>
        </is>
      </c>
    </row>
    <row r="433">
      <c r="A433" s="17" t="inlineStr">
        <is>
          <t>GRO1461</t>
        </is>
      </c>
      <c r="B433" s="17" t="inlineStr">
        <is>
          <t>Neptune Hydroponics Mist Maker ultrahangos párásító 24 V, vízszintérzékelővel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az elmúlt 30 napban</t>
        </is>
      </c>
      <c r="G433" s="17" t="inlineStr">
        <is>
          <t>Más főkategória terméke</t>
        </is>
      </c>
    </row>
    <row r="434">
      <c r="A434" s="17" t="inlineStr">
        <is>
          <t>GRO1463</t>
        </is>
      </c>
      <c r="B434" s="17" t="inlineStr">
        <is>
          <t>Garland Titan tálca 100 x 55 x 15 cm, 65 literes, újrahasznosított polipropilén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az elmúlt 30 napban</t>
        </is>
      </c>
      <c r="G434" s="17" t="inlineStr">
        <is>
          <t>Más főkategória terméke</t>
        </is>
      </c>
    </row>
    <row r="435">
      <c r="A435" s="17" t="inlineStr">
        <is>
          <t>GRO1464</t>
        </is>
      </c>
      <c r="B435" s="17" t="inlineStr">
        <is>
          <t>CANNA COGr Flores A/B kétkomponensű virágzási táp kókuszhoz 1 liter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30 napban</t>
        </is>
      </c>
      <c r="G435" s="17" t="inlineStr">
        <is>
          <t>Más főkategória terméke</t>
        </is>
      </c>
    </row>
    <row r="436">
      <c r="A436" s="17" t="inlineStr">
        <is>
          <t>GRO1466</t>
        </is>
      </c>
      <c r="B436" s="17" t="inlineStr">
        <is>
          <t>Plagron Perlit, RHP minősítésű kertészeti perlit földhöz és hidrokultúrához 60 liter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az elmúlt 30 napban</t>
        </is>
      </c>
      <c r="G436" s="17" t="inlineStr">
        <is>
          <t>Más főkategória terméke</t>
        </is>
      </c>
    </row>
    <row r="437">
      <c r="A437" s="17" t="inlineStr">
        <is>
          <t>GRO1467</t>
        </is>
      </c>
      <c r="B437" s="17" t="inlineStr">
        <is>
          <t>CANNA Coco A/B kétkomponensű kókusztáp növekedéshez és virágzáshoz 10 liter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az elmúlt 30 napban</t>
        </is>
      </c>
      <c r="G437" s="17" t="inlineStr">
        <is>
          <t>Más főkategória terméke</t>
        </is>
      </c>
    </row>
    <row r="438">
      <c r="A438" s="17" t="inlineStr">
        <is>
          <t>GRO1529</t>
        </is>
      </c>
      <c r="B438" s="17" t="inlineStr">
        <is>
          <t>Canna Hydro Vega A/B 5 liter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GRO1530</t>
        </is>
      </c>
      <c r="B439" s="17" t="inlineStr">
        <is>
          <t>CANNA Hydro Vega A/B kétkomponensű növekedési táp kőzetgyapothoz 10 liter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30 napban</t>
        </is>
      </c>
      <c r="G439" s="17" t="inlineStr">
        <is>
          <t>Más főkategória terméke</t>
        </is>
      </c>
    </row>
    <row r="440">
      <c r="A440" s="17" t="inlineStr">
        <is>
          <t>GRO1531</t>
        </is>
      </c>
      <c r="B440" s="17" t="inlineStr">
        <is>
          <t>CANNA Hydro Flores A/B kétkomponensű virágzási táp kőzetgyapothoz 5 liter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GRO1532</t>
        </is>
      </c>
      <c r="B441" s="17" t="inlineStr">
        <is>
          <t>Canna Aqua A/B Vega 5 liter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az elmúlt 30 napban</t>
        </is>
      </c>
      <c r="G441" s="17" t="inlineStr">
        <is>
          <t>Más főkategória terméke</t>
        </is>
      </c>
    </row>
    <row r="442">
      <c r="A442" s="17" t="inlineStr">
        <is>
          <t>GRO1535</t>
        </is>
      </c>
      <c r="B442" s="17" t="inlineStr">
        <is>
          <t>CANNA Rhizotonic tengeri alga alapú gyökérserkentő 5 liter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az elmúlt 30 napban</t>
        </is>
      </c>
      <c r="G442" s="17" t="inlineStr">
        <is>
          <t>Más főkategória terméke</t>
        </is>
      </c>
    </row>
    <row r="443">
      <c r="A443" s="17" t="inlineStr">
        <is>
          <t>GRO1536</t>
        </is>
      </c>
      <c r="B443" s="17" t="inlineStr">
        <is>
          <t>CANNA Rhizotonic tengeri alga alapú gyökérserkentő 10 liter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az elmúlt 30 napban</t>
        </is>
      </c>
      <c r="G443" s="17" t="inlineStr">
        <is>
          <t>Más főkategória terméke</t>
        </is>
      </c>
    </row>
    <row r="444">
      <c r="A444" s="17" t="inlineStr">
        <is>
          <t>GRO1537</t>
        </is>
      </c>
      <c r="B444" s="17" t="inlineStr">
        <is>
          <t>CANNAZYM enzimkészítmény az egészséges gyökérzónáért 10 liter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GRO1538</t>
        </is>
      </c>
      <c r="B445" s="17" t="inlineStr">
        <is>
          <t>CANNA PK 13/14 foszfor-kálium virágzásserkentő 5 liter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GRO1539</t>
        </is>
      </c>
      <c r="B446" s="17" t="inlineStr">
        <is>
          <t>CannaCure használatra kész levélpermet kártevők és penész ellen, szórófejes 750 ml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az elmúlt 30 napban</t>
        </is>
      </c>
      <c r="G446" s="17" t="inlineStr">
        <is>
          <t>Más főkategória terméke</t>
        </is>
      </c>
    </row>
    <row r="447">
      <c r="A447" s="17" t="inlineStr">
        <is>
          <t>GRO1540</t>
        </is>
      </c>
      <c r="B447" s="17" t="inlineStr">
        <is>
          <t>CannaCure koncentrált levélpermet kártevők és penész ellen, 1 liter koncentrátum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30 napban</t>
        </is>
      </c>
      <c r="G447" s="17" t="inlineStr">
        <is>
          <t>Más főkategória terméke</t>
        </is>
      </c>
    </row>
    <row r="448">
      <c r="A448" s="17" t="inlineStr">
        <is>
          <t>GRO1551</t>
        </is>
      </c>
      <c r="B448" s="17" t="inlineStr">
        <is>
          <t>Milwaukee MC122 pH szabályozó kapcsolt aljzattal, MA911B/2 szondával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az elmúlt 30 napban</t>
        </is>
      </c>
      <c r="G448" s="17" t="inlineStr">
        <is>
          <t>Más főkategória terméke</t>
        </is>
      </c>
    </row>
    <row r="449">
      <c r="A449" s="17" t="inlineStr">
        <is>
          <t>GRO1553</t>
        </is>
      </c>
      <c r="B449" s="17" t="inlineStr">
        <is>
          <t>Milwaukee elektródatisztító folyadék 20 ml pH és EC mérőkhöz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30 napban</t>
        </is>
      </c>
      <c r="G449" s="17" t="inlineStr">
        <is>
          <t>Más főkategória terméke</t>
        </is>
      </c>
    </row>
    <row r="450">
      <c r="A450" s="17" t="inlineStr">
        <is>
          <t>GRO1554</t>
        </is>
      </c>
      <c r="B450" s="17" t="inlineStr">
        <is>
          <t>Milwaukee MA9015 tároló folyadék pH és ORP elektródákhoz, 230 ml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az elmúlt 30 napban</t>
        </is>
      </c>
      <c r="G450" s="17" t="inlineStr">
        <is>
          <t>Más főkategória terméke</t>
        </is>
      </c>
    </row>
    <row r="451">
      <c r="A451" s="17" t="inlineStr">
        <is>
          <t>GRO1597</t>
        </is>
      </c>
      <c r="B451" s="17" t="inlineStr">
        <is>
          <t>Can-Fan RK 100 centrifugális csőventilátor 100 mm, 240 m3/h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az elmúlt 30 napban</t>
        </is>
      </c>
      <c r="G451" s="17" t="inlineStr">
        <is>
          <t>Más főkategória terméke</t>
        </is>
      </c>
    </row>
    <row r="452">
      <c r="A452" s="17" t="inlineStr">
        <is>
          <t>GRO1598</t>
        </is>
      </c>
      <c r="B452" s="17" t="inlineStr">
        <is>
          <t>Terra Aquatica (GHE) Tripart Flora Bloom 10 liter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az elmúlt 30 napban</t>
        </is>
      </c>
      <c r="G452" s="17" t="inlineStr">
        <is>
          <t>Más főkategória terméke</t>
        </is>
      </c>
    </row>
    <row r="453">
      <c r="A453" s="17" t="inlineStr">
        <is>
          <t>GRO1599</t>
        </is>
      </c>
      <c r="B453" s="17" t="inlineStr">
        <is>
          <t>Plagron Cocos A/B kétkomponensű ásványi alaptáp kókuszhoz 5 liter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30 napban</t>
        </is>
      </c>
      <c r="G453" s="17" t="inlineStr">
        <is>
          <t>Más főkategória terméke</t>
        </is>
      </c>
    </row>
    <row r="454">
      <c r="A454" s="17" t="inlineStr">
        <is>
          <t>GRO1602</t>
        </is>
      </c>
      <c r="B454" s="17" t="inlineStr">
        <is>
          <t>Plagron PK 13-14 foszfor-kálium virágzásfokozó, NPK 0-13-14, 1 liter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az elmúlt 30 napban</t>
        </is>
      </c>
      <c r="G454" s="17" t="inlineStr">
        <is>
          <t>Más főkategória terméke</t>
        </is>
      </c>
    </row>
    <row r="455">
      <c r="A455" s="17" t="inlineStr">
        <is>
          <t>GRO1622</t>
        </is>
      </c>
      <c r="B455" s="17" t="inlineStr">
        <is>
          <t>Cool Tube 150 x 400 hűtött lámpabúra keményüveg csővel és E40 kerámiafoglalattal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az elmúlt 30 napban</t>
        </is>
      </c>
      <c r="G455" s="17" t="inlineStr">
        <is>
          <t>Más főkategória terméke</t>
        </is>
      </c>
    </row>
    <row r="456">
      <c r="A456" s="17" t="inlineStr">
        <is>
          <t>GRO1628</t>
        </is>
      </c>
      <c r="B456" s="17" t="inlineStr">
        <is>
          <t>Levegőztető porlasztókő rúd 10 cm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30 napban</t>
        </is>
      </c>
      <c r="G456" s="17" t="inlineStr">
        <is>
          <t>Más főkategória terméke</t>
        </is>
      </c>
    </row>
    <row r="457">
      <c r="A457" s="17" t="inlineStr">
        <is>
          <t>GRO1633</t>
        </is>
      </c>
      <c r="B457" s="17" t="inlineStr">
        <is>
          <t>Pipetta 5 ml műanyag, milliliteres skálával, tápok adagolásához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30 napban</t>
        </is>
      </c>
      <c r="G457" s="17" t="inlineStr">
        <is>
          <t>Más főkategória terméke</t>
        </is>
      </c>
    </row>
    <row r="458">
      <c r="A458" s="17" t="inlineStr">
        <is>
          <t>GRO1656</t>
        </is>
      </c>
      <c r="B458" s="17" t="inlineStr">
        <is>
          <t>Can-Fan RK 125LS csőventilátor 125 mm, 370 m3/h, beépített 4 fokozatú kapcsolóval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az elmúlt 30 napban</t>
        </is>
      </c>
      <c r="G458" s="17" t="inlineStr">
        <is>
          <t>Más főkategória terméke</t>
        </is>
      </c>
    </row>
    <row r="459">
      <c r="A459" s="17" t="inlineStr">
        <is>
          <t>GRO1659</t>
        </is>
      </c>
      <c r="B459" s="17" t="inlineStr">
        <is>
          <t>Can-Fan Max-Fan 280 diagonális csőventilátor 280 mm, 2360 m3/h, 270 W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az elmúlt 30 napban</t>
        </is>
      </c>
      <c r="G459" s="17" t="inlineStr">
        <is>
          <t>Más főkategória terméke</t>
        </is>
      </c>
    </row>
    <row r="460">
      <c r="A460" s="17" t="inlineStr">
        <is>
          <t>GRO1660</t>
        </is>
      </c>
      <c r="B460" s="17" t="inlineStr">
        <is>
          <t>Can-Fan ISO-Max hangszigetelt csőventilátor 200 mm, 870 m3/h, 3 fokozatú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GRO1661</t>
        </is>
      </c>
      <c r="B461" s="17" t="inlineStr">
        <is>
          <t>Can-Fan ISO-Max hangszigetelt csőventilátor 250 mm, 1480 m3/h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GRO1663</t>
        </is>
      </c>
      <c r="B462" s="17" t="inlineStr">
        <is>
          <t>Can Filters Can-Lite 3000 aktív szénszűrő acél házzal, 3000 m3/h, 315 mm szűrővég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GRO1664</t>
        </is>
      </c>
      <c r="B463" s="17" t="inlineStr">
        <is>
          <t>Can Filters Silencer CFS06 ventilátor hangtompító 200 mm, 45 cm, ásványgyapot szigeteléssel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GRO1668</t>
        </is>
      </c>
      <c r="B464" s="17" t="inlineStr">
        <is>
          <t>Keskeny légtechnikai bilincs 110–130 mm, horganyzott acél, Vents C 125 Zn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GRO1669</t>
        </is>
      </c>
      <c r="B465" s="17" t="inlineStr">
        <is>
          <t>Keskeny légtechnikai bilincs 140–160 mm, horganyzott acél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GRO1679</t>
        </is>
      </c>
      <c r="B466" s="17" t="inlineStr">
        <is>
          <t>Nutriculture Wilma csepegtető rendszer 8 x 11 l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GRO1680</t>
        </is>
      </c>
      <c r="B467" s="17" t="inlineStr">
        <is>
          <t>Wilma csepegtető rendszer 10 x 6,5 l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GRO1681</t>
        </is>
      </c>
      <c r="B468" s="17" t="inlineStr">
        <is>
          <t>Nutriculture Wilma csepegtető rendszer 4 x 18 l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az elmúlt 30 napban</t>
        </is>
      </c>
      <c r="G468" s="17" t="inlineStr">
        <is>
          <t>Más főkategória terméke</t>
        </is>
      </c>
    </row>
    <row r="469">
      <c r="A469" s="17" t="inlineStr">
        <is>
          <t>GRO1682</t>
        </is>
      </c>
      <c r="B469" s="17" t="inlineStr">
        <is>
          <t>Nutriculture Wilma csepegtető rendszer 8 x 18 l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30 napban</t>
        </is>
      </c>
      <c r="G469" s="17" t="inlineStr">
        <is>
          <t>Más főkategória terméke</t>
        </is>
      </c>
    </row>
    <row r="470">
      <c r="A470" s="17" t="inlineStr">
        <is>
          <t>GRO1683</t>
        </is>
      </c>
      <c r="B470" s="17" t="inlineStr">
        <is>
          <t>Nutriculture Wilma csepegtető rendszer 16 x 11 l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30 napban</t>
        </is>
      </c>
      <c r="G470" s="17" t="inlineStr">
        <is>
          <t>Más főkategória terméke</t>
        </is>
      </c>
    </row>
    <row r="471">
      <c r="A471" s="17" t="inlineStr">
        <is>
          <t>GRO1721</t>
        </is>
      </c>
      <c r="B471" s="17" t="inlineStr">
        <is>
          <t>Metrop Cal Green kalcium-magnézium kiegészítő 5 liter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GRO1736</t>
        </is>
      </c>
      <c r="B472" s="17" t="inlineStr">
        <is>
          <t>Levegőztető cső 6x4 mm fekete, akváriumhoz és hidropóniához, méterre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GRO1758</t>
        </is>
      </c>
      <c r="B473" s="17" t="inlineStr">
        <is>
          <t>Nutriculture X-Stream Heat fűthető propagátor Small, 1 db 150-es Grodan SBS tálca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az elmúlt 30 napban</t>
        </is>
      </c>
      <c r="G473" s="17" t="inlineStr">
        <is>
          <t>Más főkategória terméke</t>
        </is>
      </c>
    </row>
    <row r="474">
      <c r="A474" s="17" t="inlineStr">
        <is>
          <t>GRO1763</t>
        </is>
      </c>
      <c r="B474" s="17" t="inlineStr">
        <is>
          <t>Bordás T idom 4 mm levegőztető csőhöz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az elmúlt 30 napban</t>
        </is>
      </c>
      <c r="G474" s="17" t="inlineStr">
        <is>
          <t>Más főkategória terméke</t>
        </is>
      </c>
    </row>
    <row r="475">
      <c r="A475" s="17" t="inlineStr">
        <is>
          <t>GRO1766</t>
        </is>
      </c>
      <c r="B475" s="17" t="inlineStr">
        <is>
          <t>Advanced Nutrients Bud Factor X virágzási biostimulátor és szárerősítő 250 ml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az elmúlt 30 napban</t>
        </is>
      </c>
      <c r="G475" s="17" t="inlineStr">
        <is>
          <t>Más főkategória terméke</t>
        </is>
      </c>
    </row>
    <row r="476">
      <c r="A476" s="17" t="inlineStr">
        <is>
          <t>GRO1767</t>
        </is>
      </c>
      <c r="B476" s="17" t="inlineStr">
        <is>
          <t>Plagron Bat Guano denevérguanó alapú szerves talajadalék por 1 liter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az elmúlt 30 napban</t>
        </is>
      </c>
      <c r="G476" s="17" t="inlineStr">
        <is>
          <t>Más főkategória terméke</t>
        </is>
      </c>
    </row>
    <row r="477">
      <c r="A477" s="17" t="inlineStr">
        <is>
          <t>GRO1773</t>
        </is>
      </c>
      <c r="B477" s="17" t="inlineStr">
        <is>
          <t>Prima Klima Spudnik léghűtéses reflektor 150 mm-es csatlakozással, dupla falú házzal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az elmúlt 30 napban</t>
        </is>
      </c>
      <c r="G477" s="17" t="inlineStr">
        <is>
          <t>Más főkategória terméke</t>
        </is>
      </c>
    </row>
    <row r="478">
      <c r="A478" s="17" t="inlineStr">
        <is>
          <t>GRO1774</t>
        </is>
      </c>
      <c r="B478" s="17" t="inlineStr">
        <is>
          <t>Prima Klima Spudnik léghűtéses reflektor 125 mm-es csatlakozással, dupla falú házzal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GRO1778</t>
        </is>
      </c>
      <c r="B479" s="17" t="inlineStr">
        <is>
          <t>CANNA Coco A/B kétkomponensű kókusztáp növekedéshez és virágzáshoz 1 liter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30 napban</t>
        </is>
      </c>
      <c r="G479" s="17" t="inlineStr">
        <is>
          <t>Más főkategória terméke</t>
        </is>
      </c>
    </row>
    <row r="480">
      <c r="A480" s="17" t="inlineStr">
        <is>
          <t>GRO1806</t>
        </is>
      </c>
      <c r="B480" s="17" t="inlineStr">
        <is>
          <t>Lyukacsos kerek virágcserép 2 liter, 16 x 14 cm, spirálgyökér gátló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GRO1808</t>
        </is>
      </c>
      <c r="B481" s="17" t="inlineStr">
        <is>
          <t>Lyukacsos kerek virágcserép 7,5 liter, 26 x 22 cm, spirálgyökér gátló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GRO1809</t>
        </is>
      </c>
      <c r="B482" s="17" t="inlineStr">
        <is>
          <t>Lyukacsos kerek virágcserép 9,5 liter, 28,5 x 24 cm, spirálgyökér gátló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GRO1810</t>
        </is>
      </c>
      <c r="B483" s="17" t="inlineStr">
        <is>
          <t>Lyukacsos kerek virágcserép 12 liter, 30,5 x 26,5 cm, spirálgyökér gátló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GRO1812</t>
        </is>
      </c>
      <c r="B484" s="17" t="inlineStr">
        <is>
          <t>Kerek műanyag esővízgyűjtő tartály 240 literes, UV-stabilizált polietilén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GRO1813</t>
        </is>
      </c>
      <c r="B485" s="17" t="inlineStr">
        <is>
          <t>Szögletes műanyag virágcserép alátét 10,5 x 10,5 cm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30 napban</t>
        </is>
      </c>
      <c r="G485" s="17" t="inlineStr">
        <is>
          <t>Más főkategória terméke</t>
        </is>
      </c>
    </row>
    <row r="486">
      <c r="A486" s="17" t="inlineStr">
        <is>
          <t>GRO1814</t>
        </is>
      </c>
      <c r="B486" s="17" t="inlineStr">
        <is>
          <t>Szögletes műanyag virágcserép alátét 19.5x19.5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az elmúlt 30 napban</t>
        </is>
      </c>
      <c r="G486" s="17" t="inlineStr">
        <is>
          <t>Más főkategória terméke</t>
        </is>
      </c>
    </row>
    <row r="487">
      <c r="A487" s="17" t="inlineStr">
        <is>
          <t>GRO1817</t>
        </is>
      </c>
      <c r="B487" s="17" t="inlineStr">
        <is>
          <t>Dán tálca kiegészítő leeresztő szűrő a 106 x 202 cm-es apály-dagály tálcához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GRO1822</t>
        </is>
      </c>
      <c r="B488" s="17" t="inlineStr">
        <is>
          <t>Advanced Nutrients Bud Factor X virágzási biostimulátor és szárerősítő 1 liter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GRO1832</t>
        </is>
      </c>
      <c r="B489" s="17" t="inlineStr">
        <is>
          <t>Advanced Nutrients Bud Candy szénhidrátos biostimulátor magnéziummal 5 liter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GRO1834</t>
        </is>
      </c>
      <c r="B490" s="17" t="inlineStr">
        <is>
          <t>Can Filters Silencer CFS04 ventilátor hangtompító 150 mm, 45 cm, ásványgyapot szigeteléssel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GRO1845</t>
        </is>
      </c>
      <c r="B491" s="17" t="inlineStr">
        <is>
          <t>Membrános légpumpa Hailea ACO-2202, 1,6 l/perc, 1 kimenet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GRO1848</t>
        </is>
      </c>
      <c r="B492" s="17" t="inlineStr">
        <is>
          <t>Membrános légpumpa Hailea ACO-2201, 1,3 l/perc, 1 kimenet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GRO1851</t>
        </is>
      </c>
      <c r="B493" s="17" t="inlineStr">
        <is>
          <t>Levegőztető porlasztókő rúd 20 cm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az elmúlt 30 napban</t>
        </is>
      </c>
      <c r="G493" s="17" t="inlineStr">
        <is>
          <t>Más főkategória terméke</t>
        </is>
      </c>
    </row>
    <row r="494">
      <c r="A494" s="17" t="inlineStr">
        <is>
          <t>GRO1853</t>
        </is>
      </c>
      <c r="B494" s="17" t="inlineStr">
        <is>
          <t>Levegőztető porlasztókő korong ASC-150 15 cm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30 napban</t>
        </is>
      </c>
      <c r="G494" s="17" t="inlineStr">
        <is>
          <t>Más főkategória terméke</t>
        </is>
      </c>
    </row>
    <row r="495">
      <c r="A495" s="17" t="inlineStr">
        <is>
          <t>GRO1854</t>
        </is>
      </c>
      <c r="B495" s="17" t="inlineStr">
        <is>
          <t>Levegőztető porlasztókő korong ASC-100 10 cm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GRO1855</t>
        </is>
      </c>
      <c r="B496" s="17" t="inlineStr">
        <is>
          <t>Levegőztető porlasztókő gyűrű 7,5 cm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30 napban</t>
        </is>
      </c>
      <c r="G496" s="17" t="inlineStr">
        <is>
          <t>Más főkategória terméke</t>
        </is>
      </c>
    </row>
    <row r="497">
      <c r="A497" s="17" t="inlineStr">
        <is>
          <t>GRO1857</t>
        </is>
      </c>
      <c r="B497" s="17" t="inlineStr">
        <is>
          <t>Milwaukee MW100 PRO hordozható pH mérő 0–14 pH, 0,1 pH felbontással, SE220 szondával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30 napban</t>
        </is>
      </c>
      <c r="G497" s="17" t="inlineStr">
        <is>
          <t>Más főkategória terméke</t>
        </is>
      </c>
    </row>
    <row r="498">
      <c r="A498" s="17" t="inlineStr">
        <is>
          <t>GRO1859</t>
        </is>
      </c>
      <c r="B498" s="17" t="inlineStr">
        <is>
          <t>CANNAZYM enzimkészítmény az egészséges gyökérzónáért 250 ml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GRO1860</t>
        </is>
      </c>
      <c r="B499" s="17" t="inlineStr">
        <is>
          <t>CANNABOOST Accelerator virágzásserkentő adalék 500 ml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GRO1861</t>
        </is>
      </c>
      <c r="B500" s="17" t="inlineStr">
        <is>
          <t>CANNA Flush közegtisztító öblítőszer betakarítás előtti öblítéshez 1 liter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GRO1865</t>
        </is>
      </c>
      <c r="B501" s="17" t="inlineStr">
        <is>
          <t>Vents VK 250 centrifugális csatornaventilátor 250 mm, 1080 m3/h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az elmúlt 30 napban</t>
        </is>
      </c>
      <c r="G501" s="17" t="inlineStr">
        <is>
          <t>Más főkategória terméke</t>
        </is>
      </c>
    </row>
    <row r="502">
      <c r="A502" s="17" t="inlineStr">
        <is>
          <t>GRO1867</t>
        </is>
      </c>
      <c r="B502" s="17" t="inlineStr">
        <is>
          <t>Neptune Hydroponics propagátor fűtőlap 17 W, 35 x 25 cm, PVC borítású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az elmúlt 30 napban</t>
        </is>
      </c>
      <c r="G502" s="17" t="inlineStr">
        <is>
          <t>Más főkategória terméke</t>
        </is>
      </c>
    </row>
    <row r="503">
      <c r="A503" s="17" t="inlineStr">
        <is>
          <t>GRO1868</t>
        </is>
      </c>
      <c r="B503" s="17" t="inlineStr">
        <is>
          <t>Neptune Hydroponics propagátor fűtőlap 30 W, 50 x 30 cm, PVC borítású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30 napban</t>
        </is>
      </c>
      <c r="G503" s="17" t="inlineStr">
        <is>
          <t>Más főkategória terméke</t>
        </is>
      </c>
    </row>
    <row r="504">
      <c r="A504" s="17" t="inlineStr">
        <is>
          <t>GRO1890</t>
        </is>
      </c>
      <c r="B504" s="17" t="inlineStr">
        <is>
          <t>Air-Pot klón 1 literes perforált, légáteresztő műanyag edény erős gyökérzethez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GRO1891</t>
        </is>
      </c>
      <c r="B505" s="17" t="inlineStr">
        <is>
          <t>Air-Pot klón 3 literes perforált, légáteresztő műanyag edény erős gyökérzethez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30 napban</t>
        </is>
      </c>
      <c r="G505" s="17" t="inlineStr">
        <is>
          <t>Más főkategória terméke</t>
        </is>
      </c>
    </row>
    <row r="506">
      <c r="A506" s="17" t="inlineStr">
        <is>
          <t>GRO1892</t>
        </is>
      </c>
      <c r="B506" s="17" t="inlineStr">
        <is>
          <t>Air-Pot klón 6 literes perforált, légáteresztő műanyag edény erős gyökérzethez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GRO1893</t>
        </is>
      </c>
      <c r="B507" s="17" t="inlineStr">
        <is>
          <t>Air-Pot klón 10 literes perforált, légáteresztő műanyag edény erős gyökérzethez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GRO1894</t>
        </is>
      </c>
      <c r="B508" s="17" t="inlineStr">
        <is>
          <t>Air-Pot klón 15 literes perforált, légáteresztő műanyag edény erős gyökérzethez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GRO1895</t>
        </is>
      </c>
      <c r="B509" s="17" t="inlineStr">
        <is>
          <t>Air-Pot klón 25 literes perforált, légáteresztő műanyag edény erős gyökérzethez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30 napban</t>
        </is>
      </c>
      <c r="G509" s="17" t="inlineStr">
        <is>
          <t>Más főkategória terméke</t>
        </is>
      </c>
    </row>
    <row r="510">
      <c r="A510" s="17" t="inlineStr">
        <is>
          <t>GRO1896</t>
        </is>
      </c>
      <c r="B510" s="17" t="inlineStr">
        <is>
          <t>Neptune Hydroponics földmelegítő kábel 30 W, 4 m fűtött hossz, beépített termosztáttal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GRO1897</t>
        </is>
      </c>
      <c r="B511" s="17" t="inlineStr">
        <is>
          <t>Neptune Hydroponics földmelegítő kábel 60 W, 10 m fűtött hossz, beépített termosztáttal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GRO1906</t>
        </is>
      </c>
      <c r="B512" s="17" t="inlineStr">
        <is>
          <t>Garland Square négyzetes tálca 59 x 59 x 7 cm (M), fröccsöntött polipropilén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az elmúlt 30 napban</t>
        </is>
      </c>
      <c r="G512" s="17" t="inlineStr">
        <is>
          <t>Más főkategória terméke</t>
        </is>
      </c>
    </row>
    <row r="513">
      <c r="A513" s="17" t="inlineStr">
        <is>
          <t>GRO1907</t>
        </is>
      </c>
      <c r="B513" s="17" t="inlineStr">
        <is>
          <t>Garland Giant tálca 110 x 55 x 5 cm, hosszúkás, fröccsöntött polipropilén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GRO1909</t>
        </is>
      </c>
      <c r="B514" s="17" t="inlineStr">
        <is>
          <t>Garland tálca 5 cm magas peremmel, XS méret, fröccsöntött polipropilén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GRO1910</t>
        </is>
      </c>
      <c r="B515" s="17" t="inlineStr">
        <is>
          <t>Garland tálca 5 cm magas peremmel, S méret, fröccsöntött polipropilén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30 napban</t>
        </is>
      </c>
      <c r="G515" s="17" t="inlineStr">
        <is>
          <t>Más főkategória terméke</t>
        </is>
      </c>
    </row>
    <row r="516">
      <c r="A516" s="17" t="inlineStr">
        <is>
          <t>GRO1911</t>
        </is>
      </c>
      <c r="B516" s="17" t="inlineStr">
        <is>
          <t>Garland tálca 5 cm magas peremmel, XXL méret, fröccsöntött polipropilén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GRO1934</t>
        </is>
      </c>
      <c r="B517" s="17" t="inlineStr">
        <is>
          <t>Bővítő cső 125–160 mm légcsatornához, szellőzőrendszerekhez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az elmúlt 30 napban</t>
        </is>
      </c>
      <c r="G517" s="17" t="inlineStr">
        <is>
          <t>Más főkategória terméke</t>
        </is>
      </c>
    </row>
    <row r="518">
      <c r="A518" s="17" t="inlineStr">
        <is>
          <t>GRO1935</t>
        </is>
      </c>
      <c r="B518" s="17" t="inlineStr">
        <is>
          <t>Bővítő cső 150–200 mm légcsatornához, szellőzőrendszerekhez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30 napban</t>
        </is>
      </c>
      <c r="G518" s="17" t="inlineStr">
        <is>
          <t>Más főkategória terméke</t>
        </is>
      </c>
    </row>
    <row r="519">
      <c r="A519" s="17" t="inlineStr">
        <is>
          <t>GRO1941</t>
        </is>
      </c>
      <c r="B519" s="17" t="inlineStr">
        <is>
          <t>Fém visszacsapó szelep 100 mm légcsatornába, rozsdamentes acélrugókkal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az elmúlt 30 napban</t>
        </is>
      </c>
      <c r="G519" s="17" t="inlineStr">
        <is>
          <t>Más főkategória terméke</t>
        </is>
      </c>
    </row>
    <row r="520">
      <c r="A520" s="17" t="inlineStr">
        <is>
          <t>GRO1956</t>
        </is>
      </c>
      <c r="B520" s="17" t="inlineStr">
        <is>
          <t>Cultibox Scrog növénytartó háló 80, 100 és 120 cm-es sátrakhoz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GRO1958</t>
        </is>
      </c>
      <c r="B521" s="17" t="inlineStr">
        <is>
          <t>Összecsukható víztartály Neptune Hydroponics FlexiTank klón 250 liter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az elmúlt 30 napban</t>
        </is>
      </c>
      <c r="G521" s="17" t="inlineStr">
        <is>
          <t>Más főkategória terméke</t>
        </is>
      </c>
    </row>
    <row r="522">
      <c r="A522" s="17" t="inlineStr">
        <is>
          <t>GRO1959</t>
        </is>
      </c>
      <c r="B522" s="17" t="inlineStr">
        <is>
          <t>Műanyag csőtoldó visszacsapószeleppel 100 mm légcsatornához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GRO1960</t>
        </is>
      </c>
      <c r="B523" s="17" t="inlineStr">
        <is>
          <t>Műanyag csőtoldó visszacsapószeleppel 125 mm légcsatornához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az elmúlt 30 napban</t>
        </is>
      </c>
      <c r="G523" s="17" t="inlineStr">
        <is>
          <t>Más főkategória terméke</t>
        </is>
      </c>
    </row>
    <row r="524">
      <c r="A524" s="17" t="inlineStr">
        <is>
          <t>GRO1961</t>
        </is>
      </c>
      <c r="B524" s="17" t="inlineStr">
        <is>
          <t>Műanyag csőtoldó visszacsapószeleppel 150 mm légcsatornához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az elmúlt 30 napban</t>
        </is>
      </c>
      <c r="G524" s="17" t="inlineStr">
        <is>
          <t>Más főkategória terméke</t>
        </is>
      </c>
    </row>
    <row r="525">
      <c r="A525" s="17" t="inlineStr">
        <is>
          <t>GRO1962</t>
        </is>
      </c>
      <c r="B525" s="17" t="inlineStr">
        <is>
          <t>Műanyag csőtoldó visszacsapószeleppel 200 mm légcsatornához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az elmúlt 30 napban</t>
        </is>
      </c>
      <c r="G525" s="17" t="inlineStr">
        <is>
          <t>Más főkategória terméke</t>
        </is>
      </c>
    </row>
    <row r="526">
      <c r="A526" s="17" t="inlineStr">
        <is>
          <t>GRO1967</t>
        </is>
      </c>
      <c r="B526" s="17" t="inlineStr">
        <is>
          <t>Műanyag csőtoldó 100 mm azonos átmérőjű légcsatornák összekötéséhez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30 napban</t>
        </is>
      </c>
      <c r="G526" s="17" t="inlineStr">
        <is>
          <t>Más főkategória terméke</t>
        </is>
      </c>
    </row>
    <row r="527">
      <c r="A527" s="17" t="inlineStr">
        <is>
          <t>GRO1968</t>
        </is>
      </c>
      <c r="B527" s="17" t="inlineStr">
        <is>
          <t>Műanyag csőtoldó 125 mm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az elmúlt 30 napban</t>
        </is>
      </c>
      <c r="G527" s="17" t="inlineStr">
        <is>
          <t>Más főkategória terméke</t>
        </is>
      </c>
    </row>
    <row r="528">
      <c r="A528" s="17" t="inlineStr">
        <is>
          <t>GRO1969</t>
        </is>
      </c>
      <c r="B528" s="17" t="inlineStr">
        <is>
          <t>Műanyag csőtoldó 150 mm azonos átmérőjű légcsatornák összekötéséhez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az elmúlt 30 napban</t>
        </is>
      </c>
      <c r="G528" s="17" t="inlineStr">
        <is>
          <t>Más főkategória terméke</t>
        </is>
      </c>
    </row>
    <row r="529">
      <c r="A529" s="17" t="inlineStr">
        <is>
          <t>GRO1970</t>
        </is>
      </c>
      <c r="B529" s="17" t="inlineStr">
        <is>
          <t>Műanyag csőtoldó 200 mm azonos átmérőjű légcsatornák összekötéséhez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az elmúlt 30 napban</t>
        </is>
      </c>
      <c r="G529" s="17" t="inlineStr">
        <is>
          <t>Más főkategória terméke</t>
        </is>
      </c>
    </row>
    <row r="530">
      <c r="A530" s="17" t="inlineStr">
        <is>
          <t>GRO1971</t>
        </is>
      </c>
      <c r="B530" s="17" t="inlineStr">
        <is>
          <t>Műanyag szűkítő / bővítő cső 80–100 mm légcsatornákhoz, szellőzőrendszerekhez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az elmúlt 30 napban</t>
        </is>
      </c>
      <c r="G530" s="17" t="inlineStr">
        <is>
          <t>Más főkategória terméke</t>
        </is>
      </c>
    </row>
    <row r="531">
      <c r="A531" s="17" t="inlineStr">
        <is>
          <t>GRO1972</t>
        </is>
      </c>
      <c r="B531" s="17" t="inlineStr">
        <is>
          <t>Műanyag szűkítő / bővítő cső 100–125 mm légcsatornákhoz, szellőzőrendszerekhez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az elmúlt 30 napban</t>
        </is>
      </c>
      <c r="G531" s="17" t="inlineStr">
        <is>
          <t>Más főkategória terméke</t>
        </is>
      </c>
    </row>
    <row r="532">
      <c r="A532" s="17" t="inlineStr">
        <is>
          <t>GRO1973</t>
        </is>
      </c>
      <c r="B532" s="17" t="inlineStr">
        <is>
          <t>Műanyag szűkítő / bővítő cső 125–150 mm légcsatornákhoz, szellőzőrendszerekhez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30 napban</t>
        </is>
      </c>
      <c r="G532" s="17" t="inlineStr">
        <is>
          <t>Más főkategória terméke</t>
        </is>
      </c>
    </row>
    <row r="533">
      <c r="A533" s="17" t="inlineStr">
        <is>
          <t>GRO1974</t>
        </is>
      </c>
      <c r="B533" s="17" t="inlineStr">
        <is>
          <t>Műanyag szűkítő / bővítő cső 150–200 mm légcsatornákhoz, szellőzőrendszerekhez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az elmúlt 30 napban</t>
        </is>
      </c>
      <c r="G533" s="17" t="inlineStr">
        <is>
          <t>Más főkategória terméke</t>
        </is>
      </c>
    </row>
    <row r="534">
      <c r="A534" s="17" t="inlineStr">
        <is>
          <t>GRO1975</t>
        </is>
      </c>
      <c r="B534" s="17" t="inlineStr">
        <is>
          <t>Fém visszacsapó szelep 125 mm légcsatornába, rozsdamentes acélrugókkal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az elmúlt 30 napban</t>
        </is>
      </c>
      <c r="G534" s="17" t="inlineStr">
        <is>
          <t>Más főkategória terméke</t>
        </is>
      </c>
    </row>
    <row r="535">
      <c r="A535" s="17" t="inlineStr">
        <is>
          <t>GRO1978</t>
        </is>
      </c>
      <c r="B535" s="17" t="inlineStr">
        <is>
          <t>Fém visszacsapó szelep 250 mm légcsatornába, rozsdamentes acélrugókkal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GRO1990</t>
        </is>
      </c>
      <c r="B536" s="17" t="inlineStr">
        <is>
          <t>Membrános légpumpa Hailea ACO-2203, 2 l/perc, 1 kimenet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30 napban</t>
        </is>
      </c>
      <c r="G536" s="17" t="inlineStr">
        <is>
          <t>Más főkategória terméke</t>
        </is>
      </c>
    </row>
    <row r="537">
      <c r="A537" s="17" t="inlineStr">
        <is>
          <t>GRO2003</t>
        </is>
      </c>
      <c r="B537" s="17" t="inlineStr">
        <is>
          <t>Advanced Nutrients pH Perfect Sensi Bloom A+B kétkomponensű virágzási alaptáp 5 liter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GRO2005</t>
        </is>
      </c>
      <c r="B538" s="17" t="inlineStr">
        <is>
          <t>Advanced Nutrients Big Bud Liquid virágzásfokozó PK 0-1-3, 4 liter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az elmúlt 30 napban</t>
        </is>
      </c>
      <c r="G538" s="17" t="inlineStr">
        <is>
          <t>Más főkategória terméke</t>
        </is>
      </c>
    </row>
    <row r="539">
      <c r="A539" s="17" t="inlineStr">
        <is>
          <t>GRO2025</t>
        </is>
      </c>
      <c r="B539" s="17" t="inlineStr">
        <is>
          <t>Háromeres elektromos kábel 3 x 1,5 mm dugvillával, 3 m, trafókhoz és lámpákhoz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GRO2028</t>
        </is>
      </c>
      <c r="B540" s="17" t="inlineStr">
        <is>
          <t>Plagron Power Roots gyökérerősítő adalék 5 liter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az elmúlt 30 napban</t>
        </is>
      </c>
      <c r="G540" s="17" t="inlineStr">
        <is>
          <t>Más főkategória terméke</t>
        </is>
      </c>
    </row>
    <row r="541">
      <c r="A541" s="17" t="inlineStr">
        <is>
          <t>GRO2029</t>
        </is>
      </c>
      <c r="B541" s="17" t="inlineStr">
        <is>
          <t>BioBizz Bio-Heaven szerves stimulátor 5 liter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az elmúlt 30 napban</t>
        </is>
      </c>
      <c r="G541" s="17" t="inlineStr">
        <is>
          <t>Más főkategória terméke</t>
        </is>
      </c>
    </row>
    <row r="542">
      <c r="A542" s="17" t="inlineStr">
        <is>
          <t>GRO2039</t>
        </is>
      </c>
      <c r="B542" s="17" t="inlineStr">
        <is>
          <t>Vents VK Un termosztát + dimmer kapcsoló + kábel 125 Un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az elmúlt 30 napban</t>
        </is>
      </c>
      <c r="G542" s="17" t="inlineStr">
        <is>
          <t>Más főkategória terméke</t>
        </is>
      </c>
    </row>
    <row r="543">
      <c r="A543" s="17" t="inlineStr">
        <is>
          <t>GRO2045</t>
        </is>
      </c>
      <c r="B543" s="17" t="inlineStr">
        <is>
          <t>Vents TT 100 kevert áramlású csőventilátor 100 mm, két sebesség, 145/187 m3/h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az elmúlt 30 napban</t>
        </is>
      </c>
      <c r="G543" s="17" t="inlineStr">
        <is>
          <t>Más főkategória terméke</t>
        </is>
      </c>
    </row>
    <row r="544">
      <c r="A544" s="17" t="inlineStr">
        <is>
          <t>GRO2047</t>
        </is>
      </c>
      <c r="B544" s="17" t="inlineStr">
        <is>
          <t>Vents TT 100 Un csőventilátor termosztáttal, sebességszabályzóval és kábellel, 100 mm, 187 m3/h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GRO2048</t>
        </is>
      </c>
      <c r="B545" s="17" t="inlineStr">
        <is>
          <t>Vents TT 125 kevert áramlású csőventilátor 125 mm, két sebesség, 220/280 m3/h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az elmúlt 30 napban</t>
        </is>
      </c>
      <c r="G545" s="17" t="inlineStr">
        <is>
          <t>Más főkategória terméke</t>
        </is>
      </c>
    </row>
    <row r="546">
      <c r="A546" s="17" t="inlineStr">
        <is>
          <t>GRO2051</t>
        </is>
      </c>
      <c r="B546" s="17" t="inlineStr">
        <is>
          <t>Vents TT 125 Un csőventilátor termosztáttal, sebességszabályzóval és kábellel, 125 mm, 280 m3/h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GRO2054</t>
        </is>
      </c>
      <c r="B547" s="17" t="inlineStr">
        <is>
          <t>Vents TT 150 Un csőventilátor termosztáttal, sebességszabályzóval és kábellel, 150 mm, 520 m3/h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az elmúlt 30 napban</t>
        </is>
      </c>
      <c r="G547" s="17" t="inlineStr">
        <is>
          <t>Más főkategória terméke</t>
        </is>
      </c>
    </row>
    <row r="548">
      <c r="A548" s="17" t="inlineStr">
        <is>
          <t>GRO2055</t>
        </is>
      </c>
      <c r="B548" s="17" t="inlineStr">
        <is>
          <t>Vents TT PRO 125 kevert áramlású csőventilátor 125 mm, kétsebességes motorral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30 napban</t>
        </is>
      </c>
      <c r="G548" s="17" t="inlineStr">
        <is>
          <t>Más főkategória terméke</t>
        </is>
      </c>
    </row>
    <row r="549">
      <c r="A549" s="17" t="inlineStr">
        <is>
          <t>GRO2058</t>
        </is>
      </c>
      <c r="B549" s="17" t="inlineStr">
        <is>
          <t>Advanced Nutrients pH Perfect Micro háromkomponensű alaptáp, NPK 2-0-0, 1 liter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GRO2059</t>
        </is>
      </c>
      <c r="B550" s="17" t="inlineStr">
        <is>
          <t>Advanced Nutrients pH Perfect Bloom háromkomponensű alaptáp, NPK 1-3-4, 1 liter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az elmúlt 30 napban</t>
        </is>
      </c>
      <c r="G550" s="17" t="inlineStr">
        <is>
          <t>Más főkategória terméke</t>
        </is>
      </c>
    </row>
    <row r="551">
      <c r="A551" s="17" t="inlineStr">
        <is>
          <t>GRO2060</t>
        </is>
      </c>
      <c r="B551" s="17" t="inlineStr">
        <is>
          <t>Advanced Nutrients pH Perfect Grow háromkomponensű alaptáp, NPK 1-0-4, 1 liter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az elmúlt 30 napban</t>
        </is>
      </c>
      <c r="G551" s="17" t="inlineStr">
        <is>
          <t>Más főkategória terméke</t>
        </is>
      </c>
    </row>
    <row r="552">
      <c r="A552" s="17" t="inlineStr">
        <is>
          <t>GRO2062</t>
        </is>
      </c>
      <c r="B552" s="17" t="inlineStr">
        <is>
          <t>Milwaukee pH kalibráló folyadék pH 4,01, 230 ml, pH mérőkhöz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GRO2063</t>
        </is>
      </c>
      <c r="B553" s="17" t="inlineStr">
        <is>
          <t>Milwaukee pH kalibráló folyadék pH 7,01, 230 ml, pH mérőkhöz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30 napban</t>
        </is>
      </c>
      <c r="G553" s="17" t="inlineStr">
        <is>
          <t>Más főkategória terméke</t>
        </is>
      </c>
    </row>
    <row r="554">
      <c r="A554" s="17" t="inlineStr">
        <is>
          <t>GRO2064</t>
        </is>
      </c>
      <c r="B554" s="17" t="inlineStr">
        <is>
          <t>BioNova Autoflower Supermix táp önvirágzó növényekhez 5 liter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30 napban</t>
        </is>
      </c>
      <c r="G554" s="17" t="inlineStr">
        <is>
          <t>Más főkategória terméke</t>
        </is>
      </c>
    </row>
    <row r="555">
      <c r="A555" s="17" t="inlineStr">
        <is>
          <t>GRO2065</t>
        </is>
      </c>
      <c r="B555" s="17" t="inlineStr">
        <is>
          <t>BioNova N 27 kloridmentes folyékony nitrogénműtrágya 250 ml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30 napban</t>
        </is>
      </c>
      <c r="G555" s="17" t="inlineStr">
        <is>
          <t>Más főkategória terméke</t>
        </is>
      </c>
    </row>
    <row r="556">
      <c r="A556" s="17" t="inlineStr">
        <is>
          <t>GRO2066</t>
        </is>
      </c>
      <c r="B556" s="17" t="inlineStr">
        <is>
          <t>BioNova P 20 folyékony foszforműtrágya foszforhiányra 250 ml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az elmúlt 30 napban</t>
        </is>
      </c>
      <c r="G556" s="17" t="inlineStr">
        <is>
          <t>Más főkategória terméke</t>
        </is>
      </c>
    </row>
    <row r="557">
      <c r="A557" s="17" t="inlineStr">
        <is>
          <t>GRO2068</t>
        </is>
      </c>
      <c r="B557" s="17" t="inlineStr">
        <is>
          <t>BioNova Ca 15 folyékony kalciumműtrágya kalciumhiányra 250 ml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GRO2069</t>
        </is>
      </c>
      <c r="B558" s="17" t="inlineStr">
        <is>
          <t>BioNova MgO 10 folyékony magnéziumműtrágya magnéziumhiányra 250 ml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30 napban</t>
        </is>
      </c>
      <c r="G558" s="17" t="inlineStr">
        <is>
          <t>Más főkategória terméke</t>
        </is>
      </c>
    </row>
    <row r="559">
      <c r="A559" s="17" t="inlineStr">
        <is>
          <t>GRO2072</t>
        </is>
      </c>
      <c r="B559" s="17" t="inlineStr">
        <is>
          <t>Atami Bloombastic PK 14-15 virágzásserkentő, 5,5 liter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GRO2082</t>
        </is>
      </c>
      <c r="B560" s="17" t="inlineStr">
        <is>
          <t>BioBizz Root-Juice gyökérserkentő 500 ml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az elmúlt 30 napban</t>
        </is>
      </c>
      <c r="G560" s="17" t="inlineStr">
        <is>
          <t>Más főkategória terméke</t>
        </is>
      </c>
    </row>
    <row r="561">
      <c r="A561" s="17" t="inlineStr">
        <is>
          <t>GRO2083</t>
        </is>
      </c>
      <c r="B561" s="17" t="inlineStr">
        <is>
          <t>Plagron Cocos A/B kétkomponensű ásványi alaptáp kókuszhoz 10 liter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GRO2086</t>
        </is>
      </c>
      <c r="B562" s="17" t="inlineStr">
        <is>
          <t>ADWA AD100 digitális zseb pH mérő -2,0–16,0 pH, automatikus kalibrálással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GRO2092</t>
        </is>
      </c>
      <c r="B563" s="17" t="inlineStr">
        <is>
          <t>ADWA AD11 vízálló pH és hőmérséklet mérő cserélhető szondával, 0,1 pH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GRO2093</t>
        </is>
      </c>
      <c r="B564" s="17" t="inlineStr">
        <is>
          <t>ADWA AD101 digitális zseb pH mérő 0,01 pH felbontással, automatikus kalibrálással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az elmúlt 30 napban</t>
        </is>
      </c>
      <c r="G564" s="17" t="inlineStr">
        <is>
          <t>Más főkategória terméke</t>
        </is>
      </c>
    </row>
    <row r="565">
      <c r="A565" s="17" t="inlineStr">
        <is>
          <t>GRO2094</t>
        </is>
      </c>
      <c r="B565" s="17" t="inlineStr">
        <is>
          <t>Can Filters Silencer CFS07 ventilátor hangtompító 250 mm, 45 cm, ásványgyapot szigeteléssel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az elmúlt 30 napban</t>
        </is>
      </c>
      <c r="G565" s="17" t="inlineStr">
        <is>
          <t>Más főkategória terméke</t>
        </is>
      </c>
    </row>
    <row r="566">
      <c r="A566" s="17" t="inlineStr">
        <is>
          <t>GRO2095</t>
        </is>
      </c>
      <c r="B566" s="17" t="inlineStr">
        <is>
          <t>Milwaukee EC kalibráló folyadék 12880 μS/cm, 230 ml, EC és TDS mérőkhöz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az elmúlt 30 napban</t>
        </is>
      </c>
      <c r="G566" s="17" t="inlineStr">
        <is>
          <t>Más főkategória terméke</t>
        </is>
      </c>
    </row>
    <row r="567">
      <c r="A567" s="17" t="inlineStr">
        <is>
          <t>GRO2096</t>
        </is>
      </c>
      <c r="B567" s="17" t="inlineStr">
        <is>
          <t>Milwaukee EC kalibráló folyadék 1413 μS/cm, 230 ml, EC és TDS mérőkhöz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30 napban</t>
        </is>
      </c>
      <c r="G567" s="17" t="inlineStr">
        <is>
          <t>Más főkategória terméke</t>
        </is>
      </c>
    </row>
    <row r="568">
      <c r="A568" s="17" t="inlineStr">
        <is>
          <t>GRO2097</t>
        </is>
      </c>
      <c r="B568" s="17" t="inlineStr">
        <is>
          <t>Milwaukee elektródatisztító folyadék 230 ml pH és EC mérőkhöz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az elmúlt 30 napban</t>
        </is>
      </c>
      <c r="G568" s="17" t="inlineStr">
        <is>
          <t>Más főkategória terméke</t>
        </is>
      </c>
    </row>
    <row r="569">
      <c r="A569" s="17" t="inlineStr">
        <is>
          <t>GRO2099</t>
        </is>
      </c>
      <c r="B569" s="17" t="inlineStr">
        <is>
          <t>Kerek műanyag virágcserép 3 liter, 16 x 16 cm, fekete, újrahasznosított PE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az elmúlt 30 napban</t>
        </is>
      </c>
      <c r="G569" s="17" t="inlineStr">
        <is>
          <t>Más főkategória terméke</t>
        </is>
      </c>
    </row>
    <row r="570">
      <c r="A570" s="17" t="inlineStr">
        <is>
          <t>GRO2100</t>
        </is>
      </c>
      <c r="B570" s="17" t="inlineStr">
        <is>
          <t>Kerek műanyag virágcserép 5 liter, 20 x 20 cm, fekete, újrahasznosított PE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az elmúlt 30 napban</t>
        </is>
      </c>
      <c r="G570" s="17" t="inlineStr">
        <is>
          <t>Más főkategória terméke</t>
        </is>
      </c>
    </row>
    <row r="571">
      <c r="A571" s="17" t="inlineStr">
        <is>
          <t>GRO2101</t>
        </is>
      </c>
      <c r="B571" s="17" t="inlineStr">
        <is>
          <t>Kerek műanyag virágcserép 7 liter, 22 x 22 cm, fekete, újrahasznosított PE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GRO2102</t>
        </is>
      </c>
      <c r="B572" s="17" t="inlineStr">
        <is>
          <t>Kerek műanyag virágcserép 9,5 liter, 24 x 24 cm, fekete, újrahasznosított PE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GRO2103</t>
        </is>
      </c>
      <c r="B573" s="17" t="inlineStr">
        <is>
          <t>Kerek műanyag virágcserép 12 liter, 26 x 26 cm, fekete, újrahasznosított PE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GRO2104</t>
        </is>
      </c>
      <c r="B574" s="17" t="inlineStr">
        <is>
          <t>Kerek műanyag virágcserép 15 liter, 28 x 28 cm, fekete, újrahasznosított PE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az elmúlt 30 napban</t>
        </is>
      </c>
      <c r="G574" s="17" t="inlineStr">
        <is>
          <t>Más főkategória terméke</t>
        </is>
      </c>
    </row>
    <row r="575">
      <c r="A575" s="17" t="inlineStr">
        <is>
          <t>GRO2106</t>
        </is>
      </c>
      <c r="B575" s="17" t="inlineStr">
        <is>
          <t>Szögletes műanyag virágcserép alátét 20,5 x 20,5 cm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az elmúlt 30 napban</t>
        </is>
      </c>
      <c r="G575" s="17" t="inlineStr">
        <is>
          <t>Más főkategória terméke</t>
        </is>
      </c>
    </row>
    <row r="576">
      <c r="A576" s="17" t="inlineStr">
        <is>
          <t>GRO2107</t>
        </is>
      </c>
      <c r="B576" s="17" t="inlineStr">
        <is>
          <t>Lyukacsos szögletes műanyag cserép 9,6 liter, 20 x 23 x 28 cm, hidropóniához is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az elmúlt 30 napban</t>
        </is>
      </c>
      <c r="G576" s="17" t="inlineStr">
        <is>
          <t>Más főkategória terméke</t>
        </is>
      </c>
    </row>
    <row r="577">
      <c r="A577" s="17" t="inlineStr">
        <is>
          <t>GRO2108</t>
        </is>
      </c>
      <c r="B577" s="17" t="inlineStr">
        <is>
          <t>Lyukacsos kerek virágcserép 5 liter, 23 x 20 cm, spirálgyökér gátló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GRO2109</t>
        </is>
      </c>
      <c r="B578" s="17" t="inlineStr">
        <is>
          <t>Lyukacsos kerek virágcserép 20 liter, 33 x 29 cm, spirálgyökér gátló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az elmúlt 30 napban</t>
        </is>
      </c>
      <c r="G578" s="17" t="inlineStr">
        <is>
          <t>Más főkategória terméke</t>
        </is>
      </c>
    </row>
    <row r="579">
      <c r="A579" s="17" t="inlineStr">
        <is>
          <t>GRO2110</t>
        </is>
      </c>
      <c r="B579" s="17" t="inlineStr">
        <is>
          <t>Lyukacsos kerek virágcserép 25 liter, 37,5 x 32 cm, spirálgyökér gátló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az elmúlt 30 napban</t>
        </is>
      </c>
      <c r="G579" s="17" t="inlineStr">
        <is>
          <t>Más főkategória terméke</t>
        </is>
      </c>
    </row>
    <row r="580">
      <c r="A580" s="17" t="inlineStr">
        <is>
          <t>GRO2111</t>
        </is>
      </c>
      <c r="B580" s="17" t="inlineStr">
        <is>
          <t>Lyukacsos kerek virágcserép 35 liter, 42 x 36 cm, spirálgyökér gátló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az elmúlt 30 napban</t>
        </is>
      </c>
      <c r="G580" s="17" t="inlineStr">
        <is>
          <t>Más főkategória terméke</t>
        </is>
      </c>
    </row>
    <row r="581">
      <c r="A581" s="17" t="inlineStr">
        <is>
          <t>GRO2131</t>
        </is>
      </c>
      <c r="B581" s="17" t="inlineStr">
        <is>
          <t>Vents VK 200 Un csatornaventilátor termosztáttal, sebességszabályzóval és kábellel, 200 mm, 780 m3/h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az elmúlt 30 napban</t>
        </is>
      </c>
      <c r="G581" s="17" t="inlineStr">
        <is>
          <t>Más főkategória terméke</t>
        </is>
      </c>
    </row>
    <row r="582">
      <c r="A582" s="17" t="inlineStr">
        <is>
          <t>GRO2132</t>
        </is>
      </c>
      <c r="B582" s="17" t="inlineStr">
        <is>
          <t>Vents VK Un termosztát + dimmer kapcsoló + kábel 250 Un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GRO2136</t>
        </is>
      </c>
      <c r="B583" s="17" t="inlineStr">
        <is>
          <t>Vents TT PRO 150 kevert áramlású csőventilátor 150 mm, kétsebességes motorral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az elmúlt 30 napban</t>
        </is>
      </c>
      <c r="G583" s="17" t="inlineStr">
        <is>
          <t>Más főkategória terméke</t>
        </is>
      </c>
    </row>
    <row r="584">
      <c r="A584" s="17" t="inlineStr">
        <is>
          <t>GRO2137</t>
        </is>
      </c>
      <c r="B584" s="17" t="inlineStr">
        <is>
          <t>Vents TT Silent-M 200 hangszigetelt csőventilátor 200 mm, két sebesség, 1020 m3/h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GRO2140</t>
        </is>
      </c>
      <c r="B585" s="17" t="inlineStr">
        <is>
          <t>Duct Tape szürke ragasztószalag 50 mm, 10 m, légcsövekhez és javításokhoz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az elmúlt 30 napban</t>
        </is>
      </c>
      <c r="G585" s="17" t="inlineStr">
        <is>
          <t>Más főkategória terméke</t>
        </is>
      </c>
    </row>
    <row r="586">
      <c r="A586" s="17" t="inlineStr">
        <is>
          <t>GRO2141</t>
        </is>
      </c>
      <c r="B586" s="17" t="inlineStr">
        <is>
          <t>Duct Tape PVC ragasztószalag 50 mm, 30 m, légcsövekhez és javításokhoz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GRO2142</t>
        </is>
      </c>
      <c r="B587" s="17" t="inlineStr">
        <is>
          <t>Duct Tape PVC ragasztószalag 50 mm, 10 m, légcsövekhez és javításokhoz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az elmúlt 30 napban</t>
        </is>
      </c>
      <c r="G587" s="17" t="inlineStr">
        <is>
          <t>Más főkategória terméke</t>
        </is>
      </c>
    </row>
    <row r="588">
      <c r="A588" s="17" t="inlineStr">
        <is>
          <t>GRO2144</t>
        </is>
      </c>
      <c r="B588" s="17" t="inlineStr">
        <is>
          <t>Fém keresztidom 150 mm légcsatornák négyirányú összekötéséhez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30 napban</t>
        </is>
      </c>
      <c r="G588" s="17" t="inlineStr">
        <is>
          <t>Más főkategória terméke</t>
        </is>
      </c>
    </row>
    <row r="589">
      <c r="A589" s="17" t="inlineStr">
        <is>
          <t>GRO2153</t>
        </is>
      </c>
      <c r="B589" s="17" t="inlineStr">
        <is>
          <t>Keskeny légtechnikai bilincs 190–210 mm, horganyzott acél, Vents C 200 Zn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az elmúlt 30 napban</t>
        </is>
      </c>
      <c r="G589" s="17" t="inlineStr">
        <is>
          <t>Más főkategória terméke</t>
        </is>
      </c>
    </row>
    <row r="590">
      <c r="A590" s="17" t="inlineStr">
        <is>
          <t>GRO2154</t>
        </is>
      </c>
      <c r="B590" s="17" t="inlineStr">
        <is>
          <t>Keskeny légtechnikai bilincs 240–260 mm, horganyzott acél, Vents C 250 Zn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GRO2155</t>
        </is>
      </c>
      <c r="B591" s="17" t="inlineStr">
        <is>
          <t>Keskeny légtechnikai bilincs 300–330 mm, horganyzott acél, Vents C 315 Zn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az elmúlt 30 napban</t>
        </is>
      </c>
      <c r="G591" s="17" t="inlineStr">
        <is>
          <t>Más főkategória terméke</t>
        </is>
      </c>
    </row>
    <row r="592">
      <c r="A592" s="17" t="inlineStr">
        <is>
          <t>GRO2156</t>
        </is>
      </c>
      <c r="B592" s="17" t="inlineStr">
        <is>
          <t>Csatos széles légtechnikai bilincs 250 mm, rezgéscsillapító, légcsövekhez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az elmúlt 30 napban</t>
        </is>
      </c>
      <c r="G592" s="17" t="inlineStr">
        <is>
          <t>Más főkategória terméke</t>
        </is>
      </c>
    </row>
    <row r="593">
      <c r="A593" s="17" t="inlineStr">
        <is>
          <t>GRO2157</t>
        </is>
      </c>
      <c r="B593" s="17" t="inlineStr">
        <is>
          <t>Csatos széles légtechnikai bilincs 315 mm, rezgéscsillapító, légcsövekhez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30 napban</t>
        </is>
      </c>
      <c r="G593" s="17" t="inlineStr">
        <is>
          <t>Más főkategória terméke</t>
        </is>
      </c>
    </row>
    <row r="594">
      <c r="A594" s="17" t="inlineStr">
        <is>
          <t>GRO2164</t>
        </is>
      </c>
      <c r="B594" s="17" t="inlineStr">
        <is>
          <t>Vents horganyzott fém T idom 100 mm légcsatorna elágaztatásához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GRO2168</t>
        </is>
      </c>
      <c r="B595" s="17" t="inlineStr">
        <is>
          <t>Fém légtechnikai csatlakozó csonk 315 mm légcsatornákhoz és ventilátorokhoz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GRO2174</t>
        </is>
      </c>
      <c r="B596" s="17" t="inlineStr">
        <is>
          <t>ADWA AD31 vízálló EC, TDS és hőmérséklet mérő 0–3999 μS/cm, cserélhető szondával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az elmúlt 30 napban</t>
        </is>
      </c>
      <c r="G596" s="17" t="inlineStr">
        <is>
          <t>Más főkategória terméke</t>
        </is>
      </c>
    </row>
    <row r="597">
      <c r="A597" s="17" t="inlineStr">
        <is>
          <t>GRO2180</t>
        </is>
      </c>
      <c r="B597" s="17" t="inlineStr">
        <is>
          <t>Milwaukee Mi56P pH és hőmérséklet csereszonda Martini pH55 és pH56 teszterekhez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GRO2181</t>
        </is>
      </c>
      <c r="B598" s="17" t="inlineStr">
        <is>
          <t>ADWA AD14 vízálló pH, ORP és hőmérséklet mérő cserélhető szondával, 0,01 pH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GRO2182</t>
        </is>
      </c>
      <c r="B599" s="17" t="inlineStr">
        <is>
          <t>Can Filters Can-Lite műanyag szűrővég 100 mm, Can-Lite 150, 300 és 425 szénszűrőhöz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GRO2183</t>
        </is>
      </c>
      <c r="B600" s="17" t="inlineStr">
        <is>
          <t>Vents VK 150 Un csatornaventilátor termosztáttal, sebességszabályzóval és kábellel, 150 mm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30 napban</t>
        </is>
      </c>
      <c r="G600" s="17" t="inlineStr">
        <is>
          <t>Más főkategória terméke</t>
        </is>
      </c>
    </row>
    <row r="601">
      <c r="A601" s="17" t="inlineStr">
        <is>
          <t>GRO2185</t>
        </is>
      </c>
      <c r="B601" s="17" t="inlineStr">
        <is>
          <t>CANNA COGr Buffering Agent pufferoló koncentrátum COGr kókuszlapokhoz 1 liter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GRO2188</t>
        </is>
      </c>
      <c r="B602" s="17" t="inlineStr">
        <is>
          <t>CANNA COGr Vega A/B kétkomponensű növekedési táp kókuszhoz 10 liter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GRO2196</t>
        </is>
      </c>
      <c r="B603" s="17" t="inlineStr">
        <is>
          <t>ADWA AD32 EC, TDS és hőmérséklet mérő 0–20 mS/cm, cserélhető AD32P szondával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az elmúlt 30 napban</t>
        </is>
      </c>
      <c r="G603" s="17" t="inlineStr">
        <is>
          <t>Más főkategória terméke</t>
        </is>
      </c>
    </row>
    <row r="604">
      <c r="A604" s="17" t="inlineStr">
        <is>
          <t>GRO2220</t>
        </is>
      </c>
      <c r="B604" s="17" t="inlineStr">
        <is>
          <t>Can Filters Can-Lite műanyag szűrővég 125 mm, Can-Lite 150, 300 és 425 szénszűrőhöz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az elmúlt 30 napban</t>
        </is>
      </c>
      <c r="G604" s="17" t="inlineStr">
        <is>
          <t>Más főkategória terméke</t>
        </is>
      </c>
    </row>
    <row r="605">
      <c r="A605" s="17" t="inlineStr">
        <is>
          <t>GRO2224</t>
        </is>
      </c>
      <c r="B605" s="17" t="inlineStr">
        <is>
          <t>Kertészeti perlit, duzzasztott steril talajjavító és gyökereztető közeg 10 liter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az elmúlt 30 napban</t>
        </is>
      </c>
      <c r="G605" s="17" t="inlineStr">
        <is>
          <t>Más főkategória terméke</t>
        </is>
      </c>
    </row>
    <row r="606">
      <c r="A606" s="17" t="inlineStr">
        <is>
          <t>GRO2225</t>
        </is>
      </c>
      <c r="B606" s="17" t="inlineStr">
        <is>
          <t>Perlit 50 liter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az elmúlt 30 napban</t>
        </is>
      </c>
      <c r="G606" s="17" t="inlineStr">
        <is>
          <t>Más főkategória terméke</t>
        </is>
      </c>
    </row>
    <row r="607">
      <c r="A607" s="17" t="inlineStr">
        <is>
          <t>GRO2226</t>
        </is>
      </c>
      <c r="B607" s="17" t="inlineStr">
        <is>
          <t>Kertészeti perlit, duzzasztott steril talajjavító és gyökereztető közeg 100 liter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30 napban</t>
        </is>
      </c>
      <c r="G607" s="17" t="inlineStr">
        <is>
          <t>Más főkategória terméke</t>
        </is>
      </c>
    </row>
    <row r="608">
      <c r="A608" s="17" t="inlineStr">
        <is>
          <t>GRO2228</t>
        </is>
      </c>
      <c r="B608" s="17" t="inlineStr">
        <is>
          <t>Dugvillával szerelt kábel 3 x 1 mm², fehér, 2 m, 300/500 V, trafókhoz és lámpákhoz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GRO2229</t>
        </is>
      </c>
      <c r="B609" s="17" t="inlineStr">
        <is>
          <t>Plagron PK 13-14 foszfor-kálium virágzásfokozó, NPK 0-13-14, 5 liter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az elmúlt 30 napban</t>
        </is>
      </c>
      <c r="G609" s="17" t="inlineStr">
        <is>
          <t>Más főkategória terméke</t>
        </is>
      </c>
    </row>
    <row r="610">
      <c r="A610" s="17" t="inlineStr">
        <is>
          <t>GRO2236</t>
        </is>
      </c>
      <c r="B610" s="17" t="inlineStr">
        <is>
          <t>Jiffy tőzegcserép kerek alapú 6 x 5 cm, lebomló palántanevelő cserép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az elmúlt 30 napban</t>
        </is>
      </c>
      <c r="G610" s="17" t="inlineStr">
        <is>
          <t>Más főkategória terméke</t>
        </is>
      </c>
    </row>
    <row r="611">
      <c r="A611" s="17" t="inlineStr">
        <is>
          <t>GRO2237</t>
        </is>
      </c>
      <c r="B611" s="17" t="inlineStr">
        <is>
          <t>Jiffy tőzegcserép kerek alapú 8 x 8 cm, lebomló palántanevelő cserép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az elmúlt 30 napban</t>
        </is>
      </c>
      <c r="G611" s="17" t="inlineStr">
        <is>
          <t>Más főkategória terméke</t>
        </is>
      </c>
    </row>
    <row r="612">
      <c r="A612" s="17" t="inlineStr">
        <is>
          <t>GRO2239</t>
        </is>
      </c>
      <c r="B612" s="17" t="inlineStr">
        <is>
          <t>Jiffy tőzegcserép tálca 6 x 6 x 6 cm, 12 ültetőhelyes lebomló palántanevelő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az elmúlt 30 napban</t>
        </is>
      </c>
      <c r="G612" s="17" t="inlineStr">
        <is>
          <t>Más főkategória terméke</t>
        </is>
      </c>
    </row>
    <row r="613">
      <c r="A613" s="17" t="inlineStr">
        <is>
          <t>GRO2246</t>
        </is>
      </c>
      <c r="B613" s="17" t="inlineStr">
        <is>
          <t>Nutriculture X-Stream aeropóniás propagátor tálca PT300 és PT400 modellhez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GRO2251</t>
        </is>
      </c>
      <c r="B614" s="17" t="inlineStr">
        <is>
          <t>Nutriculture X-Stream Heat Thermoset digitális termosztát fűthető propagátorokhoz, 5–30 °C, 1000 W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az elmúlt 30 napban</t>
        </is>
      </c>
      <c r="G614" s="17" t="inlineStr">
        <is>
          <t>Más főkategória terméke</t>
        </is>
      </c>
    </row>
    <row r="615">
      <c r="A615" s="17" t="inlineStr">
        <is>
          <t>GRO2253</t>
        </is>
      </c>
      <c r="B615" s="17" t="inlineStr">
        <is>
          <t>Canna Flush 5 liter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az elmúlt 30 napban</t>
        </is>
      </c>
      <c r="G615" s="17" t="inlineStr">
        <is>
          <t>Más főkategória terméke</t>
        </is>
      </c>
    </row>
    <row r="616">
      <c r="A616" s="17" t="inlineStr">
        <is>
          <t>GRO2271</t>
        </is>
      </c>
      <c r="B616" s="17" t="inlineStr">
        <is>
          <t>Sylvania SHP-T GroXpress HPS nátriumlámpa izzó 250 W, E40, 2000 K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az elmúlt 30 napban</t>
        </is>
      </c>
      <c r="G616" s="17" t="inlineStr">
        <is>
          <t>Más főkategória terméke</t>
        </is>
      </c>
    </row>
    <row r="617">
      <c r="A617" s="17" t="inlineStr">
        <is>
          <t>GRO2274</t>
        </is>
      </c>
      <c r="B617" s="17" t="inlineStr">
        <is>
          <t>ADWA AD11P pH csereszonda ADWA AD11 és AD12 pH mérőkhöz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az elmúlt 30 napban</t>
        </is>
      </c>
      <c r="G617" s="17" t="inlineStr">
        <is>
          <t>Más főkategória terméke</t>
        </is>
      </c>
    </row>
    <row r="618">
      <c r="A618" s="17" t="inlineStr">
        <is>
          <t>GRO2308</t>
        </is>
      </c>
      <c r="B618" s="17" t="inlineStr">
        <is>
          <t>Plagron PK 13-14 foszfor-kálium virágzásfokozó, NPK 0-13-14, 250 ml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GRO2309</t>
        </is>
      </c>
      <c r="B619" s="17" t="inlineStr">
        <is>
          <t>Plagron PK 13-14 foszfor-kálium virágzásfokozó, NPK 0-13-14, 500 ml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30 napban</t>
        </is>
      </c>
      <c r="G619" s="17" t="inlineStr">
        <is>
          <t>Más főkategória terméke</t>
        </is>
      </c>
    </row>
    <row r="620">
      <c r="A620" s="17" t="inlineStr">
        <is>
          <t>GRO2310</t>
        </is>
      </c>
      <c r="B620" s="17" t="inlineStr">
        <is>
          <t>BioNova Ca 15 folyékony kalciumműtrágya kalciumhiányra 5 liter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az elmúlt 30 napban</t>
        </is>
      </c>
      <c r="G620" s="17" t="inlineStr">
        <is>
          <t>Más főkategória terméke</t>
        </is>
      </c>
    </row>
    <row r="621">
      <c r="A621" s="17" t="inlineStr">
        <is>
          <t>GRO2311</t>
        </is>
      </c>
      <c r="B621" s="17" t="inlineStr">
        <is>
          <t>BioNova Aero Supermix alaptáp aeropóniás rendszerekhez 5 liter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GRO2314</t>
        </is>
      </c>
      <c r="B622" s="17" t="inlineStr">
        <is>
          <t>Vents TT Silent-M 150 hangszigetelt csőventilátor 150 mm, két sebesség, 555 m3/h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az elmúlt 30 napban</t>
        </is>
      </c>
      <c r="G622" s="17" t="inlineStr">
        <is>
          <t>Más főkategória terméke</t>
        </is>
      </c>
    </row>
    <row r="623">
      <c r="A623" s="17" t="inlineStr">
        <is>
          <t>GRO2345</t>
        </is>
      </c>
      <c r="B623" s="17" t="inlineStr">
        <is>
          <t>BioNova P 20 folyékony foszforműtrágya foszforhiányra 5 liter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GRO2346</t>
        </is>
      </c>
      <c r="B624" s="17" t="inlineStr">
        <is>
          <t>BioNova K 20 folyékony káliumműtrágya káliumhiányra 5 liter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30 napban</t>
        </is>
      </c>
      <c r="G624" s="17" t="inlineStr">
        <is>
          <t>Más főkategória terméke</t>
        </is>
      </c>
    </row>
    <row r="625">
      <c r="A625" s="17" t="inlineStr">
        <is>
          <t>GRO2349</t>
        </is>
      </c>
      <c r="B625" s="17" t="inlineStr">
        <is>
          <t>Plagron Euro Pebbles agyaggolyó hidrokultúrához, 8–16 mm, 10 liter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GRO2356</t>
        </is>
      </c>
      <c r="B626" s="17" t="inlineStr">
        <is>
          <t>Görög mintás négyzetes műanyag virágcserép 6 liter, 21 x 19,2 cm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GRO2359</t>
        </is>
      </c>
      <c r="B627" s="17" t="inlineStr">
        <is>
          <t>Görög mintás négyzetes műanyag virágcserép 2 liter, 14 x 14 cm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GRO2360</t>
        </is>
      </c>
      <c r="B628" s="17" t="inlineStr">
        <is>
          <t>Szögletes műanyag cserép 11 liter, 23 x 23 x 26 cm, gyökércsavarodás gátló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GRO2363</t>
        </is>
      </c>
      <c r="B629" s="17" t="inlineStr">
        <is>
          <t>Levegőkompresszor Hailea ACO-388D, 80 l/perc, elektromágneses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30 napban</t>
        </is>
      </c>
      <c r="G629" s="17" t="inlineStr">
        <is>
          <t>Más főkategória terméke</t>
        </is>
      </c>
    </row>
    <row r="630">
      <c r="A630" s="17" t="inlineStr">
        <is>
          <t>GRO2365</t>
        </is>
      </c>
      <c r="B630" s="17" t="inlineStr">
        <is>
          <t>Levegőztető porlasztókő gyűrű 10 cm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GRO2369</t>
        </is>
      </c>
      <c r="B631" s="17" t="inlineStr">
        <is>
          <t>Zöld fényű fejlámpa 8 LED-del munkához a termesztőtérben sötét periódusban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az elmúlt 30 napban</t>
        </is>
      </c>
      <c r="G631" s="17" t="inlineStr">
        <is>
          <t>Más főkategória terméke</t>
        </is>
      </c>
    </row>
    <row r="632">
      <c r="A632" s="17" t="inlineStr">
        <is>
          <t>GRO2371</t>
        </is>
      </c>
      <c r="B632" s="17" t="inlineStr">
        <is>
          <t>BioNova pH- foszforsav alapú pH csökkentő folyadék 5 liter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30 napban</t>
        </is>
      </c>
      <c r="G632" s="17" t="inlineStr">
        <is>
          <t>Más főkategória terméke</t>
        </is>
      </c>
    </row>
    <row r="633">
      <c r="A633" s="17" t="inlineStr">
        <is>
          <t>GRO2382</t>
        </is>
      </c>
      <c r="B633" s="17" t="inlineStr">
        <is>
          <t>Aluflex cső 254mm 3m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GRO2383</t>
        </is>
      </c>
      <c r="B634" s="17" t="inlineStr">
        <is>
          <t>Flexibilis alumínium légcsatorna cső Aluflex 315 mm, 3 m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GRO2390</t>
        </is>
      </c>
      <c r="B635" s="17" t="inlineStr">
        <is>
          <t>Műanyag szűkítő / bővítő cső 120–129 mm légcsatornákhoz, szellőzőrendszerekhez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GRO2391</t>
        </is>
      </c>
      <c r="B636" s="17" t="inlineStr">
        <is>
          <t>Duct Tape szürke ragasztószalag 50 mm, 30 m, légcsövekhez és javításokhoz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az elmúlt 30 napban</t>
        </is>
      </c>
      <c r="G636" s="17" t="inlineStr">
        <is>
          <t>Más főkategória terméke</t>
        </is>
      </c>
    </row>
    <row r="637">
      <c r="A637" s="17" t="inlineStr">
        <is>
          <t>GRO2392</t>
        </is>
      </c>
      <c r="B637" s="17" t="inlineStr">
        <is>
          <t>Vents RT-10 mechanikus hőmérséklet-szabályzó termosztát 10–30 °C, 230 V, 10 A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GRO2422</t>
        </is>
      </c>
      <c r="B638" s="17" t="inlineStr">
        <is>
          <t>Secret Jardin Darkroom DR150 R3.00 termesztősátor 150x150x235 cm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GRO2425</t>
        </is>
      </c>
      <c r="B639" s="17" t="inlineStr">
        <is>
          <t>Secret Jardin Dark Street DS60 R4.00 termesztősátor 60x60x158 cm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GRO2426</t>
        </is>
      </c>
      <c r="B640" s="17" t="inlineStr">
        <is>
          <t>Secret Jardin Dark Street DS90 R4.00 termesztősátor 90x90x178 cm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GRO2427</t>
        </is>
      </c>
      <c r="B641" s="17" t="inlineStr">
        <is>
          <t>Secret Jardin Dark Street DS120 R4.00 termesztősátor 120x120x200 cm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az elmúlt 30 napban</t>
        </is>
      </c>
      <c r="G641" s="17" t="inlineStr">
        <is>
          <t>Más főkategória terméke</t>
        </is>
      </c>
    </row>
    <row r="642">
      <c r="A642" s="17" t="inlineStr">
        <is>
          <t>GRO2435</t>
        </is>
      </c>
      <c r="B642" s="17" t="inlineStr">
        <is>
          <t>Secret Jardin Dark Propagator DP90 R4.00 nevelősátor 90x60x98 cm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GRO2437</t>
        </is>
      </c>
      <c r="B643" s="17" t="inlineStr">
        <is>
          <t>Secret Jardin Hydro Shoot HS40 termesztősátor 40x40x120 cm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az elmúlt 30 napban</t>
        </is>
      </c>
      <c r="G643" s="17" t="inlineStr">
        <is>
          <t>Más főkategória terméke</t>
        </is>
      </c>
    </row>
    <row r="644">
      <c r="A644" s="17" t="inlineStr">
        <is>
          <t>GRO2438</t>
        </is>
      </c>
      <c r="B644" s="17" t="inlineStr">
        <is>
          <t>Secret Jardin Hydro Shoot HS60 termesztősátor 60x60x158 cm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30 napban</t>
        </is>
      </c>
      <c r="G644" s="17" t="inlineStr">
        <is>
          <t>Más főkategória terméke</t>
        </is>
      </c>
    </row>
    <row r="645">
      <c r="A645" s="17" t="inlineStr">
        <is>
          <t>GRO2439</t>
        </is>
      </c>
      <c r="B645" s="17" t="inlineStr">
        <is>
          <t>Secret Jardin Hydro Shoot HS80 termesztősátor 80x80x178 cm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30 napban</t>
        </is>
      </c>
      <c r="G645" s="17" t="inlineStr">
        <is>
          <t>Más főkategória terméke</t>
        </is>
      </c>
    </row>
    <row r="646">
      <c r="A646" s="17" t="inlineStr">
        <is>
          <t>GRO2444</t>
        </is>
      </c>
      <c r="B646" s="17" t="inlineStr">
        <is>
          <t>Secret Jardin WEBIT növénytartó háló (SCROG) 60x60 cm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GRO2445</t>
        </is>
      </c>
      <c r="B647" s="17" t="inlineStr">
        <is>
          <t>Secret Jardin WEBIT növénytartó háló (SCROG) 90x90 cm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az elmúlt 30 napban</t>
        </is>
      </c>
      <c r="G647" s="17" t="inlineStr">
        <is>
          <t>Más főkategória terméke</t>
        </is>
      </c>
    </row>
    <row r="648">
      <c r="A648" s="17" t="inlineStr">
        <is>
          <t>GRO2458</t>
        </is>
      </c>
      <c r="B648" s="17" t="inlineStr">
        <is>
          <t>Secret Jardin Hydro Shoot HS100 termesztősátor 100x100x198 cm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GRO2459</t>
        </is>
      </c>
      <c r="B649" s="17" t="inlineStr">
        <is>
          <t>Secret Jardin Hydro Shoot HS120 termesztősátor 120x120x200 cm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az elmúlt 30 napban</t>
        </is>
      </c>
      <c r="G649" s="17" t="inlineStr">
        <is>
          <t>Más főkategória terméke</t>
        </is>
      </c>
    </row>
    <row r="650">
      <c r="A650" s="17" t="inlineStr">
        <is>
          <t>GRO2466</t>
        </is>
      </c>
      <c r="B650" s="17" t="inlineStr">
        <is>
          <t>Aquatek 3in1 analóg talajteszter pH, nedvesség és fény mérésére, elem nélkül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az elmúlt 30 napban</t>
        </is>
      </c>
      <c r="G650" s="17" t="inlineStr">
        <is>
          <t>Más főkategória terméke</t>
        </is>
      </c>
    </row>
    <row r="651">
      <c r="A651" s="17" t="inlineStr">
        <is>
          <t>GRO2467</t>
        </is>
      </c>
      <c r="B651" s="17" t="inlineStr">
        <is>
          <t>Aquatek 4in1 digitális talajteszter pH, nedvesség, fény és hőmérséklet mérésére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az elmúlt 30 napban</t>
        </is>
      </c>
      <c r="G651" s="17" t="inlineStr">
        <is>
          <t>Más főkategória terméke</t>
        </is>
      </c>
    </row>
    <row r="652">
      <c r="A652" s="17" t="inlineStr">
        <is>
          <t>GRO2471</t>
        </is>
      </c>
      <c r="B652" s="17" t="inlineStr">
        <is>
          <t>Plagron Perlit, RHP minősítésű kertészeti perlit földhöz és hidrokultúrához 10 liter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az elmúlt 30 napban</t>
        </is>
      </c>
      <c r="G652" s="17" t="inlineStr">
        <is>
          <t>Más főkategória terméke</t>
        </is>
      </c>
    </row>
    <row r="653">
      <c r="A653" s="17" t="inlineStr">
        <is>
          <t>GRO2472</t>
        </is>
      </c>
      <c r="B653" s="17" t="inlineStr">
        <is>
          <t>ONA Block szagsemlegesítő tömb Pro illat, 170 g, kis helyekre és légcsatornába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GRO2473</t>
        </is>
      </c>
      <c r="B654" s="17" t="inlineStr">
        <is>
          <t>ONA Block szagsemlegesítő tömb Polar Crystal illat, 170 g, kis helyekre és légcsatornába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az elmúlt 30 napban</t>
        </is>
      </c>
      <c r="G654" s="17" t="inlineStr">
        <is>
          <t>Más főkategória terméke</t>
        </is>
      </c>
    </row>
    <row r="655">
      <c r="A655" s="17" t="inlineStr">
        <is>
          <t>GRO2474</t>
        </is>
      </c>
      <c r="B655" s="17" t="inlineStr">
        <is>
          <t>ONA Block szagsemlegesítő tömb Fresh Linen illat, 170 g, kis helyekre és légcsatornába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az elmúlt 30 napban</t>
        </is>
      </c>
      <c r="G655" s="17" t="inlineStr">
        <is>
          <t>Más főkategória terméke</t>
        </is>
      </c>
    </row>
    <row r="656">
      <c r="A656" s="17" t="inlineStr">
        <is>
          <t>GRO2475</t>
        </is>
      </c>
      <c r="B656" s="17" t="inlineStr">
        <is>
          <t>ONA Gel szagsemlegesítő zselé Pro illat, 500 ml (400 g)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az elmúlt 30 napban</t>
        </is>
      </c>
      <c r="G656" s="17" t="inlineStr">
        <is>
          <t>Más főkategória terméke</t>
        </is>
      </c>
    </row>
    <row r="657">
      <c r="A657" s="17" t="inlineStr">
        <is>
          <t>GRO2476</t>
        </is>
      </c>
      <c r="B657" s="17" t="inlineStr">
        <is>
          <t>ONA Gel szagsemlegesítő zselé (Pro) 1 liter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az elmúlt 30 napban</t>
        </is>
      </c>
      <c r="G657" s="17" t="inlineStr">
        <is>
          <t>Más főkategória terméke</t>
        </is>
      </c>
    </row>
    <row r="658">
      <c r="A658" s="17" t="inlineStr">
        <is>
          <t>GRO2477</t>
        </is>
      </c>
      <c r="B658" s="17" t="inlineStr">
        <is>
          <t>ONA Gel szagsemlegesítő zselé (Pro) 4 liter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az elmúlt 30 napban</t>
        </is>
      </c>
      <c r="G658" s="17" t="inlineStr">
        <is>
          <t>Más főkategória terméke</t>
        </is>
      </c>
    </row>
    <row r="659">
      <c r="A659" s="17" t="inlineStr">
        <is>
          <t>GRO2478</t>
        </is>
      </c>
      <c r="B659" s="17" t="inlineStr">
        <is>
          <t>ONA Gel szagsemlegesítő zselé Polar Crystal illat, 500 ml (400 g)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30 napban</t>
        </is>
      </c>
      <c r="G659" s="17" t="inlineStr">
        <is>
          <t>Más főkategória terméke</t>
        </is>
      </c>
    </row>
    <row r="660">
      <c r="A660" s="17" t="inlineStr">
        <is>
          <t>GRO2479</t>
        </is>
      </c>
      <c r="B660" s="17" t="inlineStr">
        <is>
          <t>ONA Gel szagsemlegesítő zselé Polar Crystal illat, 1 liter (732 g)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GRO2480</t>
        </is>
      </c>
      <c r="B661" s="17" t="inlineStr">
        <is>
          <t>ONA Gel szagsemlegesítő zselé (Polar Crystal) 4 liter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GRO2481</t>
        </is>
      </c>
      <c r="B662" s="17" t="inlineStr">
        <is>
          <t>ONA Gel szagsemlegesítő zselé Fresh Linen illat, 500 ml (400 g)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az elmúlt 30 napban</t>
        </is>
      </c>
      <c r="G662" s="17" t="inlineStr">
        <is>
          <t>Más főkategória terméke</t>
        </is>
      </c>
    </row>
    <row r="663">
      <c r="A663" s="17" t="inlineStr">
        <is>
          <t>GRO2483</t>
        </is>
      </c>
      <c r="B663" s="17" t="inlineStr">
        <is>
          <t>ONA Gel szagsemlegesítő zselé Fresh Linen illat, 4 liter (3,8 kg)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30 napban</t>
        </is>
      </c>
      <c r="G663" s="17" t="inlineStr">
        <is>
          <t>Más főkategória terméke</t>
        </is>
      </c>
    </row>
    <row r="664">
      <c r="A664" s="17" t="inlineStr">
        <is>
          <t>GRO2485</t>
        </is>
      </c>
      <c r="B664" s="17" t="inlineStr">
        <is>
          <t>ONA Air Filter beépíthető szagtalanító ONA Block tömbökhöz, 100 mm-es légcsatornába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GRO2486</t>
        </is>
      </c>
      <c r="B665" s="17" t="inlineStr">
        <is>
          <t>ONA Air Filter beépíthető szagtalanító ONA Block tömbökhöz, 125 mm-es légcsatornába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GRO2487</t>
        </is>
      </c>
      <c r="B666" s="17" t="inlineStr">
        <is>
          <t>ONA Air Filter beépíthető szagtalanító ONA Block tömbökhöz, 150 mm-es légcsatornába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GRO2488</t>
        </is>
      </c>
      <c r="B667" s="17" t="inlineStr">
        <is>
          <t>ONA Air Filter beépíthető szagtalanító ONA Block tömbökhöz, 200 mm-es légcsatornába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az elmúlt 30 napban</t>
        </is>
      </c>
      <c r="G667" s="17" t="inlineStr">
        <is>
          <t>Más főkategória terméke</t>
        </is>
      </c>
    </row>
    <row r="668">
      <c r="A668" s="17" t="inlineStr">
        <is>
          <t>GRO2489</t>
        </is>
      </c>
      <c r="B668" s="17" t="inlineStr">
        <is>
          <t>ONA Air Filter beépíthető szagtalanító ONA Block tömbökhöz, 250 mm-es légcsatornába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az elmúlt 30 napban</t>
        </is>
      </c>
      <c r="G668" s="17" t="inlineStr">
        <is>
          <t>Más főkategória terméke</t>
        </is>
      </c>
    </row>
    <row r="669">
      <c r="A669" s="17" t="inlineStr">
        <is>
          <t>GRO2490</t>
        </is>
      </c>
      <c r="B669" s="17" t="inlineStr">
        <is>
          <t>ExHale Original CO2 termelő zsák micéliummal, termesztősátorba, 6 hónapig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az elmúlt 30 napban</t>
        </is>
      </c>
      <c r="G669" s="17" t="inlineStr">
        <is>
          <t>Más főkategória terméke</t>
        </is>
      </c>
    </row>
    <row r="670">
      <c r="A670" s="17" t="inlineStr">
        <is>
          <t>GRO2492</t>
        </is>
      </c>
      <c r="B670" s="17" t="inlineStr">
        <is>
          <t>Szövet edény 1 liter, Smart Pot klón légáteresztő textilcserép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az elmúlt 30 napban</t>
        </is>
      </c>
      <c r="G670" s="17" t="inlineStr">
        <is>
          <t>Más főkategória terméke</t>
        </is>
      </c>
    </row>
    <row r="671">
      <c r="A671" s="17" t="inlineStr">
        <is>
          <t>GRO2494</t>
        </is>
      </c>
      <c r="B671" s="17" t="inlineStr">
        <is>
          <t>Lyukacsos kerek virágcserép 50 liter, 50 x 39 cm, spirálgyökér gátló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az elmúlt 30 napban</t>
        </is>
      </c>
      <c r="G671" s="17" t="inlineStr">
        <is>
          <t>Más főkategória terméke</t>
        </is>
      </c>
    </row>
    <row r="672">
      <c r="A672" s="17" t="inlineStr">
        <is>
          <t>GRO2495</t>
        </is>
      </c>
      <c r="B672" s="17" t="inlineStr">
        <is>
          <t>Lyukacsos kerek virágcserép 70 liter, 55 x 45 cm, spirálgyökér gátló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az elmúlt 30 napban</t>
        </is>
      </c>
      <c r="G672" s="17" t="inlineStr">
        <is>
          <t>Más főkategória terméke</t>
        </is>
      </c>
    </row>
    <row r="673">
      <c r="A673" s="17" t="inlineStr">
        <is>
          <t>GRO2496</t>
        </is>
      </c>
      <c r="B673" s="17" t="inlineStr">
        <is>
          <t>Lyukacsos kerek virágcserép 90 liter, 60 x 46 cm, spirálgyökér gátló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az elmúlt 30 napban</t>
        </is>
      </c>
      <c r="G673" s="17" t="inlineStr">
        <is>
          <t>Más főkategória terméke</t>
        </is>
      </c>
    </row>
    <row r="674">
      <c r="A674" s="17" t="inlineStr">
        <is>
          <t>GRO2497</t>
        </is>
      </c>
      <c r="B674" s="17" t="inlineStr">
        <is>
          <t>Lyukacsos szögletes műanyag cserép 6,5 liter, 20 x 20 x 25,5 cm, hidropóniához is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az elmúlt 30 napban</t>
        </is>
      </c>
      <c r="G674" s="17" t="inlineStr">
        <is>
          <t>Más főkategória terméke</t>
        </is>
      </c>
    </row>
    <row r="675">
      <c r="A675" s="17" t="inlineStr">
        <is>
          <t>GRO2498</t>
        </is>
      </c>
      <c r="B675" s="17" t="inlineStr">
        <is>
          <t>Kerek műanyag virágcserép 18,5 liter, 30 x 30 cm, fekete, újrahasznosított PE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az elmúlt 30 napban</t>
        </is>
      </c>
      <c r="G675" s="17" t="inlineStr">
        <is>
          <t>Más főkategória terméke</t>
        </is>
      </c>
    </row>
    <row r="676">
      <c r="A676" s="17" t="inlineStr">
        <is>
          <t>GRO2499</t>
        </is>
      </c>
      <c r="B676" s="17" t="inlineStr">
        <is>
          <t>Műanyag virágcserép (kerek) 33x33 cm 25 liter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az elmúlt 30 napban</t>
        </is>
      </c>
      <c r="G676" s="17" t="inlineStr">
        <is>
          <t>Más főkategória terméke</t>
        </is>
      </c>
    </row>
    <row r="677">
      <c r="A677" s="17" t="inlineStr">
        <is>
          <t>GRO2500</t>
        </is>
      </c>
      <c r="B677" s="17" t="inlineStr">
        <is>
          <t>Kerek műanyag virágcserép 30 liter, 35 x 37 cm, fekete, újrahasznosított PE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az elmúlt 30 napban</t>
        </is>
      </c>
      <c r="G677" s="17" t="inlineStr">
        <is>
          <t>Más főkategória terméke</t>
        </is>
      </c>
    </row>
    <row r="678">
      <c r="A678" s="17" t="inlineStr">
        <is>
          <t>GRO2501</t>
        </is>
      </c>
      <c r="B678" s="17" t="inlineStr">
        <is>
          <t>Lyukacsos konténer műanyag cserép 43 liter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az elmúlt 30 napban</t>
        </is>
      </c>
      <c r="G678" s="17" t="inlineStr">
        <is>
          <t>Más főkategória terméke</t>
        </is>
      </c>
    </row>
    <row r="679">
      <c r="A679" s="17" t="inlineStr">
        <is>
          <t>GRO2502</t>
        </is>
      </c>
      <c r="B679" s="17" t="inlineStr">
        <is>
          <t>Lyukacsos konténer műanyag cserép 50 liter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az elmúlt 30 napban</t>
        </is>
      </c>
      <c r="G679" s="17" t="inlineStr">
        <is>
          <t>Más főkategória terméke</t>
        </is>
      </c>
    </row>
    <row r="680">
      <c r="A680" s="17" t="inlineStr">
        <is>
          <t>GRO2504</t>
        </is>
      </c>
      <c r="B680" s="17" t="inlineStr">
        <is>
          <t>Lyukacsos konténer műanyag cserép 70 liter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az elmúlt 30 napban</t>
        </is>
      </c>
      <c r="G680" s="17" t="inlineStr">
        <is>
          <t>Más főkategória terméke</t>
        </is>
      </c>
    </row>
    <row r="681">
      <c r="A681" s="17" t="inlineStr">
        <is>
          <t>GRO2505</t>
        </is>
      </c>
      <c r="B681" s="17" t="inlineStr">
        <is>
          <t>Lyukacsos konténer műanyag cserép 80 liter, 60 x 43 cm, fogantyúval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GRO2506</t>
        </is>
      </c>
      <c r="B682" s="17" t="inlineStr">
        <is>
          <t>Lyukacsos konténer műanyag cserép 100 liter, 60 x 51 cm, fogantyúval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GRO2512</t>
        </is>
      </c>
      <c r="B683" s="17" t="inlineStr">
        <is>
          <t>Metrop Enzymes enzimes közegtisztító adalék a gyökérzónához 1 liter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GRO2514</t>
        </is>
      </c>
      <c r="B684" s="17" t="inlineStr">
        <is>
          <t>Milwaukee pH szabályozó szett MC122 szabályozóval, MP810 adagolópumpával és pH szondával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GRO2515</t>
        </is>
      </c>
      <c r="B685" s="17" t="inlineStr">
        <is>
          <t>Milwaukee MP810 perisztaltikus adagoló szivattyú pH szabályozókhoz, 230 V, 6 mm-es csőcsatlakozással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30 napban</t>
        </is>
      </c>
      <c r="G685" s="17" t="inlineStr">
        <is>
          <t>Más főkategória terméke</t>
        </is>
      </c>
    </row>
    <row r="686">
      <c r="A686" s="17" t="inlineStr">
        <is>
          <t>GRO2520</t>
        </is>
      </c>
      <c r="B686" s="17" t="inlineStr">
        <is>
          <t>Sylvania Grolux HPS nátriumlámpa izzó 250 W, E40, virágzáshoz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GRO2571</t>
        </is>
      </c>
      <c r="B687" s="17" t="inlineStr">
        <is>
          <t>Air-Pot klón 50 literes perforált, légáteresztő műanyag edény erős gyökérzethez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GRO2572</t>
        </is>
      </c>
      <c r="B688" s="17" t="inlineStr">
        <is>
          <t>Szövet edény 50 liter, Smart Pot klón légáteresztő textilcserép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30 napban</t>
        </is>
      </c>
      <c r="G688" s="17" t="inlineStr">
        <is>
          <t>Más főkategória terméke</t>
        </is>
      </c>
    </row>
    <row r="689">
      <c r="A689" s="17" t="inlineStr">
        <is>
          <t>GRO2574</t>
        </is>
      </c>
      <c r="B689" s="17" t="inlineStr">
        <is>
          <t>Rovarfogó és jelző lapok kék, ragacsos lapok 10 x 25 cm, 10 db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GRO2575</t>
        </is>
      </c>
      <c r="B690" s="17" t="inlineStr">
        <is>
          <t>Rovarfogó és jelző lapok sárga, ragacsos lapok 10 x 25 cm, 10 db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GRO2576</t>
        </is>
      </c>
      <c r="B691" s="17" t="inlineStr">
        <is>
          <t>Pollenháló 1,2 x 1,5 m, 97% hatásfokú védőháló pollen, por és korom ellen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GRO2584</t>
        </is>
      </c>
      <c r="B692" s="17" t="inlineStr">
        <is>
          <t>Neoprén tartókorong fekete 75 mm aeropóniás rendszerekhez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GRO2585</t>
        </is>
      </c>
      <c r="B693" s="17" t="inlineStr">
        <is>
          <t>Osram T5 827 BLOOM fénycső 54 W, 116 cm, Lightwave LW44–LW48 reflektorhoz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30 napban</t>
        </is>
      </c>
      <c r="G693" s="17" t="inlineStr">
        <is>
          <t>Más főkategória terméke</t>
        </is>
      </c>
    </row>
    <row r="694">
      <c r="A694" s="17" t="inlineStr">
        <is>
          <t>GRO2586</t>
        </is>
      </c>
      <c r="B694" s="17" t="inlineStr">
        <is>
          <t>HOMEbox Ambient Q120 termesztősátor 120x120x200 cm, PAR+ belsővel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30 napban</t>
        </is>
      </c>
      <c r="G694" s="17" t="inlineStr">
        <is>
          <t>Más főkategória terméke</t>
        </is>
      </c>
    </row>
    <row r="695">
      <c r="A695" s="17" t="inlineStr">
        <is>
          <t>GRO2587</t>
        </is>
      </c>
      <c r="B695" s="17" t="inlineStr">
        <is>
          <t>Műanyag csőtoldó és idomkapcsoló beépítőkerettel 100 mm légcsatornához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GRO2588</t>
        </is>
      </c>
      <c r="B696" s="17" t="inlineStr">
        <is>
          <t>Műanyag csőtoldó visszacsapószeleppel és beépítőkerettel 100 mm légcsatornához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GRO2589</t>
        </is>
      </c>
      <c r="B697" s="17" t="inlineStr">
        <is>
          <t>Műanyag csőtoldó és idomkapcsoló beépítőkerettel 125 mm légcsatornához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az elmúlt 30 napban</t>
        </is>
      </c>
      <c r="G697" s="17" t="inlineStr">
        <is>
          <t>Más főkategória terméke</t>
        </is>
      </c>
    </row>
    <row r="698">
      <c r="A698" s="17" t="inlineStr">
        <is>
          <t>GRO2590</t>
        </is>
      </c>
      <c r="B698" s="17" t="inlineStr">
        <is>
          <t>Műanyag csőtoldó visszacsapószeleppel és beépítőkerettel 125 mm légcsatornához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GRO2591</t>
        </is>
      </c>
      <c r="B699" s="17" t="inlineStr">
        <is>
          <t>Műanyag csőtoldó és idomkapcsoló beépítőkerettel 150 mm légcsatornához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GRO2592</t>
        </is>
      </c>
      <c r="B700" s="17" t="inlineStr">
        <is>
          <t>Műanyag csőtoldó visszacsapószeleppel és beépítőkerettel 150 mm légcsatornához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GRO2593</t>
        </is>
      </c>
      <c r="B701" s="17" t="inlineStr">
        <is>
          <t>Műanyag csőtoldó és idomkapcsoló beépítőkerettel 200 mm légcsatornához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30 napban</t>
        </is>
      </c>
      <c r="G701" s="17" t="inlineStr">
        <is>
          <t>Más főkategória terméke</t>
        </is>
      </c>
    </row>
    <row r="702">
      <c r="A702" s="17" t="inlineStr">
        <is>
          <t>GRO2594</t>
        </is>
      </c>
      <c r="B702" s="17" t="inlineStr">
        <is>
          <t>Műanyag csőtoldó visszacsapószeleppel és beépítőkerettel 200 mm légcsatornához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az elmúlt 30 napban</t>
        </is>
      </c>
      <c r="G702" s="17" t="inlineStr">
        <is>
          <t>Más főkategória terméke</t>
        </is>
      </c>
    </row>
    <row r="703">
      <c r="A703" s="17" t="inlineStr">
        <is>
          <t>GRO2595</t>
        </is>
      </c>
      <c r="B703" s="17" t="inlineStr">
        <is>
          <t>Vents TT PRO 100 kevert áramlású csőventilátor 100 mm, kétsebességes motorral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az elmúlt 30 napban</t>
        </is>
      </c>
      <c r="G703" s="17" t="inlineStr">
        <is>
          <t>Más főkategória terméke</t>
        </is>
      </c>
    </row>
    <row r="704">
      <c r="A704" s="17" t="inlineStr">
        <is>
          <t>GRO2596</t>
        </is>
      </c>
      <c r="B704" s="17" t="inlineStr">
        <is>
          <t>Üvegszál erősítésű alumínium ragasztószalag 50 mm, 50 m, légcsatornákhoz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az elmúlt 30 napban</t>
        </is>
      </c>
      <c r="G704" s="17" t="inlineStr">
        <is>
          <t>Más főkategória terméke</t>
        </is>
      </c>
    </row>
    <row r="705">
      <c r="A705" s="17" t="inlineStr">
        <is>
          <t>GRO2597</t>
        </is>
      </c>
      <c r="B705" s="17" t="inlineStr">
        <is>
          <t>Duct Tape PVC ragasztószalag 50 mm, 50 m, légcsövekhez és javításokhoz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az elmúlt 30 napban</t>
        </is>
      </c>
      <c r="G705" s="17" t="inlineStr">
        <is>
          <t>Más főkategória terméke</t>
        </is>
      </c>
    </row>
    <row r="706">
      <c r="A706" s="17" t="inlineStr">
        <is>
          <t>GRO2598</t>
        </is>
      </c>
      <c r="B706" s="17" t="inlineStr">
        <is>
          <t>Bővítő cső 100–150 mm légcsatornához, szellőzőrendszerekhez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az elmúlt 30 napban</t>
        </is>
      </c>
      <c r="G706" s="17" t="inlineStr">
        <is>
          <t>Más főkategória terméke</t>
        </is>
      </c>
    </row>
    <row r="707">
      <c r="A707" s="17" t="inlineStr">
        <is>
          <t>GRO2601</t>
        </is>
      </c>
      <c r="B707" s="17" t="inlineStr">
        <is>
          <t>Keskeny légtechnikai bilincs 90–110 mm, horganyzott acél, Vents C 100 Zn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GRO2602</t>
        </is>
      </c>
      <c r="B708" s="17" t="inlineStr">
        <is>
          <t>Csatos széles légtechnikai bilincs 200 mm, rezgéscsillapító, légcsövekhez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az elmúlt 30 napban</t>
        </is>
      </c>
      <c r="G708" s="17" t="inlineStr">
        <is>
          <t>Más főkategória terméke</t>
        </is>
      </c>
    </row>
    <row r="709">
      <c r="A709" s="17" t="inlineStr">
        <is>
          <t>GRO2603</t>
        </is>
      </c>
      <c r="B709" s="17" t="inlineStr">
        <is>
          <t>Falhoz rögzíthető csatos légtechnikai bilincs 315 mm, galvanizált acél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az elmúlt 30 napban</t>
        </is>
      </c>
      <c r="G709" s="17" t="inlineStr">
        <is>
          <t>Más főkategória terméke</t>
        </is>
      </c>
    </row>
    <row r="710">
      <c r="A710" s="17" t="inlineStr">
        <is>
          <t>GRO2609</t>
        </is>
      </c>
      <c r="B710" s="17" t="inlineStr">
        <is>
          <t>Hesi Pro-Line Root 500 ml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GRO2624</t>
        </is>
      </c>
      <c r="B711" s="17" t="inlineStr">
        <is>
          <t>Hailea HC-1000A vízhűtő (chiller) titán hőcserélővel, 1 HP, 300–2000 literes víztérfogathoz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30 napban</t>
        </is>
      </c>
      <c r="G711" s="17" t="inlineStr">
        <is>
          <t>Más főkategória terméke</t>
        </is>
      </c>
    </row>
    <row r="712">
      <c r="A712" s="17" t="inlineStr">
        <is>
          <t>GRO2625</t>
        </is>
      </c>
      <c r="B712" s="17" t="inlineStr">
        <is>
          <t>Levegőelosztó fém 4 kimenettel, szabályozószelepekkel, 6x4 mm-es csőhöz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az elmúlt 30 napban</t>
        </is>
      </c>
      <c r="G712" s="17" t="inlineStr">
        <is>
          <t>Más főkategória terméke</t>
        </is>
      </c>
    </row>
    <row r="713">
      <c r="A713" s="17" t="inlineStr">
        <is>
          <t>GRO2628</t>
        </is>
      </c>
      <c r="B713" s="17" t="inlineStr">
        <is>
          <t>Levegőelosztó műanyag 10 kimenettel, 8 mm bemenet, 5 mm kimenetek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az elmúlt 30 napban</t>
        </is>
      </c>
      <c r="G713" s="17" t="inlineStr">
        <is>
          <t>Más főkategória terméke</t>
        </is>
      </c>
    </row>
    <row r="714">
      <c r="A714" s="17" t="inlineStr">
        <is>
          <t>GRO2630</t>
        </is>
      </c>
      <c r="B714" s="17" t="inlineStr">
        <is>
          <t>Fonatos PVC cső 8 mm, áttetsző, hidropóniához és akváriumhoz, méterre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GRO2631</t>
        </is>
      </c>
      <c r="B715" s="17" t="inlineStr">
        <is>
          <t>Levegőztető porlasztókő henger 25 mm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az elmúlt 30 napban</t>
        </is>
      </c>
      <c r="G715" s="17" t="inlineStr">
        <is>
          <t>Más főkategória terméke</t>
        </is>
      </c>
    </row>
    <row r="716">
      <c r="A716" s="17" t="inlineStr">
        <is>
          <t>GRO2636</t>
        </is>
      </c>
      <c r="B716" s="17" t="inlineStr">
        <is>
          <t>Milwaukee pH kalibráló folyadék pH 10,01, 230 ml, pH mérőkhöz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az elmúlt 30 napban</t>
        </is>
      </c>
      <c r="G716" s="17" t="inlineStr">
        <is>
          <t>Más főkategória terméke</t>
        </is>
      </c>
    </row>
    <row r="717">
      <c r="A717" s="17" t="inlineStr">
        <is>
          <t>GRO2637</t>
        </is>
      </c>
      <c r="B717" s="17" t="inlineStr">
        <is>
          <t>Összecsukható víztartály Neptune Hydroponics FlexiTank klón 500 liter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GRO2638</t>
        </is>
      </c>
      <c r="B718" s="17" t="inlineStr">
        <is>
          <t>Összecsukható víztartály Neptune Hydroponics FlexiTank klón 1000 liter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GRO2651</t>
        </is>
      </c>
      <c r="B719" s="17" t="inlineStr">
        <is>
          <t>BioNova MgO 10 folyékony magnéziumműtrágya magnéziumhiányra 5 liter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az elmúlt 30 napban</t>
        </is>
      </c>
      <c r="G719" s="17" t="inlineStr">
        <is>
          <t>Más főkategória terméke</t>
        </is>
      </c>
    </row>
    <row r="720">
      <c r="A720" s="17" t="inlineStr">
        <is>
          <t>GRO2653</t>
        </is>
      </c>
      <c r="B720" s="17" t="inlineStr">
        <is>
          <t>ONA Air Filter beépíthető szagtalanító ONA Block tömbökhöz, 315 mm-es légcsatornába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az elmúlt 30 napban</t>
        </is>
      </c>
      <c r="G720" s="17" t="inlineStr">
        <is>
          <t>Más főkategória terméke</t>
        </is>
      </c>
    </row>
    <row r="721">
      <c r="A721" s="17" t="inlineStr">
        <is>
          <t>GRO2697</t>
        </is>
      </c>
      <c r="B721" s="17" t="inlineStr">
        <is>
          <t>HOMEbox Ambient Q30 termesztősátor 30x30x60 cm, PAR+ belsővel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az elmúlt 30 napban</t>
        </is>
      </c>
      <c r="G721" s="17" t="inlineStr">
        <is>
          <t>Más főkategória terméke</t>
        </is>
      </c>
    </row>
    <row r="722">
      <c r="A722" s="17" t="inlineStr">
        <is>
          <t>GRO2699</t>
        </is>
      </c>
      <c r="B722" s="17" t="inlineStr">
        <is>
          <t>HOMEbox Ambient R80S termesztősátor 80x60x70 cm, PAR+ belsővel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az elmúlt 30 napban</t>
        </is>
      </c>
      <c r="G722" s="17" t="inlineStr">
        <is>
          <t>Más főkategória terméke</t>
        </is>
      </c>
    </row>
    <row r="723">
      <c r="A723" s="17" t="inlineStr">
        <is>
          <t>GRO2701</t>
        </is>
      </c>
      <c r="B723" s="17" t="inlineStr">
        <is>
          <t>Homebox Ambient Növény sátor Q100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GRO2702</t>
        </is>
      </c>
      <c r="B724" s="17" t="inlineStr">
        <is>
          <t>HOMEbox Ambient R120 termesztősátor 120x90x180 cm, PAR+ belsővel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GRO2703</t>
        </is>
      </c>
      <c r="B725" s="17" t="inlineStr">
        <is>
          <t>HOMEbox Ambient R240 termesztősátor 240x120x200 cm, PAR+ belsővel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az elmúlt 30 napban</t>
        </is>
      </c>
      <c r="G725" s="17" t="inlineStr">
        <is>
          <t>Más főkategória terméke</t>
        </is>
      </c>
    </row>
    <row r="726">
      <c r="A726" s="17" t="inlineStr">
        <is>
          <t>GRO2707</t>
        </is>
      </c>
      <c r="B726" s="17" t="inlineStr">
        <is>
          <t>Eazy Plug CT24 magvető és dugványozó kocka tálcában, 24 darab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30 napban</t>
        </is>
      </c>
      <c r="G726" s="17" t="inlineStr">
        <is>
          <t>Más főkategória terméke</t>
        </is>
      </c>
    </row>
    <row r="727">
      <c r="A727" s="17" t="inlineStr">
        <is>
          <t>GRO2708</t>
        </is>
      </c>
      <c r="B727" s="17" t="inlineStr">
        <is>
          <t>Eazy Plug CT77 magvető és dugványozó kocka tálcában, 77 darab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30 napban</t>
        </is>
      </c>
      <c r="G727" s="17" t="inlineStr">
        <is>
          <t>Más főkategória terméke</t>
        </is>
      </c>
    </row>
    <row r="728">
      <c r="A728" s="17" t="inlineStr">
        <is>
          <t>GRO2709</t>
        </is>
      </c>
      <c r="B728" s="17" t="inlineStr">
        <is>
          <t>Eazy Plug CT150 magvető és dugványozó kocka tálcában, 150 darab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az elmúlt 30 napban</t>
        </is>
      </c>
      <c r="G728" s="17" t="inlineStr">
        <is>
          <t>Más főkategória terméke</t>
        </is>
      </c>
    </row>
    <row r="729">
      <c r="A729" s="17" t="inlineStr">
        <is>
          <t>GRO2710</t>
        </is>
      </c>
      <c r="B729" s="17" t="inlineStr">
        <is>
          <t>Eazy Plug kókuszrost magvető kocka 3,5 x 3,5 x 3 cm, 50 darabos csomag, tálca nélkül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GRO2711</t>
        </is>
      </c>
      <c r="B730" s="17" t="inlineStr">
        <is>
          <t>Eazy Plug kókuszrost magvető kocka 3,5 x 3,5 x 3 cm, 100 darabos csomag, tálca nélkül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GRO2712</t>
        </is>
      </c>
      <c r="B731" s="17" t="inlineStr">
        <is>
          <t>Eazy Block nevelőkocka 7,5 x 7,5 x 6 cm Eazy Plug palánták átültetéséhez, 1 darab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GRO2734</t>
        </is>
      </c>
      <c r="B732" s="17" t="inlineStr">
        <is>
          <t>Secret Jardin Dark Propagator DP60 R4.00 nevelősátor 60x40x60 cm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GRO2736</t>
        </is>
      </c>
      <c r="B733" s="17" t="inlineStr">
        <is>
          <t>Can Filters Silencer CFS08 ventilátor hangtompító 200 mm, 50 cm, ásványgyapot szigeteléssel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GRO2740</t>
        </is>
      </c>
      <c r="B734" s="17" t="inlineStr">
        <is>
          <t>Levegőkompresszor Hailea ACO-009E, 140 l/perc, elektromágneses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30 napban</t>
        </is>
      </c>
      <c r="G734" s="17" t="inlineStr">
        <is>
          <t>Más főkategória terméke</t>
        </is>
      </c>
    </row>
    <row r="735">
      <c r="A735" s="17" t="inlineStr">
        <is>
          <t>GRO2752</t>
        </is>
      </c>
      <c r="B735" s="17" t="inlineStr">
        <is>
          <t>Vents TT PRO 200 kevert áramlású csőventilátor 200 mm, kétsebességes, 830/1040 m3/h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az elmúlt 30 napban</t>
        </is>
      </c>
      <c r="G735" s="17" t="inlineStr">
        <is>
          <t>Más főkategória terméke</t>
        </is>
      </c>
    </row>
    <row r="736">
      <c r="A736" s="17" t="inlineStr">
        <is>
          <t>GRO2753</t>
        </is>
      </c>
      <c r="B736" s="17" t="inlineStr">
        <is>
          <t>Vents TT PRO 250 kevert áramlású csőventilátor 250 mm, kétsebességes, 1110/1400 m3/h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GRO2754</t>
        </is>
      </c>
      <c r="B737" s="17" t="inlineStr">
        <is>
          <t>Vents TT PRO 315 kevert áramlású csőventilátor 315 mm, kétsebességes, 1570/2050 m3/h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az elmúlt 30 napban</t>
        </is>
      </c>
      <c r="G737" s="17" t="inlineStr">
        <is>
          <t>Más főkategória terméke</t>
        </is>
      </c>
    </row>
    <row r="738">
      <c r="A738" s="17" t="inlineStr">
        <is>
          <t>GRO2756</t>
        </is>
      </c>
      <c r="B738" s="17" t="inlineStr">
        <is>
          <t>Keskeny csatos légtechnikai bilincs 60–165 mm, állítható fém csőbilincs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30 napban</t>
        </is>
      </c>
      <c r="G738" s="17" t="inlineStr">
        <is>
          <t>Más főkategória terméke</t>
        </is>
      </c>
    </row>
    <row r="739">
      <c r="A739" s="17" t="inlineStr">
        <is>
          <t>GRO2757</t>
        </is>
      </c>
      <c r="B739" s="17" t="inlineStr">
        <is>
          <t>Sylvania SHP-TS Super nátriumlámpa izzó 250 W, E40, virágzáshoz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30 napban</t>
        </is>
      </c>
      <c r="G739" s="17" t="inlineStr">
        <is>
          <t>Más főkategória terméke</t>
        </is>
      </c>
    </row>
    <row r="740">
      <c r="A740" s="17" t="inlineStr">
        <is>
          <t>GRO2776</t>
        </is>
      </c>
      <c r="B740" s="17" t="inlineStr">
        <is>
          <t>GrowMax Water pót szénszűrő (kókuszhéj szénblokk) GrowMax Water 3000 rendszerhez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az elmúlt 30 napban</t>
        </is>
      </c>
      <c r="G740" s="17" t="inlineStr">
        <is>
          <t>Más főkategória terméke</t>
        </is>
      </c>
    </row>
    <row r="741">
      <c r="A741" s="17" t="inlineStr">
        <is>
          <t>GRO2777</t>
        </is>
      </c>
      <c r="B741" s="17" t="inlineStr">
        <is>
          <t>GrowMax Water pót fordított ozmózisos membrán 150 GPD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GRO2781</t>
        </is>
      </c>
      <c r="B742" s="17" t="inlineStr">
        <is>
          <t>ONA Card sprayer zsebméretű szagsemlegesítő spray Apple Crumble illat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30 napban</t>
        </is>
      </c>
      <c r="G742" s="17" t="inlineStr">
        <is>
          <t>Más főkategória terméke</t>
        </is>
      </c>
    </row>
    <row r="743">
      <c r="A743" s="17" t="inlineStr">
        <is>
          <t>GRO2785</t>
        </is>
      </c>
      <c r="B743" s="17" t="inlineStr">
        <is>
          <t>ONA Liquid szagsemlegesítő folyadék Fresh Linen illat, 1 liter (922 ml)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GRO2786</t>
        </is>
      </c>
      <c r="B744" s="17" t="inlineStr">
        <is>
          <t>ONA Liquid szagsemlegesítő folyadék Fresh Linen illat, 4 liter (3,27 l)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GRO2794</t>
        </is>
      </c>
      <c r="B745" s="17" t="inlineStr">
        <is>
          <t>Eazy Plug CT12 magvető és dugványozó kocka tálcában, 12 darab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GRO2795</t>
        </is>
      </c>
      <c r="B746" s="17" t="inlineStr">
        <is>
          <t>Eazy Plug CT104C magvető és dugványozó kocka tálcában, 104 darab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az elmúlt 30 napban</t>
        </is>
      </c>
      <c r="G746" s="17" t="inlineStr">
        <is>
          <t>Más főkategória terméke</t>
        </is>
      </c>
    </row>
    <row r="747">
      <c r="A747" s="17" t="inlineStr">
        <is>
          <t>GRO2797</t>
        </is>
      </c>
      <c r="B747" s="17" t="inlineStr">
        <is>
          <t>Vékony falú propagátor 23x18x13 cm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GRO2798</t>
        </is>
      </c>
      <c r="B748" s="17" t="inlineStr">
        <is>
          <t>Vékony falú propagátor 38x24x13,5 cm, fűtés nélküli, csíráztatáshoz és dugványokhoz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GRO2799</t>
        </is>
      </c>
      <c r="B749" s="17" t="inlineStr">
        <is>
          <t>Digitális termosztát és időkapcsoló 0–40 °C, 16 A, fűtéshez, 1 m-es vízálló hőérzékelővel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GRO2802</t>
        </is>
      </c>
      <c r="B750" s="17" t="inlineStr">
        <is>
          <t>ONA Gel szagsemlegesítő zselé (Fresh Linen) 20 liter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az elmúlt 30 napban</t>
        </is>
      </c>
      <c r="G750" s="17" t="inlineStr">
        <is>
          <t>Más főkategória terméke</t>
        </is>
      </c>
    </row>
    <row r="751">
      <c r="A751" s="17" t="inlineStr">
        <is>
          <t>GRO2812</t>
        </is>
      </c>
      <c r="B751" s="17" t="inlineStr">
        <is>
          <t>Advanced Nutrients Overdrive késői virágzásfokozó NPK 1-5-4, 500 ml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az elmúlt 30 napban</t>
        </is>
      </c>
      <c r="G751" s="17" t="inlineStr">
        <is>
          <t>Más főkategória terméke</t>
        </is>
      </c>
    </row>
    <row r="752">
      <c r="A752" s="17" t="inlineStr">
        <is>
          <t>GRO2820</t>
        </is>
      </c>
      <c r="B752" s="17" t="inlineStr">
        <is>
          <t>Fűtött propagátor 3 magas fedelű tálcával, 80,5x41 cm, 50 W, beépített termosztáttal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GRO2821</t>
        </is>
      </c>
      <c r="B753" s="17" t="inlineStr">
        <is>
          <t>Garland Large High Dome magas propagátor szellőzővel, 37,5x23x18 cm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GRO2823</t>
        </is>
      </c>
      <c r="B754" s="17" t="inlineStr">
        <is>
          <t>Garland XL High Dome magas propagátor szellőzővel, 58x40 cm, 22,5 cm magas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az elmúlt 30 napban</t>
        </is>
      </c>
      <c r="G754" s="17" t="inlineStr">
        <is>
          <t>Más főkategória terméke</t>
        </is>
      </c>
    </row>
    <row r="755">
      <c r="A755" s="17" t="inlineStr">
        <is>
          <t>GRO2824</t>
        </is>
      </c>
      <c r="B755" s="17" t="inlineStr">
        <is>
          <t>Garland Small High Dome magas propagátor szellőzővel, 23x17x18 cm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GRO2846</t>
        </is>
      </c>
      <c r="B756" s="17" t="inlineStr">
        <is>
          <t>CANNA COGr Vega A/B kétkomponensű növekedési táp kókuszhoz 5 liter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GRO2847</t>
        </is>
      </c>
      <c r="B757" s="17" t="inlineStr">
        <is>
          <t>CANNA COGr Flores A/B kétkomponensű virágzási táp kókuszhoz 5 liter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GRO2850</t>
        </is>
      </c>
      <c r="B758" s="17" t="inlineStr">
        <is>
          <t>CANNA Aqua Clay Pebbles égetett agyaggolyó hidropóniás termesztéshez 45 liter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GRO2852</t>
        </is>
      </c>
      <c r="B759" s="17" t="inlineStr">
        <is>
          <t>BioNova Micromix kelátos mikroelem-keverék nyomelemhiányra 5 liter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az elmúlt 30 napban</t>
        </is>
      </c>
      <c r="G759" s="17" t="inlineStr">
        <is>
          <t>Más főkategória terméke</t>
        </is>
      </c>
    </row>
    <row r="760">
      <c r="A760" s="17" t="inlineStr">
        <is>
          <t>GRO2861</t>
        </is>
      </c>
      <c r="B760" s="17" t="inlineStr">
        <is>
          <t>Secret Jardin Dark Street DS120W R4.00 termesztősátor 120x60x178 cm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az elmúlt 30 napban</t>
        </is>
      </c>
      <c r="G760" s="17" t="inlineStr">
        <is>
          <t>Más főkategória terméke</t>
        </is>
      </c>
    </row>
    <row r="761">
      <c r="A761" s="17" t="inlineStr">
        <is>
          <t>GRO2866</t>
        </is>
      </c>
      <c r="B761" s="17" t="inlineStr">
        <is>
          <t>Plagron Terra Bloom ásványi virágzási táp földhöz 20 liter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az elmúlt 30 napban</t>
        </is>
      </c>
      <c r="G761" s="17" t="inlineStr">
        <is>
          <t>Más főkategória terméke</t>
        </is>
      </c>
    </row>
    <row r="762">
      <c r="A762" s="17" t="inlineStr">
        <is>
          <t>GRO2877</t>
        </is>
      </c>
      <c r="B762" s="17" t="inlineStr">
        <is>
          <t>Lumatek HPS Dual Spektrum izzó 400 W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30 napban</t>
        </is>
      </c>
      <c r="G762" s="17" t="inlineStr">
        <is>
          <t>Más főkategória terméke</t>
        </is>
      </c>
    </row>
    <row r="763">
      <c r="A763" s="17" t="inlineStr">
        <is>
          <t>GRO2879</t>
        </is>
      </c>
      <c r="B763" s="17" t="inlineStr">
        <is>
          <t>Lumatek HPS Dual Spectrum nátriumlámpa izzó 1000 W, E40, virágzáshoz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30 napban</t>
        </is>
      </c>
      <c r="G763" s="17" t="inlineStr">
        <is>
          <t>Más főkategória terméke</t>
        </is>
      </c>
    </row>
    <row r="764">
      <c r="A764" s="17" t="inlineStr">
        <is>
          <t>GRO2883</t>
        </is>
      </c>
      <c r="B764" s="17" t="inlineStr">
        <is>
          <t>Lumatek MH fémhalogén izzó 1000 W, 4000 K, E40, növekedési szakaszhoz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30 napban</t>
        </is>
      </c>
      <c r="G764" s="17" t="inlineStr">
        <is>
          <t>Más főkategória terméke</t>
        </is>
      </c>
    </row>
    <row r="765">
      <c r="A765" s="17" t="inlineStr">
        <is>
          <t>GRO2884</t>
        </is>
      </c>
      <c r="B765" s="17" t="inlineStr">
        <is>
          <t>Plagron Cocos A/B kétkomponensű ásványi alaptáp kókuszhoz 20 liter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30 napban</t>
        </is>
      </c>
      <c r="G765" s="17" t="inlineStr">
        <is>
          <t>Más főkategória terméke</t>
        </is>
      </c>
    </row>
    <row r="766">
      <c r="A766" s="17" t="inlineStr">
        <is>
          <t>GRO2889</t>
        </is>
      </c>
      <c r="B766" s="17" t="inlineStr">
        <is>
          <t>Alumínium ragasztószalag 50 mm, 50 m, légzáró, UV-álló, légcsatornákhoz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az elmúlt 30 napban</t>
        </is>
      </c>
      <c r="G766" s="17" t="inlineStr">
        <is>
          <t>Más főkategória terméke</t>
        </is>
      </c>
    </row>
    <row r="767">
      <c r="A767" s="17" t="inlineStr">
        <is>
          <t>GRO2890</t>
        </is>
      </c>
      <c r="B767" s="17" t="inlineStr">
        <is>
          <t>Alumínium ragasztószalag 50 mm, 30 m, légzáró, UV-álló, légcsatornákhoz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az elmúlt 30 napban</t>
        </is>
      </c>
      <c r="G767" s="17" t="inlineStr">
        <is>
          <t>Más főkategória terméke</t>
        </is>
      </c>
    </row>
    <row r="768">
      <c r="A768" s="17" t="inlineStr">
        <is>
          <t>GRO2891</t>
        </is>
      </c>
      <c r="B768" s="17" t="inlineStr">
        <is>
          <t>Alumínium ragasztószalag 50 mm, 10 m, légzáró, UV-álló, légcsatornákhoz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30 napban</t>
        </is>
      </c>
      <c r="G768" s="17" t="inlineStr">
        <is>
          <t>Más főkategória terméke</t>
        </is>
      </c>
    </row>
    <row r="769">
      <c r="A769" s="17" t="inlineStr">
        <is>
          <t>GRO2892</t>
        </is>
      </c>
      <c r="B769" s="17" t="inlineStr">
        <is>
          <t>Kókusztégla mosott csomagolt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30 napban</t>
        </is>
      </c>
      <c r="G769" s="17" t="inlineStr">
        <is>
          <t>Más főkategória terméke</t>
        </is>
      </c>
    </row>
    <row r="770">
      <c r="A770" s="17" t="inlineStr">
        <is>
          <t>GRO2895</t>
        </is>
      </c>
      <c r="B770" s="17" t="inlineStr">
        <is>
          <t>Vents VK Q 250 centrifugális csatornaventilátor 250 mm, műanyag házzal, nedves helyiségekbe is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GRO2900</t>
        </is>
      </c>
      <c r="B771" s="17" t="inlineStr">
        <is>
          <t>Palántázócserép 7 x 7 x 6 cm, rugalmas, négyzetes műanyag cserép palántákhoz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az elmúlt 30 napban</t>
        </is>
      </c>
      <c r="G771" s="17" t="inlineStr">
        <is>
          <t>Más főkategória terméke</t>
        </is>
      </c>
    </row>
    <row r="772">
      <c r="A772" s="17" t="inlineStr">
        <is>
          <t>GRO2912</t>
        </is>
      </c>
      <c r="B772" s="17" t="inlineStr">
        <is>
          <t>CANNA Coco Professional Plus pufferelt kókuszrost termesztőközeg 50 liter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GRO2919</t>
        </is>
      </c>
      <c r="B773" s="17" t="inlineStr">
        <is>
          <t>Plagron Alga Bloom algás bio virágzási táp földhöz 10 liter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az elmúlt 30 napban</t>
        </is>
      </c>
      <c r="G773" s="17" t="inlineStr">
        <is>
          <t>Más főkategória terméke</t>
        </is>
      </c>
    </row>
    <row r="774">
      <c r="A774" s="17" t="inlineStr">
        <is>
          <t>GRO2921</t>
        </is>
      </c>
      <c r="B774" s="17" t="inlineStr">
        <is>
          <t>Can Filters Can-Lite 800 aktív szénszűrő acél házzal, 800 m3/h, 200 mm szűrővég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GRO2934</t>
        </is>
      </c>
      <c r="B775" s="17" t="inlineStr">
        <is>
          <t>Aquatek pH 6,86 kalibráló por egy tasak, pH mérők kalibrálásához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GRO2935</t>
        </is>
      </c>
      <c r="B776" s="17" t="inlineStr">
        <is>
          <t>Aquatek digitális TDS és EC mérő 0–9999 ppm, hőmérséklet-kijelzéssel és Hold funkcióval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GRO2938</t>
        </is>
      </c>
      <c r="B777" s="17" t="inlineStr">
        <is>
          <t>Fűthető propagátor 38,5x24x20 cm, szellőzős magas fedéllel, termosztát nélkül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GRO2939</t>
        </is>
      </c>
      <c r="B778" s="17" t="inlineStr">
        <is>
          <t>Önöntöző propagátor 24 cellás, víztartállyal és kapilláris szőnyeggel, 37,5x23x16 cm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GRO2940</t>
        </is>
      </c>
      <c r="B779" s="17" t="inlineStr">
        <is>
          <t>Fűthető propagátor 4 részes, 4 szellőzős egységgel, 40 W, termosztáttal, 59,5x41x20 cm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az elmúlt 30 napban</t>
        </is>
      </c>
      <c r="G779" s="17" t="inlineStr">
        <is>
          <t>Más főkategória terméke</t>
        </is>
      </c>
    </row>
    <row r="780">
      <c r="A780" s="17" t="inlineStr">
        <is>
          <t>GRO2941</t>
        </is>
      </c>
      <c r="B780" s="17" t="inlineStr">
        <is>
          <t>Fűthető propagátor 3 részes, 13 W szénszálas fűtéssel, 38,5x24x17,5 cm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az elmúlt 30 napban</t>
        </is>
      </c>
      <c r="G780" s="17" t="inlineStr">
        <is>
          <t>Más főkategória terméke</t>
        </is>
      </c>
    </row>
    <row r="781">
      <c r="A781" s="17" t="inlineStr">
        <is>
          <t>GRO2943</t>
        </is>
      </c>
      <c r="B781" s="17" t="inlineStr">
        <is>
          <t>Urban Garden fehér konyhakert nagy, 2 x 24 W 6400K LED világítással, 62 x 40 x 47 cm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GRO2948</t>
        </is>
      </c>
      <c r="B782" s="17" t="inlineStr">
        <is>
          <t>Aquatek digitális zseb pH mérő 0,00–14,00 pH, 0,01 pH felbontással, kétpontos kalibrálással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GRO2963</t>
        </is>
      </c>
      <c r="B783" s="17" t="inlineStr">
        <is>
          <t>Aptus Break-Out Powder vízoldható PK virágzásfokozó por NPK 0-35-23, 100 g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GRO2987</t>
        </is>
      </c>
      <c r="B784" s="17" t="inlineStr">
        <is>
          <t>Tálca Jiffy koronghoz 51 db-os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GRO2989</t>
        </is>
      </c>
      <c r="B785" s="17" t="inlineStr">
        <is>
          <t>Can-Fan Max-Fan Pro AC diagonális csőventilátor 315 mm, 3180 m3/h, 3 fokozatú kapcsolóval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GRO2992</t>
        </is>
      </c>
      <c r="B786" s="17" t="inlineStr">
        <is>
          <t>Can-Fan Max-Fan Pro AC diagonális csőventilátor 150 mm, 600 m3/h, 2 fokozatú kapcsolóval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30 napban</t>
        </is>
      </c>
      <c r="G786" s="17" t="inlineStr">
        <is>
          <t>Más főkategória terméke</t>
        </is>
      </c>
    </row>
    <row r="787">
      <c r="A787" s="17" t="inlineStr">
        <is>
          <t>GRO2997</t>
        </is>
      </c>
      <c r="B787" s="17" t="inlineStr">
        <is>
          <t>Agrolite Clase 2 mágneses trafó 400 W HPS és MH izzókhoz, 230 V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az elmúlt 30 napban</t>
        </is>
      </c>
      <c r="G787" s="17" t="inlineStr">
        <is>
          <t>Más főkategória terméke</t>
        </is>
      </c>
    </row>
    <row r="788">
      <c r="A788" s="17" t="inlineStr">
        <is>
          <t>GRO3012</t>
        </is>
      </c>
      <c r="B788" s="17" t="inlineStr">
        <is>
          <t>Advanced Nutrients Bud Factor X virágzási biostimulátor és szárerősítő 5 liter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GRO3020</t>
        </is>
      </c>
      <c r="B789" s="17" t="inlineStr">
        <is>
          <t>Atami Bloombastic PK 14-15 virágzásserkentő, 50 ml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GRO3028</t>
        </is>
      </c>
      <c r="B790" s="17" t="inlineStr">
        <is>
          <t>Flexibilis alumínium légcsatorna cső Aluflex 315 mm, 5 m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az elmúlt 30 napban</t>
        </is>
      </c>
      <c r="G790" s="17" t="inlineStr">
        <is>
          <t>Más főkategória terméke</t>
        </is>
      </c>
    </row>
    <row r="791">
      <c r="A791" s="17" t="inlineStr">
        <is>
          <t>GRO3036</t>
        </is>
      </c>
      <c r="B791" s="17" t="inlineStr">
        <is>
          <t>Advanced Nutrients Bud Candy szénhidrátos biostimulátor magnéziummal 500 ml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30 napban</t>
        </is>
      </c>
      <c r="G791" s="17" t="inlineStr">
        <is>
          <t>Más főkategória terméke</t>
        </is>
      </c>
    </row>
    <row r="792">
      <c r="A792" s="17" t="inlineStr">
        <is>
          <t>GRO3037</t>
        </is>
      </c>
      <c r="B792" s="17" t="inlineStr">
        <is>
          <t>Advanced Nutrients Rhino Skin kálium-szilikát adalék erősebb szárért, 250 ml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GRO3038</t>
        </is>
      </c>
      <c r="B793" s="17" t="inlineStr">
        <is>
          <t>Advanced Nutrients Big Bud Liquid virágzásfokozó PK 0-1-3, 250 ml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GRO3039</t>
        </is>
      </c>
      <c r="B794" s="17" t="inlineStr">
        <is>
          <t>Advanced Nutrients Big Bud Liquid virágzásfokozó PK 0-1-3, 500 ml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GRO3059</t>
        </is>
      </c>
      <c r="B795" s="17" t="inlineStr">
        <is>
          <t>Can Filters Silencer CFS10 ventilátor hangtompító 315 mm, 50 cm, ásványgyapot szigeteléssel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az elmúlt 30 napban</t>
        </is>
      </c>
      <c r="G795" s="17" t="inlineStr">
        <is>
          <t>Más főkategória terméke</t>
        </is>
      </c>
    </row>
    <row r="796">
      <c r="A796" s="17" t="inlineStr">
        <is>
          <t>GRO3103</t>
        </is>
      </c>
      <c r="B796" s="17" t="inlineStr">
        <is>
          <t>Green Force LED sáv 90 cm, 20 x 3 W LED, 34 W, beltéri növényvilágításhoz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az elmúlt 30 napban</t>
        </is>
      </c>
      <c r="G796" s="17" t="inlineStr">
        <is>
          <t>Más főkategória terméke</t>
        </is>
      </c>
    </row>
    <row r="797">
      <c r="A797" s="17" t="inlineStr">
        <is>
          <t>GRO3105</t>
        </is>
      </c>
      <c r="B797" s="17" t="inlineStr">
        <is>
          <t>Vents TT PRO 200 Un csőventilátor termosztáttal, sebességszabályzóval és kábellel, 200 mm, 1040 m3/h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az elmúlt 30 napban</t>
        </is>
      </c>
      <c r="G797" s="17" t="inlineStr">
        <is>
          <t>Más főkategória terméke</t>
        </is>
      </c>
    </row>
    <row r="798">
      <c r="A798" s="17" t="inlineStr">
        <is>
          <t>GRO3106</t>
        </is>
      </c>
      <c r="B798" s="17" t="inlineStr">
        <is>
          <t>Vents TT PRO 250 Un csőventilátor termosztáttal, sebességszabályzóval és kábellel, 250 mm, 1400 m3/h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az elmúlt 30 napban</t>
        </is>
      </c>
      <c r="G798" s="17" t="inlineStr">
        <is>
          <t>Más főkategória terméke</t>
        </is>
      </c>
    </row>
    <row r="799">
      <c r="A799" s="17" t="inlineStr">
        <is>
          <t>GRO3109</t>
        </is>
      </c>
      <c r="B799" s="17" t="inlineStr">
        <is>
          <t>Secret Jardin DF16 csatlakozó sátor kivágáshoz, Ø125 mm, DF16 kerethez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az elmúlt 30 napban</t>
        </is>
      </c>
      <c r="G799" s="17" t="inlineStr">
        <is>
          <t>Más főkategória terméke</t>
        </is>
      </c>
    </row>
    <row r="800">
      <c r="A800" s="17" t="inlineStr">
        <is>
          <t>GRO3110</t>
        </is>
      </c>
      <c r="B800" s="17" t="inlineStr">
        <is>
          <t>Secret Jardin DF16 csatlakozó sátor kivágáshoz, Ø150 mm, DF16 kerethez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az elmúlt 30 napban</t>
        </is>
      </c>
      <c r="G800" s="17" t="inlineStr">
        <is>
          <t>Más főkategória terméke</t>
        </is>
      </c>
    </row>
    <row r="801">
      <c r="A801" s="17" t="inlineStr">
        <is>
          <t>GRO3119</t>
        </is>
      </c>
      <c r="B801" s="17" t="inlineStr">
        <is>
          <t>BioBizz Acti-Vera aloe verás botanikai aktivátor 500 ml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az elmúlt 30 napban</t>
        </is>
      </c>
      <c r="G801" s="17" t="inlineStr">
        <is>
          <t>Más főkategória terméke</t>
        </is>
      </c>
    </row>
    <row r="802">
      <c r="A802" s="17" t="inlineStr">
        <is>
          <t>GRO3120</t>
        </is>
      </c>
      <c r="B802" s="17" t="inlineStr">
        <is>
          <t>BioBizz Acti-Vera aloe verás botanikai aktivátor 1 liter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30 napban</t>
        </is>
      </c>
      <c r="G802" s="17" t="inlineStr">
        <is>
          <t>Más főkategória terméke</t>
        </is>
      </c>
    </row>
    <row r="803">
      <c r="A803" s="17" t="inlineStr">
        <is>
          <t>GRO3123</t>
        </is>
      </c>
      <c r="B803" s="17" t="inlineStr">
        <is>
          <t>Can-Fan RK 125L centrifugális csőventilátor 125 mm, 350 m3/h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az elmúlt 30 napban</t>
        </is>
      </c>
      <c r="G803" s="17" t="inlineStr">
        <is>
          <t>Más főkategória terméke</t>
        </is>
      </c>
    </row>
    <row r="804">
      <c r="A804" s="17" t="inlineStr">
        <is>
          <t>GRO3124</t>
        </is>
      </c>
      <c r="B804" s="17" t="inlineStr">
        <is>
          <t>Secret Jardin kiegészítő víztálca 100x100 cm termesztősátor aljába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az elmúlt 30 napban</t>
        </is>
      </c>
      <c r="G804" s="17" t="inlineStr">
        <is>
          <t>Más főkategória terméke</t>
        </is>
      </c>
    </row>
    <row r="805">
      <c r="A805" s="17" t="inlineStr">
        <is>
          <t>GRO3128</t>
        </is>
      </c>
      <c r="B805" s="17" t="inlineStr">
        <is>
          <t>Can-Fan ISO-Max hangszigetelt csőventilátor 315 mm, 3260 m3/h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GRO3132</t>
        </is>
      </c>
      <c r="B806" s="17" t="inlineStr">
        <is>
          <t>Can Fan csőventilátor RK 125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30 napban</t>
        </is>
      </c>
      <c r="G806" s="17" t="inlineStr">
        <is>
          <t>Más főkategória terméke</t>
        </is>
      </c>
    </row>
    <row r="807">
      <c r="A807" s="17" t="inlineStr">
        <is>
          <t>GRO3133</t>
        </is>
      </c>
      <c r="B807" s="17" t="inlineStr">
        <is>
          <t>Can-Fan RK 150 centrifugális csőventilátor 150 mm, 470 m3/h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GRO3138</t>
        </is>
      </c>
      <c r="B808" s="17" t="inlineStr">
        <is>
          <t>Garland tálca 12 cm magas peremmel, S méret, fröccsöntött polipropilén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GRO3140</t>
        </is>
      </c>
      <c r="B809" s="17" t="inlineStr">
        <is>
          <t>Secret Jardin Hydro Shoot HS150 R2.00 termesztősátor 150x150x200 cm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az elmúlt 30 napban</t>
        </is>
      </c>
      <c r="G809" s="17" t="inlineStr">
        <is>
          <t>Más főkategória terméke</t>
        </is>
      </c>
    </row>
    <row r="810">
      <c r="A810" s="17" t="inlineStr">
        <is>
          <t>GRO3141</t>
        </is>
      </c>
      <c r="B810" s="17" t="inlineStr">
        <is>
          <t>HOMEbox Ambient Q60+ termesztősátor 60x60x160 cm, PAR+ belsővel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az elmúlt 30 napban</t>
        </is>
      </c>
      <c r="G810" s="17" t="inlineStr">
        <is>
          <t>Más főkategória terméke</t>
        </is>
      </c>
    </row>
    <row r="811">
      <c r="A811" s="17" t="inlineStr">
        <is>
          <t>GRO3142</t>
        </is>
      </c>
      <c r="B811" s="17" t="inlineStr">
        <is>
          <t>HOMEbox Ambient Q80+ termesztősátor 80x80x180 cm, PAR+ belsővel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GRO3143</t>
        </is>
      </c>
      <c r="B812" s="17" t="inlineStr">
        <is>
          <t>HOMEbox Ambient Q100+ termesztősátor 100x100x220 cm, PAR+ belsővel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GRO3144</t>
        </is>
      </c>
      <c r="B813" s="17" t="inlineStr">
        <is>
          <t>Homebox Ambient Növény sátor Q120+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GRO3146</t>
        </is>
      </c>
      <c r="B814" s="17" t="inlineStr">
        <is>
          <t>HOMEbox Ambient R240+ termesztősátor 240x120x220 cm, PAR+ belsővel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az elmúlt 30 napban</t>
        </is>
      </c>
      <c r="G814" s="17" t="inlineStr">
        <is>
          <t>Más főkategória terméke</t>
        </is>
      </c>
    </row>
    <row r="815">
      <c r="A815" s="17" t="inlineStr">
        <is>
          <t>GRO3151</t>
        </is>
      </c>
      <c r="B815" s="17" t="inlineStr">
        <is>
          <t>Milwaukee pH51 vízálló pH teszter 0,1 pH felbontással, cserélhető MA73600 elektródával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az elmúlt 30 napban</t>
        </is>
      </c>
      <c r="G815" s="17" t="inlineStr">
        <is>
          <t>Más főkategória terméke</t>
        </is>
      </c>
    </row>
    <row r="816">
      <c r="A816" s="17" t="inlineStr">
        <is>
          <t>GRO3152</t>
        </is>
      </c>
      <c r="B816" s="17" t="inlineStr">
        <is>
          <t>Milwaukee C66 vízálló EC teszter 0–10 mS/cm, hőkompenzációval és cserélhető elektródával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GRO3153</t>
        </is>
      </c>
      <c r="B817" s="17" t="inlineStr">
        <is>
          <t>Horti Gear mágneses trafó 600 W HPS és MH izzókhoz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az elmúlt 30 napban</t>
        </is>
      </c>
      <c r="G817" s="17" t="inlineStr">
        <is>
          <t>Más főkategória terméke</t>
        </is>
      </c>
    </row>
    <row r="818">
      <c r="A818" s="17" t="inlineStr">
        <is>
          <t>GRO3159</t>
        </is>
      </c>
      <c r="B818" s="17" t="inlineStr">
        <is>
          <t>ONA Block szagsemlegesítő tömb Apple Crumble illat, 170 g, kis helyekre és légcsatornába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az elmúlt 30 napban</t>
        </is>
      </c>
      <c r="G818" s="17" t="inlineStr">
        <is>
          <t>Más főkategória terméke</t>
        </is>
      </c>
    </row>
    <row r="819">
      <c r="A819" s="17" t="inlineStr">
        <is>
          <t>GRO3160</t>
        </is>
      </c>
      <c r="B819" s="17" t="inlineStr">
        <is>
          <t>ONA Gel szagsemlegesítő zselé Apple Crumble illat, 1 liter (732 g)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az elmúlt 30 napban</t>
        </is>
      </c>
      <c r="G819" s="17" t="inlineStr">
        <is>
          <t>Más főkategória terméke</t>
        </is>
      </c>
    </row>
    <row r="820">
      <c r="A820" s="17" t="inlineStr">
        <is>
          <t>GRO3161</t>
        </is>
      </c>
      <c r="B820" s="17" t="inlineStr">
        <is>
          <t>ONA Gel szagsemlegesítő zselé Apple Crumble illat, 20 literes vödör (20 kg)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az elmúlt 30 napban</t>
        </is>
      </c>
      <c r="G820" s="17" t="inlineStr">
        <is>
          <t>Más főkategória terméke</t>
        </is>
      </c>
    </row>
    <row r="821">
      <c r="A821" s="17" t="inlineStr">
        <is>
          <t>GRO3162</t>
        </is>
      </c>
      <c r="B821" s="17" t="inlineStr">
        <is>
          <t>ONA Gel szagsemlegesítő zselé Apple Crumble illat, 4 liter (3,8 kg)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GRO3163</t>
        </is>
      </c>
      <c r="B822" s="17" t="inlineStr">
        <is>
          <t>ONA Gel szagsemlegesítő zselé Apple Crumble illat, 500 ml (400 g)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az elmúlt 30 napban</t>
        </is>
      </c>
      <c r="G822" s="17" t="inlineStr">
        <is>
          <t>Más főkategória terméke</t>
        </is>
      </c>
    </row>
    <row r="823">
      <c r="A823" s="17" t="inlineStr">
        <is>
          <t>GRO3168</t>
        </is>
      </c>
      <c r="B823" s="17" t="inlineStr">
        <is>
          <t>ONA Spray Pumpás Szagsemlegesítő ONA Spray Apple Crumble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az elmúlt 30 napban</t>
        </is>
      </c>
      <c r="G823" s="17" t="inlineStr">
        <is>
          <t>Más főkategória terméke</t>
        </is>
      </c>
    </row>
    <row r="824">
      <c r="A824" s="17" t="inlineStr">
        <is>
          <t>GRO3169</t>
        </is>
      </c>
      <c r="B824" s="17" t="inlineStr">
        <is>
          <t>ONA Spray Pumpás Szagsemlegesítő ONA Spray Pro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30 napban</t>
        </is>
      </c>
      <c r="G824" s="17" t="inlineStr">
        <is>
          <t>Más főkategória terméke</t>
        </is>
      </c>
    </row>
    <row r="825">
      <c r="A825" s="17" t="inlineStr">
        <is>
          <t>GRO3171</t>
        </is>
      </c>
      <c r="B825" s="17" t="inlineStr">
        <is>
          <t>Lumatek digitális dimmelhető trafó 1000 W, Super Lumens fokozattal, HPS és MH izzókhoz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az elmúlt 30 napban</t>
        </is>
      </c>
      <c r="G825" s="17" t="inlineStr">
        <is>
          <t>Más főkategória terméke</t>
        </is>
      </c>
    </row>
    <row r="826">
      <c r="A826" s="17" t="inlineStr">
        <is>
          <t>GRO3175</t>
        </is>
      </c>
      <c r="B826" s="17" t="inlineStr">
        <is>
          <t>Lumatek CMH kerámia fémhalogén izzó 630 W, kétvégű (DE)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az elmúlt 30 napban</t>
        </is>
      </c>
      <c r="G826" s="17" t="inlineStr">
        <is>
          <t>Más főkategória terméke</t>
        </is>
      </c>
    </row>
    <row r="827">
      <c r="A827" s="17" t="inlineStr">
        <is>
          <t>GRO3176</t>
        </is>
      </c>
      <c r="B827" s="17" t="inlineStr">
        <is>
          <t>Lumatek dimmelhető CMH trafó 315 W, vezérelhető, E40 adapterrel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az elmúlt 30 napban</t>
        </is>
      </c>
      <c r="G827" s="17" t="inlineStr">
        <is>
          <t>Más főkategória terméke</t>
        </is>
      </c>
    </row>
    <row r="828">
      <c r="A828" s="17" t="inlineStr">
        <is>
          <t>GRO3179</t>
        </is>
      </c>
      <c r="B828" s="17" t="inlineStr">
        <is>
          <t>Lumatek Control Panel (HID) világításvezérlő vezérelhető Lumatek trafókhoz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az elmúlt 30 napban</t>
        </is>
      </c>
      <c r="G828" s="17" t="inlineStr">
        <is>
          <t>Más főkategória terméke</t>
        </is>
      </c>
    </row>
    <row r="829">
      <c r="A829" s="17" t="inlineStr">
        <is>
          <t>GRO3182</t>
        </is>
      </c>
      <c r="B829" s="17" t="inlineStr">
        <is>
          <t>Dimlux Expert CMH Full Spectrum 315 W komplett lámpatest Alpha 98 reflektorral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30 napban</t>
        </is>
      </c>
      <c r="G829" s="17" t="inlineStr">
        <is>
          <t>Más főkategória terméke</t>
        </is>
      </c>
    </row>
    <row r="830">
      <c r="A830" s="17" t="inlineStr">
        <is>
          <t>GRO3184</t>
        </is>
      </c>
      <c r="B830" s="17" t="inlineStr">
        <is>
          <t>GSE hőmérséklet-szabályzó 1 ventilátorhoz, 2 A, 230 V, minimum fordulat beállítással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30 napban</t>
        </is>
      </c>
      <c r="G830" s="17" t="inlineStr">
        <is>
          <t>Más főkategória terméke</t>
        </is>
      </c>
    </row>
    <row r="831">
      <c r="A831" s="17" t="inlineStr">
        <is>
          <t>GRO3189</t>
        </is>
      </c>
      <c r="B831" s="17" t="inlineStr">
        <is>
          <t>Adjust-A-Wings Hellion Defender CMH fényvető szett reflektorral, izzóval és trafóval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az elmúlt 30 napban</t>
        </is>
      </c>
      <c r="G831" s="17" t="inlineStr">
        <is>
          <t>Más főkategória terméke</t>
        </is>
      </c>
    </row>
    <row r="832">
      <c r="A832" s="17" t="inlineStr">
        <is>
          <t>GRO3196</t>
        </is>
      </c>
      <c r="B832" s="17" t="inlineStr">
        <is>
          <t>Secret Jardin Hydro Shoot HS240W R2.00 termesztősátor 238x120x200 cm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30 napban</t>
        </is>
      </c>
      <c r="G832" s="17" t="inlineStr">
        <is>
          <t>Más főkategória terméke</t>
        </is>
      </c>
    </row>
    <row r="833">
      <c r="A833" s="17" t="inlineStr">
        <is>
          <t>GRO3197</t>
        </is>
      </c>
      <c r="B833" s="17" t="inlineStr">
        <is>
          <t>Secret Jardin Hydro Shoot HS300W R2.00 termesztősátor 298x150x200 cm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30 napban</t>
        </is>
      </c>
      <c r="G833" s="17" t="inlineStr">
        <is>
          <t>Más főkategória terméke</t>
        </is>
      </c>
    </row>
    <row r="834">
      <c r="A834" s="17" t="inlineStr">
        <is>
          <t>GRO3209</t>
        </is>
      </c>
      <c r="B834" s="17" t="inlineStr">
        <is>
          <t>Plagron Cocos Brix pufferelt kókusztégla, 6 darabos csomag, összesen kb. 42 liter közeg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GRO3211</t>
        </is>
      </c>
      <c r="B835" s="17" t="inlineStr">
        <is>
          <t>CAN Original aktív szénszűrő CF 2100 m3/h, 250 mm szűrővég, pelletált szénnel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GRO3214</t>
        </is>
      </c>
      <c r="B836" s="17" t="inlineStr">
        <is>
          <t>CAN Original aktív szénszűrő CF 700 m3/h, 150 mm szűrővég, pelletált szénnel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GRO3223</t>
        </is>
      </c>
      <c r="B837" s="17" t="inlineStr">
        <is>
          <t>Urban Garden Plug&amp;Play trafó 400 W HPS és MH izzókhoz, IEC és EU csatlakozóval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GRO3225</t>
        </is>
      </c>
      <c r="B838" s="17" t="inlineStr">
        <is>
          <t>Urban Garden szövetcserép 4 liter, légáteresztő textil termesztőedény (14 x 14 x 20 cm)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GRO3226</t>
        </is>
      </c>
      <c r="B839" s="17" t="inlineStr">
        <is>
          <t>Urban Garden szövetcserép 8 liter, légáteresztő textil termesztőedény (18 x 18 x 25,5 cm)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GRO3228</t>
        </is>
      </c>
      <c r="B840" s="17" t="inlineStr">
        <is>
          <t>Urban Garden szövetcserép 15 liter, légáteresztő textil termesztőedény (23 x 23 x 29,5 cm)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GRO3230</t>
        </is>
      </c>
      <c r="B841" s="17" t="inlineStr">
        <is>
          <t>Urban Garden szövetcserép 39 liter, légáteresztő textil termesztőedény (33 x 33 x 36 cm)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az elmúlt 30 napban</t>
        </is>
      </c>
      <c r="G841" s="17" t="inlineStr">
        <is>
          <t>Más főkategória terméke</t>
        </is>
      </c>
    </row>
    <row r="842">
      <c r="A842" s="17" t="inlineStr">
        <is>
          <t>GRO3232</t>
        </is>
      </c>
      <c r="B842" s="17" t="inlineStr">
        <is>
          <t>Négyzetes műanyag cserép 9 x 9 x 10 cm palántázáshoz és továbbneveléshez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az elmúlt 30 napban</t>
        </is>
      </c>
      <c r="G842" s="17" t="inlineStr">
        <is>
          <t>Más főkategória terméke</t>
        </is>
      </c>
    </row>
    <row r="843">
      <c r="A843" s="17" t="inlineStr">
        <is>
          <t>GRO3234</t>
        </is>
      </c>
      <c r="B843" s="17" t="inlineStr">
        <is>
          <t>Reflektor nagy, 47,5 x 47,5 cm, E40 foglalattal és függesztő tartóval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GRO3246</t>
        </is>
      </c>
      <c r="B844" s="17" t="inlineStr">
        <is>
          <t>BioBizz Coco-Mix kókuszrost termesztőközeg 50 liter, inert, szerves minősítésű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GRO3247</t>
        </is>
      </c>
      <c r="B845" s="17" t="inlineStr">
        <is>
          <t>Can Filters Can-Lite 1000 aktív szénszűrő acél házzal, 1000 m3/h, 200 mm szűrővég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az elmúlt 30 napban</t>
        </is>
      </c>
      <c r="G845" s="17" t="inlineStr">
        <is>
          <t>Más főkategória terméke</t>
        </is>
      </c>
    </row>
    <row r="846">
      <c r="A846" s="17" t="inlineStr">
        <is>
          <t>GRO3248</t>
        </is>
      </c>
      <c r="B846" s="17" t="inlineStr">
        <is>
          <t>Can Filter Can Lite Szénszűrő (acél) 800 m3/h szűrővég: 160 mm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az elmúlt 30 napban</t>
        </is>
      </c>
      <c r="G846" s="17" t="inlineStr">
        <is>
          <t>Más főkategória terméke</t>
        </is>
      </c>
    </row>
    <row r="847">
      <c r="A847" s="17" t="inlineStr">
        <is>
          <t>GRO3249</t>
        </is>
      </c>
      <c r="B847" s="17" t="inlineStr">
        <is>
          <t>Can Filters Can-Lite 600 aktív szénszűrő acél házzal, 600 m3/h, 160 mm szűrővég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GRO3250</t>
        </is>
      </c>
      <c r="B848" s="17" t="inlineStr">
        <is>
          <t>Can-Fan RK 100L centrifugális csőventilátor 100 mm, 270 m3/h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GRO3251</t>
        </is>
      </c>
      <c r="B849" s="17" t="inlineStr">
        <is>
          <t>Can-Fan Max-Fan Pro AC diagonális csőventilátor 160 mm, 615 m3/h, 2 fokozatú kapcsolóval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GRO3253</t>
        </is>
      </c>
      <c r="B850" s="17" t="inlineStr">
        <is>
          <t>Can Fan csőventilátor RK160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GRO3257</t>
        </is>
      </c>
      <c r="B851" s="17" t="inlineStr">
        <is>
          <t>Grodan Grotop Master kőzetgyapot termesztőtábla 1000 x 150 x 100 mm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GRO3261</t>
        </is>
      </c>
      <c r="B852" s="17" t="inlineStr">
        <is>
          <t>Plagron Sugar Royal aminosavas booster az ízért és illatért 5 liter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30 napban</t>
        </is>
      </c>
      <c r="G852" s="17" t="inlineStr">
        <is>
          <t>Más főkategória terméke</t>
        </is>
      </c>
    </row>
    <row r="853">
      <c r="A853" s="17" t="inlineStr">
        <is>
          <t>GRO3262</t>
        </is>
      </c>
      <c r="B853" s="17" t="inlineStr">
        <is>
          <t>Vékony falú műanyag propagátor 57x37x21 cm, fűtés nélküli, csíráztatáshoz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az elmúlt 30 napban</t>
        </is>
      </c>
      <c r="G853" s="17" t="inlineStr">
        <is>
          <t>Más főkategória terméke</t>
        </is>
      </c>
    </row>
    <row r="854">
      <c r="A854" s="17" t="inlineStr">
        <is>
          <t>GRO3268</t>
        </is>
      </c>
      <c r="B854" s="17" t="inlineStr">
        <is>
          <t>GIB Growth Spectrum Advanced fémhalogén (MH) izzó 600 W, 8000 K, E40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GRO3272</t>
        </is>
      </c>
      <c r="B855" s="17" t="inlineStr">
        <is>
          <t>CAN-Fan LCD EC ventilátor vezérlő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GRO3273</t>
        </is>
      </c>
      <c r="B856" s="17" t="inlineStr">
        <is>
          <t>Terra Aquatica pH test kit cseppteszt 60 ml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30 napban</t>
        </is>
      </c>
      <c r="G856" s="17" t="inlineStr">
        <is>
          <t>Más főkategória terméke</t>
        </is>
      </c>
    </row>
    <row r="857">
      <c r="A857" s="17" t="inlineStr">
        <is>
          <t>GRO3275</t>
        </is>
      </c>
      <c r="B857" s="17" t="inlineStr">
        <is>
          <t>Műanyag szűkítő / bővítő cső 150-160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GRO3276</t>
        </is>
      </c>
      <c r="B858" s="17" t="inlineStr">
        <is>
          <t>CAN Original Prémium Szénszűrő CF 350 m3/h, vég: 150 mm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GRO3281</t>
        </is>
      </c>
      <c r="B859" s="17" t="inlineStr">
        <is>
          <t>Bluelab Truncheon tápanyagmérő (EC mérő)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30 napban</t>
        </is>
      </c>
      <c r="G859" s="17" t="inlineStr">
        <is>
          <t>Más főkategória terméke</t>
        </is>
      </c>
    </row>
    <row r="860">
      <c r="A860" s="17" t="inlineStr">
        <is>
          <t>GRO3282</t>
        </is>
      </c>
      <c r="B860" s="17" t="inlineStr">
        <is>
          <t>Bluelab digitális pH mérő készülék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GRO3287</t>
        </is>
      </c>
      <c r="B861" s="17" t="inlineStr">
        <is>
          <t>SANlight LED (Q-széria Gen2) összekötő kábel 1 m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az elmúlt 30 napban</t>
        </is>
      </c>
      <c r="G861" s="17" t="inlineStr">
        <is>
          <t>Más főkategória terméke</t>
        </is>
      </c>
    </row>
    <row r="862">
      <c r="A862" s="17" t="inlineStr">
        <is>
          <t>GRO3290</t>
        </is>
      </c>
      <c r="B862" s="17" t="inlineStr">
        <is>
          <t>SANlight LED (Q-széria Gen2) összekötő kábel 2 m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GRO3294</t>
        </is>
      </c>
      <c r="B863" s="17" t="inlineStr">
        <is>
          <t>Cool Tube + reflektor 125 mm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GRO3295</t>
        </is>
      </c>
      <c r="B864" s="17" t="inlineStr">
        <is>
          <t>Cool Tube + reflektor 150 mm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GRO3296</t>
        </is>
      </c>
      <c r="B865" s="17" t="inlineStr">
        <is>
          <t>Cool Wing reflektor 150 mm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GRO3297</t>
        </is>
      </c>
      <c r="B866" s="17" t="inlineStr">
        <is>
          <t>Cool Wing reflektor 125 mm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GRO3298</t>
        </is>
      </c>
      <c r="B867" s="17" t="inlineStr">
        <is>
          <t>Adjust-A-Wings E40 reflektor foglalat + IEC kábel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GRO3309V</t>
        </is>
      </c>
      <c r="B868" s="17" t="inlineStr">
        <is>
          <t>Adjust-A-Wings Avenger Large + IEC kábel 2,5 m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az elmúlt 30 napban</t>
        </is>
      </c>
      <c r="G868" s="17" t="inlineStr">
        <is>
          <t>Más főkategória terméke</t>
        </is>
      </c>
    </row>
    <row r="869">
      <c r="A869" s="17" t="inlineStr">
        <is>
          <t>GRO3311V</t>
        </is>
      </c>
      <c r="B869" s="17" t="inlineStr">
        <is>
          <t>Adjust-A-Wings Defender Large + IEC kábel 2,5 m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az elmúlt 30 napban</t>
        </is>
      </c>
      <c r="G869" s="17" t="inlineStr">
        <is>
          <t>Más főkategória terméke</t>
        </is>
      </c>
    </row>
    <row r="870">
      <c r="A870" s="17" t="inlineStr">
        <is>
          <t>GRO3312V</t>
        </is>
      </c>
      <c r="B870" s="17" t="inlineStr">
        <is>
          <t>Adjust-A-Wings Defender Medium + IEC kábel 4 m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GRO3315V</t>
        </is>
      </c>
      <c r="B871" s="17" t="inlineStr">
        <is>
          <t>Adjust-A-Wings Enforcer Medium + IEC kábel 4 m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GRO3316V</t>
        </is>
      </c>
      <c r="B872" s="17" t="inlineStr">
        <is>
          <t>Adjust-A-Wings Avenger Large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GRO3317V</t>
        </is>
      </c>
      <c r="B873" s="17" t="inlineStr">
        <is>
          <t>Adjust-A-Wings Avenger Medium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az elmúlt 30 napban</t>
        </is>
      </c>
      <c r="G873" s="17" t="inlineStr">
        <is>
          <t>Más főkategória terméke</t>
        </is>
      </c>
    </row>
    <row r="874">
      <c r="A874" s="17" t="inlineStr">
        <is>
          <t>GRO3318V</t>
        </is>
      </c>
      <c r="B874" s="17" t="inlineStr">
        <is>
          <t>Adjust-a-Wings Defender Large reflektor E40 foglalattal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az elmúlt 30 napban</t>
        </is>
      </c>
      <c r="G874" s="17" t="inlineStr">
        <is>
          <t>Más főkategória terméke</t>
        </is>
      </c>
    </row>
    <row r="875">
      <c r="A875" s="17" t="inlineStr">
        <is>
          <t>GRO3320V</t>
        </is>
      </c>
      <c r="B875" s="17" t="inlineStr">
        <is>
          <t>Adjust-A-Wings Defender Small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GRO3322V</t>
        </is>
      </c>
      <c r="B876" s="17" t="inlineStr">
        <is>
          <t>Adjust-A-Wings Enforcer Medium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30 napban</t>
        </is>
      </c>
      <c r="G876" s="17" t="inlineStr">
        <is>
          <t>Más főkategória terméke</t>
        </is>
      </c>
    </row>
    <row r="877">
      <c r="A877" s="17" t="inlineStr">
        <is>
          <t>GRO3327</t>
        </is>
      </c>
      <c r="B877" s="17" t="inlineStr">
        <is>
          <t>Homebox Ambient Növény sátor Q240+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30 napban</t>
        </is>
      </c>
      <c r="G877" s="17" t="inlineStr">
        <is>
          <t>Más főkategória terméke</t>
        </is>
      </c>
    </row>
    <row r="878">
      <c r="A878" s="17" t="inlineStr">
        <is>
          <t>GRO3329</t>
        </is>
      </c>
      <c r="B878" s="17" t="inlineStr">
        <is>
          <t>Secret Jardin DF16 fényterelő mikro hálóval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GRO3331</t>
        </is>
      </c>
      <c r="B879" s="17" t="inlineStr">
        <is>
          <t>Secret Jardin DF16 cső befogókeret 16mm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GRO3336</t>
        </is>
      </c>
      <c r="B880" s="17" t="inlineStr">
        <is>
          <t>Bluelab EC / ppm mérő, hőmérsékletmérő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GRO3346</t>
        </is>
      </c>
      <c r="B881" s="17" t="inlineStr">
        <is>
          <t>Air-pot cserép 3 liter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GRO3349</t>
        </is>
      </c>
      <c r="B882" s="17" t="inlineStr">
        <is>
          <t>Venti Pot hidro cserép 12 liter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GRO3350</t>
        </is>
      </c>
      <c r="B883" s="17" t="inlineStr">
        <is>
          <t>Venti Pot hidro cserép 25 liter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GRO3353</t>
        </is>
      </c>
      <c r="B884" s="17" t="inlineStr">
        <is>
          <t>Can Filter Can Lite Szénszűrő (acél) 425 m3/h szűrővég: 160 mm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30 napban</t>
        </is>
      </c>
      <c r="G884" s="17" t="inlineStr">
        <is>
          <t>Más főkategória terméke</t>
        </is>
      </c>
    </row>
    <row r="885">
      <c r="A885" s="17" t="inlineStr">
        <is>
          <t>GRO3354</t>
        </is>
      </c>
      <c r="B885" s="17" t="inlineStr">
        <is>
          <t>Can-Fan ISO-Max hangszigetelt csőventilátor 160 mm 430 m3/h (3 sebesség)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az elmúlt 30 napban</t>
        </is>
      </c>
      <c r="G885" s="17" t="inlineStr">
        <is>
          <t>Más főkategória terméke</t>
        </is>
      </c>
    </row>
    <row r="886">
      <c r="A886" s="17" t="inlineStr">
        <is>
          <t>GRO3356</t>
        </is>
      </c>
      <c r="B886" s="17" t="inlineStr">
        <is>
          <t>Can-Fan Satellite 4A sebességszabályzó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az elmúlt 30 napban</t>
        </is>
      </c>
      <c r="G886" s="17" t="inlineStr">
        <is>
          <t>Más főkategória terméke</t>
        </is>
      </c>
    </row>
    <row r="887">
      <c r="A887" s="17" t="inlineStr">
        <is>
          <t>GRO3364</t>
        </is>
      </c>
      <c r="B887" s="17" t="inlineStr">
        <is>
          <t>Horti Gear mágneses trafó 400W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az elmúlt 30 napban</t>
        </is>
      </c>
      <c r="G887" s="17" t="inlineStr">
        <is>
          <t>Más főkategória terméke</t>
        </is>
      </c>
    </row>
    <row r="888">
      <c r="A888" s="17" t="inlineStr">
        <is>
          <t>GRO3366</t>
        </is>
      </c>
      <c r="B888" s="17" t="inlineStr">
        <is>
          <t>Horti Gear mágneses trafó 250W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30 napban</t>
        </is>
      </c>
      <c r="G888" s="17" t="inlineStr">
        <is>
          <t>Más főkategória terméke</t>
        </is>
      </c>
    </row>
    <row r="889">
      <c r="A889" s="17" t="inlineStr">
        <is>
          <t>GRO3373</t>
        </is>
      </c>
      <c r="B889" s="17" t="inlineStr">
        <is>
          <t>Bluelab connect stick 2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az elmúlt 30 napban</t>
        </is>
      </c>
      <c r="G889" s="17" t="inlineStr">
        <is>
          <t>Más főkategória terméke</t>
        </is>
      </c>
    </row>
    <row r="890">
      <c r="A890" s="17" t="inlineStr">
        <is>
          <t>GRO3374</t>
        </is>
      </c>
      <c r="B890" s="17" t="inlineStr">
        <is>
          <t>ADWA AD33 digitális EC mérő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az elmúlt 30 napban</t>
        </is>
      </c>
      <c r="G890" s="17" t="inlineStr">
        <is>
          <t>Más főkategória terméke</t>
        </is>
      </c>
    </row>
    <row r="891">
      <c r="A891" s="17" t="inlineStr">
        <is>
          <t>GRO3376</t>
        </is>
      </c>
      <c r="B891" s="17" t="inlineStr">
        <is>
          <t>GSE hőmérséklet- és minimum sebesség szabályzó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30 napban</t>
        </is>
      </c>
      <c r="G891" s="17" t="inlineStr">
        <is>
          <t>Más főkategória terméke</t>
        </is>
      </c>
    </row>
    <row r="892">
      <c r="A892" s="17" t="inlineStr">
        <is>
          <t>GRO3383</t>
        </is>
      </c>
      <c r="B892" s="17" t="inlineStr">
        <is>
          <t>BioNova The Missing Link (TML) 5 liter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az elmúlt 30 napban</t>
        </is>
      </c>
      <c r="G892" s="17" t="inlineStr">
        <is>
          <t>Más főkategória terméke</t>
        </is>
      </c>
    </row>
    <row r="893">
      <c r="A893" s="17" t="inlineStr">
        <is>
          <t>GRO3389</t>
        </is>
      </c>
      <c r="B893" s="17" t="inlineStr">
        <is>
          <t>Secret Jardin Daisy Reflektor S.J. Daisy Ø80cm CMH-IEC 315W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az elmúlt 30 napban</t>
        </is>
      </c>
      <c r="G893" s="17" t="inlineStr">
        <is>
          <t>Más főkategória terméke</t>
        </is>
      </c>
    </row>
    <row r="894">
      <c r="A894" s="17" t="inlineStr">
        <is>
          <t>GRO3390</t>
        </is>
      </c>
      <c r="B894" s="17" t="inlineStr">
        <is>
          <t>Secret Jardin Cosmorrow LED Blooming 20W 50cm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GRO3392</t>
        </is>
      </c>
      <c r="B895" s="17" t="inlineStr">
        <is>
          <t>Secret Jardin Cosmorrow LED Infrared 20W 50cm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GRO3393</t>
        </is>
      </c>
      <c r="B896" s="17" t="inlineStr">
        <is>
          <t>Secret Jardin Cosmorrow LED Ultraviolet 20W 50cm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az elmúlt 30 napban</t>
        </is>
      </c>
      <c r="G896" s="17" t="inlineStr">
        <is>
          <t>Más főkategória terméke</t>
        </is>
      </c>
    </row>
    <row r="897">
      <c r="A897" s="17" t="inlineStr">
        <is>
          <t>GRO3394</t>
        </is>
      </c>
      <c r="B897" s="17" t="inlineStr">
        <is>
          <t>Secret Jardin Cosmorrow Power tápegység 1x20W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az elmúlt 30 napban</t>
        </is>
      </c>
      <c r="G897" s="17" t="inlineStr">
        <is>
          <t>Más főkategória terméke</t>
        </is>
      </c>
    </row>
    <row r="898">
      <c r="A898" s="17" t="inlineStr">
        <is>
          <t>GRO3395</t>
        </is>
      </c>
      <c r="B898" s="17" t="inlineStr">
        <is>
          <t>Secret Jardin Cosmorrow Power tápegység 2x20W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az elmúlt 30 napban</t>
        </is>
      </c>
      <c r="G898" s="17" t="inlineStr">
        <is>
          <t>Más főkategória terméke</t>
        </is>
      </c>
    </row>
    <row r="899">
      <c r="A899" s="17" t="inlineStr">
        <is>
          <t>GRO3396</t>
        </is>
      </c>
      <c r="B899" s="17" t="inlineStr">
        <is>
          <t>Secret Jardin WEBIT Növénytartó Háló (scrog) S.J.Webit Elastic 120x120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30 napban</t>
        </is>
      </c>
      <c r="G899" s="17" t="inlineStr">
        <is>
          <t>Más főkategória terméke</t>
        </is>
      </c>
    </row>
    <row r="900">
      <c r="A900" s="17" t="inlineStr">
        <is>
          <t>GRO3397</t>
        </is>
      </c>
      <c r="B900" s="17" t="inlineStr">
        <is>
          <t>ONA Block szagsemlegesítő tömb Tropics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az elmúlt 30 napban</t>
        </is>
      </c>
      <c r="G900" s="17" t="inlineStr">
        <is>
          <t>Más főkategória terméke</t>
        </is>
      </c>
    </row>
    <row r="901">
      <c r="A901" s="17" t="inlineStr">
        <is>
          <t>GRO3398</t>
        </is>
      </c>
      <c r="B901" s="17" t="inlineStr">
        <is>
          <t>Secret Jardin Trafó Support 13x36 cm 10 kg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az elmúlt 30 napban</t>
        </is>
      </c>
      <c r="G901" s="17" t="inlineStr">
        <is>
          <t>Más főkategória terméke</t>
        </is>
      </c>
    </row>
    <row r="902">
      <c r="A902" s="17" t="inlineStr">
        <is>
          <t>GRO3399</t>
        </is>
      </c>
      <c r="B902" s="17" t="inlineStr">
        <is>
          <t>ONA Gel szagsemlegesítő zselé (Tropics) 1 liter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GRO3400</t>
        </is>
      </c>
      <c r="B903" s="17" t="inlineStr">
        <is>
          <t>ONA Gel szagsemlegesítő zselé (Tropics) 500 ml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GRO3401</t>
        </is>
      </c>
      <c r="B904" s="17" t="inlineStr">
        <is>
          <t>ONA Gel szagsemlegesítő zselé (Tropics) 4 liter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30 napban</t>
        </is>
      </c>
      <c r="G904" s="17" t="inlineStr">
        <is>
          <t>Más főkategória terméke</t>
        </is>
      </c>
    </row>
    <row r="905">
      <c r="A905" s="17" t="inlineStr">
        <is>
          <t>GRO3402</t>
        </is>
      </c>
      <c r="B905" s="17" t="inlineStr">
        <is>
          <t>ONA Gel szagsemlegesítő zselé (Tropics) 20 liter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30 napban</t>
        </is>
      </c>
      <c r="G905" s="17" t="inlineStr">
        <is>
          <t>Más főkategória terméke</t>
        </is>
      </c>
    </row>
    <row r="906">
      <c r="A906" s="17" t="inlineStr">
        <is>
          <t>GRO3403</t>
        </is>
      </c>
      <c r="B906" s="17" t="inlineStr">
        <is>
          <t>ONA Spray Pumpás Szagsemlegesítő ONA Spray Tropics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GRO3404</t>
        </is>
      </c>
      <c r="B907" s="17" t="inlineStr">
        <is>
          <t>ONA Block szagsemlegesítő tömb Fruit Fusion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30 napban</t>
        </is>
      </c>
      <c r="G907" s="17" t="inlineStr">
        <is>
          <t>Más főkategória terméke</t>
        </is>
      </c>
    </row>
    <row r="908">
      <c r="A908" s="17" t="inlineStr">
        <is>
          <t>GRO3405</t>
        </is>
      </c>
      <c r="B908" s="17" t="inlineStr">
        <is>
          <t>ONA Gel szagsemlegesítő zselé (Fruit Fusion) 1 liter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30 napban</t>
        </is>
      </c>
      <c r="G908" s="17" t="inlineStr">
        <is>
          <t>Más főkategória terméke</t>
        </is>
      </c>
    </row>
    <row r="909">
      <c r="A909" s="17" t="inlineStr">
        <is>
          <t>GRO3406</t>
        </is>
      </c>
      <c r="B909" s="17" t="inlineStr">
        <is>
          <t>ONA Gel szagsemlegesítő zselé (Fruit Fusion) 500 ml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30 napban</t>
        </is>
      </c>
      <c r="G909" s="17" t="inlineStr">
        <is>
          <t>Más főkategória terméke</t>
        </is>
      </c>
    </row>
    <row r="910">
      <c r="A910" s="17" t="inlineStr">
        <is>
          <t>GRO3407</t>
        </is>
      </c>
      <c r="B910" s="17" t="inlineStr">
        <is>
          <t>ONA Gel szagsemlegesítő zselé (Fruit Fusion) 4 liter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30 napban</t>
        </is>
      </c>
      <c r="G910" s="17" t="inlineStr">
        <is>
          <t>Más főkategória terméke</t>
        </is>
      </c>
    </row>
    <row r="911">
      <c r="A911" s="17" t="inlineStr">
        <is>
          <t>GRO3408</t>
        </is>
      </c>
      <c r="B911" s="17" t="inlineStr">
        <is>
          <t>ONA Gel szagsemlegesítő zselé (Fruit Fusion) 20 liter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az elmúlt 30 napban</t>
        </is>
      </c>
      <c r="G911" s="17" t="inlineStr">
        <is>
          <t>Más főkategória terméke</t>
        </is>
      </c>
    </row>
    <row r="912">
      <c r="A912" s="17" t="inlineStr">
        <is>
          <t>GRO3409</t>
        </is>
      </c>
      <c r="B912" s="17" t="inlineStr">
        <is>
          <t>ONA Spray Pumpás Szagsemlegesítő ONA Spray Fruit Fusion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GRO3413</t>
        </is>
      </c>
      <c r="B913" s="17" t="inlineStr">
        <is>
          <t>Can Filters Can-Inline Szénszűrő Can-Inline 300 / 100 mm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GRO3414</t>
        </is>
      </c>
      <c r="B914" s="17" t="inlineStr">
        <is>
          <t>Can Filters Can-Inline Szénszűrő 425 m3/h / 125 mm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30 napban</t>
        </is>
      </c>
      <c r="G914" s="17" t="inlineStr">
        <is>
          <t>Más főkategória terméke</t>
        </is>
      </c>
    </row>
    <row r="915">
      <c r="A915" s="17" t="inlineStr">
        <is>
          <t>GRO3416</t>
        </is>
      </c>
      <c r="B915" s="17" t="inlineStr">
        <is>
          <t>Can Filters Can-Inline Szénszűrő 1000m3/h / 200 mm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GRO3417</t>
        </is>
      </c>
      <c r="B916" s="17" t="inlineStr">
        <is>
          <t>Can Lite Pre filter előszűrő (szénszűrőhöz) 150 m3/h (műanyag házú szűrőhöz)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30 napban</t>
        </is>
      </c>
      <c r="G916" s="17" t="inlineStr">
        <is>
          <t>Más főkategória terméke</t>
        </is>
      </c>
    </row>
    <row r="917">
      <c r="A917" s="17" t="inlineStr">
        <is>
          <t>GRO3418</t>
        </is>
      </c>
      <c r="B917" s="17" t="inlineStr">
        <is>
          <t>Can Lite Pre filter előszűrő (szénszűrőhöz) 300 m3/h (műanyag házú szűrőhöz)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GRO3419</t>
        </is>
      </c>
      <c r="B918" s="17" t="inlineStr">
        <is>
          <t>Can Lite Pre filter előszűrő (szénszűrőhöz) 425 m3/h (műanyag házú szűrőhöz)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GRO3425</t>
        </is>
      </c>
      <c r="B919" s="17" t="inlineStr">
        <is>
          <t>Can Lite Pre filter előszűrő (szénszűrőhöz) 2000 m3/h (acél házú szűrőhöz)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az elmúlt 30 napban</t>
        </is>
      </c>
      <c r="G919" s="17" t="inlineStr">
        <is>
          <t>Más főkategória terméke</t>
        </is>
      </c>
    </row>
    <row r="920">
      <c r="A920" s="17" t="inlineStr">
        <is>
          <t>GRO3432</t>
        </is>
      </c>
      <c r="B920" s="17" t="inlineStr">
        <is>
          <t>Jiffy tőzegcserép 8x8 cm (vízelvez. nyílással)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az elmúlt 30 napban</t>
        </is>
      </c>
      <c r="G920" s="17" t="inlineStr">
        <is>
          <t>Más főkategória terméke</t>
        </is>
      </c>
    </row>
    <row r="921">
      <c r="A921" s="17" t="inlineStr">
        <is>
          <t>GRO3433</t>
        </is>
      </c>
      <c r="B921" s="17" t="inlineStr">
        <is>
          <t>Cornwall Electronics csíptethető oszcilláló ventilátor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GRO3437</t>
        </is>
      </c>
      <c r="B922" s="17" t="inlineStr">
        <is>
          <t>Nutriculture flexibilis tálca 80x80x10 cm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GRO3442</t>
        </is>
      </c>
      <c r="B923" s="17" t="inlineStr">
        <is>
          <t>Secret Jardin WEBIT Növénytartó Háló (scrog) S.J.Webit Elastic 150x150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GRO3449</t>
        </is>
      </c>
      <c r="B924" s="17" t="inlineStr">
        <is>
          <t>Bluelab EC kalibráló folyadék 2.77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az elmúlt 30 napban</t>
        </is>
      </c>
      <c r="G924" s="17" t="inlineStr">
        <is>
          <t>Más főkategória terméke</t>
        </is>
      </c>
    </row>
    <row r="925">
      <c r="A925" s="17" t="inlineStr">
        <is>
          <t>GRO3450</t>
        </is>
      </c>
      <c r="B925" s="17" t="inlineStr">
        <is>
          <t>Bluelab készlet PH (PH kalibráló, tisztító, karbantartó készlet)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az elmúlt 30 napban</t>
        </is>
      </c>
      <c r="G925" s="17" t="inlineStr">
        <is>
          <t>Más főkategória terméke</t>
        </is>
      </c>
    </row>
    <row r="926">
      <c r="A926" s="17" t="inlineStr">
        <is>
          <t>GRO3451</t>
        </is>
      </c>
      <c r="B926" s="17" t="inlineStr">
        <is>
          <t>Bluelab EC karbantartó készlet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GRO3459</t>
        </is>
      </c>
      <c r="B927" s="17" t="inlineStr">
        <is>
          <t>Plagron Hydro A/B 1 liter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az elmúlt 30 napban</t>
        </is>
      </c>
      <c r="G927" s="17" t="inlineStr">
        <is>
          <t>Más főkategória terméke</t>
        </is>
      </c>
    </row>
    <row r="928">
      <c r="A928" s="17" t="inlineStr">
        <is>
          <t>GRO3460</t>
        </is>
      </c>
      <c r="B928" s="17" t="inlineStr">
        <is>
          <t>Plagron Hydro A/B 5 liter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az elmúlt 30 napban</t>
        </is>
      </c>
      <c r="G928" s="17" t="inlineStr">
        <is>
          <t>Más főkategória terméke</t>
        </is>
      </c>
    </row>
    <row r="929">
      <c r="A929" s="17" t="inlineStr">
        <is>
          <t>GRO3462</t>
        </is>
      </c>
      <c r="B929" s="17" t="inlineStr">
        <is>
          <t>Bluelab Pulse Multimedia EC/MC mérő (EC/nedvesség/hőmérséklet)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az elmúlt 30 napban</t>
        </is>
      </c>
      <c r="G929" s="17" t="inlineStr">
        <is>
          <t>Más főkategória terméke</t>
        </is>
      </c>
    </row>
    <row r="930">
      <c r="A930" s="17" t="inlineStr">
        <is>
          <t>GRO3470V</t>
        </is>
      </c>
      <c r="B930" s="17" t="inlineStr">
        <is>
          <t>Adjust-A-Wings Enforcer Small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GRO3471V</t>
        </is>
      </c>
      <c r="B931" s="17" t="inlineStr">
        <is>
          <t>Adjust-A-Wings Enforcer Small + IEC kábel 2,5 m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30 napban</t>
        </is>
      </c>
      <c r="G931" s="17" t="inlineStr">
        <is>
          <t>Más főkategória terméke</t>
        </is>
      </c>
    </row>
    <row r="932">
      <c r="A932" s="17" t="inlineStr">
        <is>
          <t>GRO3480</t>
        </is>
      </c>
      <c r="B932" s="17" t="inlineStr">
        <is>
          <t>Vents VK EC ventilátor Vents VK EC 200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30 napban</t>
        </is>
      </c>
      <c r="G932" s="17" t="inlineStr">
        <is>
          <t>Más főkategória terméke</t>
        </is>
      </c>
    </row>
    <row r="933">
      <c r="A933" s="17" t="inlineStr">
        <is>
          <t>GRO3481</t>
        </is>
      </c>
      <c r="B933" s="17" t="inlineStr">
        <is>
          <t>Vents VK EC ventilátor Vents VK EC 250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GRO3484</t>
        </is>
      </c>
      <c r="B934" s="17" t="inlineStr">
        <is>
          <t>Canna CalMag Agent 1 liter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30 napban</t>
        </is>
      </c>
      <c r="G934" s="17" t="inlineStr">
        <is>
          <t>Más főkategória terméke</t>
        </is>
      </c>
    </row>
    <row r="935">
      <c r="A935" s="17" t="inlineStr">
        <is>
          <t>GRO3485</t>
        </is>
      </c>
      <c r="B935" s="17" t="inlineStr">
        <is>
          <t>Canna CalMag Agent 5 liter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30 napban</t>
        </is>
      </c>
      <c r="G935" s="17" t="inlineStr">
        <is>
          <t>Más főkategória terméke</t>
        </is>
      </c>
    </row>
    <row r="936">
      <c r="A936" s="17" t="inlineStr">
        <is>
          <t>GRO3487</t>
        </is>
      </c>
      <c r="B936" s="17" t="inlineStr">
        <is>
          <t>CKV3 szén pellet (Can Filter Original aktív szénszűrőhöz) 25 kg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GRO3518</t>
        </is>
      </c>
      <c r="B937" s="17" t="inlineStr">
        <is>
          <t>Plagron Cocos Premium perlit 70/30 50 liter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GRO3525</t>
        </is>
      </c>
      <c r="B938" s="17" t="inlineStr">
        <is>
          <t>Air-pot cserép 5 liter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30 napban</t>
        </is>
      </c>
      <c r="G938" s="17" t="inlineStr">
        <is>
          <t>Más főkategória terméke</t>
        </is>
      </c>
    </row>
    <row r="939">
      <c r="A939" s="17" t="inlineStr">
        <is>
          <t>GRO3526</t>
        </is>
      </c>
      <c r="B939" s="17" t="inlineStr">
        <is>
          <t>Air-pot cserép 9 liter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30 napban</t>
        </is>
      </c>
      <c r="G939" s="17" t="inlineStr">
        <is>
          <t>Más főkategória terméke</t>
        </is>
      </c>
    </row>
    <row r="940">
      <c r="A940" s="17" t="inlineStr">
        <is>
          <t>GRO3530</t>
        </is>
      </c>
      <c r="B940" s="17" t="inlineStr">
        <is>
          <t>Secret Jardin sátor kivágáshoz csatlakozó (DF16 keret) Ø100 mm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GRO3532</t>
        </is>
      </c>
      <c r="B941" s="17" t="inlineStr">
        <is>
          <t>Can-Filter Original Prémium Szénszűrő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az elmúlt 30 napban</t>
        </is>
      </c>
      <c r="G941" s="17" t="inlineStr">
        <is>
          <t>Más főkategória terméke</t>
        </is>
      </c>
    </row>
    <row r="942">
      <c r="A942" s="17" t="inlineStr">
        <is>
          <t>GRO3533</t>
        </is>
      </c>
      <c r="B942" s="17" t="inlineStr">
        <is>
          <t>Can-Filters Original Szénszűrő d: 160 mm 700 m3/h L: 50 cm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az elmúlt 30 napban</t>
        </is>
      </c>
      <c r="G942" s="17" t="inlineStr">
        <is>
          <t>Más főkategória terméke</t>
        </is>
      </c>
    </row>
    <row r="943">
      <c r="A943" s="17" t="inlineStr">
        <is>
          <t>GRO3534</t>
        </is>
      </c>
      <c r="B943" s="17" t="inlineStr">
        <is>
          <t>CAN Original Prémium Szénszűrő CF 350 m3/h, vég: 160 mm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GRO3535</t>
        </is>
      </c>
      <c r="B944" s="17" t="inlineStr">
        <is>
          <t>CAN Original Prémium Szénszűrő CF 250 m3/h, vég: 125 mm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30 napban</t>
        </is>
      </c>
      <c r="G944" s="17" t="inlineStr">
        <is>
          <t>Más főkategória terméke</t>
        </is>
      </c>
    </row>
    <row r="945">
      <c r="A945" s="17" t="inlineStr">
        <is>
          <t>GRO3536</t>
        </is>
      </c>
      <c r="B945" s="17" t="inlineStr">
        <is>
          <t>CAN Original Premium Szénszűrő CF 150 m3/h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GRO3543</t>
        </is>
      </c>
      <c r="B946" s="17" t="inlineStr">
        <is>
          <t>Can Filter Silencer (Ventilátor hangtompító) CFS09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GRO3545</t>
        </is>
      </c>
      <c r="B947" s="17" t="inlineStr">
        <is>
          <t>Can Filter Silencer (Ventilátor hangtompító) CFS03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GRO3546</t>
        </is>
      </c>
      <c r="B948" s="17" t="inlineStr">
        <is>
          <t>Can Filter Silencer (Ventilátor hangtompító CFS01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az elmúlt 30 napban</t>
        </is>
      </c>
      <c r="G948" s="17" t="inlineStr">
        <is>
          <t>Más főkategória terméke</t>
        </is>
      </c>
    </row>
    <row r="949">
      <c r="A949" s="17" t="inlineStr">
        <is>
          <t>GRO3548</t>
        </is>
      </c>
      <c r="B949" s="17" t="inlineStr">
        <is>
          <t>Can Filter Can Lite Szénszűrő (acél) 1500 m3/h szűrővég: 200 mm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30 napban</t>
        </is>
      </c>
      <c r="G949" s="17" t="inlineStr">
        <is>
          <t>Más főkategória terméke</t>
        </is>
      </c>
    </row>
    <row r="950">
      <c r="A950" s="17" t="inlineStr">
        <is>
          <t>GRO3552</t>
        </is>
      </c>
      <c r="B950" s="17" t="inlineStr">
        <is>
          <t>Secret Jardin Dark Street Grow Box DS150W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GRO3553</t>
        </is>
      </c>
      <c r="B951" s="17" t="inlineStr">
        <is>
          <t>Secret Jardin DARKROOM Grow Box R4.00 DR150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az elmúlt 30 napban</t>
        </is>
      </c>
      <c r="G951" s="17" t="inlineStr">
        <is>
          <t>Más főkategória terméke</t>
        </is>
      </c>
    </row>
    <row r="952">
      <c r="A952" s="17" t="inlineStr">
        <is>
          <t>GRO3554</t>
        </is>
      </c>
      <c r="B952" s="17" t="inlineStr">
        <is>
          <t>Secret Jardin DARKROOM Grow Box R4.00 DR240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az elmúlt 30 napban</t>
        </is>
      </c>
      <c r="G952" s="17" t="inlineStr">
        <is>
          <t>Más főkategória terméke</t>
        </is>
      </c>
    </row>
    <row r="953">
      <c r="A953" s="17" t="inlineStr">
        <is>
          <t>GRO3555</t>
        </is>
      </c>
      <c r="B953" s="17" t="inlineStr">
        <is>
          <t>Secret Jardin DARKROOM Grow Box R4.00 DR300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GRO3556</t>
        </is>
      </c>
      <c r="B954" s="17" t="inlineStr">
        <is>
          <t>Secret Jardin DARKROOM Grow Box R4.00 DR240W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GRO3558</t>
        </is>
      </c>
      <c r="B955" s="17" t="inlineStr">
        <is>
          <t>Secret Jardin Dark Propagator Grow Box D120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30 napban</t>
        </is>
      </c>
      <c r="G955" s="17" t="inlineStr">
        <is>
          <t>Más főkategória terméke</t>
        </is>
      </c>
    </row>
    <row r="956">
      <c r="A956" s="17" t="inlineStr">
        <is>
          <t>GRO3563</t>
        </is>
      </c>
      <c r="B956" s="17" t="inlineStr">
        <is>
          <t>Pro-Leaf CO2 érzékelő és digitális szabályzó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az elmúlt 30 napban</t>
        </is>
      </c>
      <c r="G956" s="17" t="inlineStr">
        <is>
          <t>Más főkategória terméke</t>
        </is>
      </c>
    </row>
    <row r="957">
      <c r="A957" s="17" t="inlineStr">
        <is>
          <t>GRO3565</t>
        </is>
      </c>
      <c r="B957" s="17" t="inlineStr">
        <is>
          <t>Cornwall Electronics digitális hőmérséklet- és páratartalom-mérő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az elmúlt 30 napban</t>
        </is>
      </c>
      <c r="G957" s="17" t="inlineStr">
        <is>
          <t>Más főkategória terméke</t>
        </is>
      </c>
    </row>
    <row r="958">
      <c r="A958" s="17" t="inlineStr">
        <is>
          <t>GRO3568</t>
        </is>
      </c>
      <c r="B958" s="17" t="inlineStr">
        <is>
          <t>TLED LED BLOOM Spectrum 42W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az elmúlt 30 napban</t>
        </is>
      </c>
      <c r="G958" s="17" t="inlineStr">
        <is>
          <t>Más főkategória terméke</t>
        </is>
      </c>
    </row>
    <row r="959">
      <c r="A959" s="17" t="inlineStr">
        <is>
          <t>GRO3571</t>
        </is>
      </c>
      <c r="B959" s="17" t="inlineStr">
        <is>
          <t>Ona ventilátor Ona Cyclone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30 napban</t>
        </is>
      </c>
      <c r="G959" s="17" t="inlineStr">
        <is>
          <t>Más főkategória terméke</t>
        </is>
      </c>
    </row>
    <row r="960">
      <c r="A960" s="17" t="inlineStr">
        <is>
          <t>GRO3572</t>
        </is>
      </c>
      <c r="B960" s="17" t="inlineStr">
        <is>
          <t>Ona ventilátor Ona Breeze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30 napban</t>
        </is>
      </c>
      <c r="G960" s="17" t="inlineStr">
        <is>
          <t>Más főkategória terméke</t>
        </is>
      </c>
    </row>
    <row r="961">
      <c r="A961" s="17" t="inlineStr">
        <is>
          <t>GRO3573</t>
        </is>
      </c>
      <c r="B961" s="17" t="inlineStr">
        <is>
          <t>Lumatek HPS izzó (double ended) 1000 W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30 napban</t>
        </is>
      </c>
      <c r="G961" s="17" t="inlineStr">
        <is>
          <t>Más főkategória terméke</t>
        </is>
      </c>
    </row>
    <row r="962">
      <c r="A962" s="17" t="inlineStr">
        <is>
          <t>GRO3574</t>
        </is>
      </c>
      <c r="B962" s="17" t="inlineStr">
        <is>
          <t>Agrolite Dark LED 20W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az elmúlt 30 napban</t>
        </is>
      </c>
      <c r="G962" s="17" t="inlineStr">
        <is>
          <t>Más főkategória terméke</t>
        </is>
      </c>
    </row>
    <row r="963">
      <c r="A963" s="17" t="inlineStr">
        <is>
          <t>GRO3575</t>
        </is>
      </c>
      <c r="B963" s="17" t="inlineStr">
        <is>
          <t>Aquatek kalibráló por pH 4.01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az elmúlt 30 napban</t>
        </is>
      </c>
      <c r="G963" s="17" t="inlineStr">
        <is>
          <t>Más főkategória terméke</t>
        </is>
      </c>
    </row>
    <row r="964">
      <c r="A964" s="17" t="inlineStr">
        <is>
          <t>GRO3580</t>
        </is>
      </c>
      <c r="B964" s="17" t="inlineStr">
        <is>
          <t>Légtechnikai csőkapcsoló Ø200 mm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az elmúlt 30 napban</t>
        </is>
      </c>
      <c r="G964" s="17" t="inlineStr">
        <is>
          <t>Más főkategória terméke</t>
        </is>
      </c>
    </row>
    <row r="965">
      <c r="A965" s="17" t="inlineStr">
        <is>
          <t>GRO3581</t>
        </is>
      </c>
      <c r="B965" s="17" t="inlineStr">
        <is>
          <t>Légtechnikai csőkapcsoló Ø250 mm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GRO3582</t>
        </is>
      </c>
      <c r="B966" s="17" t="inlineStr">
        <is>
          <t>Légtechnikai csőkapcsoló Ø315 mm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GRO3588</t>
        </is>
      </c>
      <c r="B967" s="17" t="inlineStr">
        <is>
          <t>Légtechnikai idomkapcsoló Ø200 mm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GRO3590</t>
        </is>
      </c>
      <c r="B968" s="17" t="inlineStr">
        <is>
          <t>Légtechnikai idomkapcsoló Ø315 mm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30 napban</t>
        </is>
      </c>
      <c r="G968" s="17" t="inlineStr">
        <is>
          <t>Más főkategória terméke</t>
        </is>
      </c>
    </row>
    <row r="969">
      <c r="A969" s="17" t="inlineStr">
        <is>
          <t>GRO3591</t>
        </is>
      </c>
      <c r="B969" s="17" t="inlineStr">
        <is>
          <t>Légtechnikai idomkapcsoló Ø350 mm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GRO3592</t>
        </is>
      </c>
      <c r="B970" s="17" t="inlineStr">
        <is>
          <t>Secret Jardin Cosmorrow LED Blooming 40W 90cm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az elmúlt 30 napban</t>
        </is>
      </c>
      <c r="G970" s="17" t="inlineStr">
        <is>
          <t>Más főkategória terméke</t>
        </is>
      </c>
    </row>
    <row r="971">
      <c r="A971" s="17" t="inlineStr">
        <is>
          <t>GRO3593</t>
        </is>
      </c>
      <c r="B971" s="17" t="inlineStr">
        <is>
          <t>Secret Jardin Cosmorrow LED Growing 40W 90cm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az elmúlt 30 napban</t>
        </is>
      </c>
      <c r="G971" s="17" t="inlineStr">
        <is>
          <t>Más főkategória terméke</t>
        </is>
      </c>
    </row>
    <row r="972">
      <c r="A972" s="17" t="inlineStr">
        <is>
          <t>GRO3594</t>
        </is>
      </c>
      <c r="B972" s="17" t="inlineStr">
        <is>
          <t>Secret Jardin Cosmorrow LED Infrared 40W 90cm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30 napban</t>
        </is>
      </c>
      <c r="G972" s="17" t="inlineStr">
        <is>
          <t>Más főkategória terméke</t>
        </is>
      </c>
    </row>
    <row r="973">
      <c r="A973" s="17" t="inlineStr">
        <is>
          <t>GRO3595</t>
        </is>
      </c>
      <c r="B973" s="17" t="inlineStr">
        <is>
          <t>Secret Jardin Cosmorrow LED Ultraviolet 40W 90cm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az elmúlt 30 napban</t>
        </is>
      </c>
      <c r="G973" s="17" t="inlineStr">
        <is>
          <t>Más főkategória terméke</t>
        </is>
      </c>
    </row>
    <row r="974">
      <c r="A974" s="17" t="inlineStr">
        <is>
          <t>GRO3596</t>
        </is>
      </c>
      <c r="B974" s="17" t="inlineStr">
        <is>
          <t>Secret Jardin Cosmorrow Power tápegység 1x40W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GRO3611</t>
        </is>
      </c>
      <c r="B975" s="17" t="inlineStr">
        <is>
          <t>Secret Jardin DF16 elszívó ventilátor 150/250/350 m3/h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30 napban</t>
        </is>
      </c>
      <c r="G975" s="17" t="inlineStr">
        <is>
          <t>Más főkategória terméke</t>
        </is>
      </c>
    </row>
    <row r="976">
      <c r="A976" s="17" t="inlineStr">
        <is>
          <t>GRO3612</t>
        </is>
      </c>
      <c r="B976" s="17" t="inlineStr">
        <is>
          <t>Secret Jardin DF16 szénszűrő 150 m3/óra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az elmúlt 30 napban</t>
        </is>
      </c>
      <c r="G976" s="17" t="inlineStr">
        <is>
          <t>Más főkategória terméke</t>
        </is>
      </c>
    </row>
    <row r="977">
      <c r="A977" s="17" t="inlineStr">
        <is>
          <t>GRO3614</t>
        </is>
      </c>
      <c r="B977" s="17" t="inlineStr">
        <is>
          <t>Secret Jardin DF16 szénszűrő 350 m3/óra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az elmúlt 30 napban</t>
        </is>
      </c>
      <c r="G977" s="17" t="inlineStr">
        <is>
          <t>Más főkategória terméke</t>
        </is>
      </c>
    </row>
    <row r="978">
      <c r="A978" s="17" t="inlineStr">
        <is>
          <t>GRO3618</t>
        </is>
      </c>
      <c r="B978" s="17" t="inlineStr">
        <is>
          <t>Prima klima Industry Line szénszűrő Industry Line K1600 d:100mm 280m3/h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GRO3619</t>
        </is>
      </c>
      <c r="B979" s="17" t="inlineStr">
        <is>
          <t>Prima klima Industry Line szénszűrő Industry Line K1602 d:125mm 280m3/h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GRO3620</t>
        </is>
      </c>
      <c r="B980" s="17" t="inlineStr">
        <is>
          <t>Prima klima Industry Line szénszűrő Industry Line K1603 d:125mm 460m3/h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az elmúlt 30 napban</t>
        </is>
      </c>
      <c r="G980" s="17" t="inlineStr">
        <is>
          <t>Más főkategória terméke</t>
        </is>
      </c>
    </row>
    <row r="981">
      <c r="A981" s="17" t="inlineStr">
        <is>
          <t>GRO3621</t>
        </is>
      </c>
      <c r="B981" s="17" t="inlineStr">
        <is>
          <t>Prima klima Industry Line szénszűrő Industry Line K1604 d:125mm 700m3/h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az elmúlt 30 napban</t>
        </is>
      </c>
      <c r="G981" s="17" t="inlineStr">
        <is>
          <t>Más főkategória terméke</t>
        </is>
      </c>
    </row>
    <row r="982">
      <c r="A982" s="17" t="inlineStr">
        <is>
          <t>GRO3622</t>
        </is>
      </c>
      <c r="B982" s="17" t="inlineStr">
        <is>
          <t>Prima klima Industry Line szénszűrő Industry Line K1605 d:150mm 680m3/h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GRO3623</t>
        </is>
      </c>
      <c r="B983" s="17" t="inlineStr">
        <is>
          <t>Prima klima Industry Line szénszűrő Industry Line K1606 d:150mm 1080m3/h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az elmúlt 30 napban</t>
        </is>
      </c>
      <c r="G983" s="17" t="inlineStr">
        <is>
          <t>Más főkategória terméke</t>
        </is>
      </c>
    </row>
    <row r="984">
      <c r="A984" s="17" t="inlineStr">
        <is>
          <t>GRO3624</t>
        </is>
      </c>
      <c r="B984" s="17" t="inlineStr">
        <is>
          <t>Prima klima Industry Line szénszűrő Industry Line K1607 d:160mm 720m3/h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GRO3626</t>
        </is>
      </c>
      <c r="B985" s="17" t="inlineStr">
        <is>
          <t>Prima klima Industry Line szénszűrő Industry Line K1609 d:200mm 1090m3/h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az elmúlt 30 napban</t>
        </is>
      </c>
      <c r="G985" s="17" t="inlineStr">
        <is>
          <t>Más főkategória terméke</t>
        </is>
      </c>
    </row>
    <row r="986">
      <c r="A986" s="17" t="inlineStr">
        <is>
          <t>GRO3628</t>
        </is>
      </c>
      <c r="B986" s="17" t="inlineStr">
        <is>
          <t>Prima klima Industry Line szénszűrő Industry Line K1611 d:250mm 1800m3/h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30 napban</t>
        </is>
      </c>
      <c r="G986" s="17" t="inlineStr">
        <is>
          <t>Más főkategória terméke</t>
        </is>
      </c>
    </row>
    <row r="987">
      <c r="A987" s="17" t="inlineStr">
        <is>
          <t>GRO3630</t>
        </is>
      </c>
      <c r="B987" s="17" t="inlineStr">
        <is>
          <t>Prima klima Ecoline szénszűrő K2600-100 d:100mm 360m3/h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az elmúlt 30 napban</t>
        </is>
      </c>
      <c r="G987" s="17" t="inlineStr">
        <is>
          <t>Más főkategória terméke</t>
        </is>
      </c>
    </row>
    <row r="988">
      <c r="A988" s="17" t="inlineStr">
        <is>
          <t>GRO3631</t>
        </is>
      </c>
      <c r="B988" s="17" t="inlineStr">
        <is>
          <t>Prima klima Ecoline szénszűrő K2600-125 d:125mm 360m3/h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30 napban</t>
        </is>
      </c>
      <c r="G988" s="17" t="inlineStr">
        <is>
          <t>Más főkategória terméke</t>
        </is>
      </c>
    </row>
    <row r="989">
      <c r="A989" s="17" t="inlineStr">
        <is>
          <t>GRO3632</t>
        </is>
      </c>
      <c r="B989" s="17" t="inlineStr">
        <is>
          <t>Prima klima Ecoline szénszűrő K2601-100 d:100mm 480m3/h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GRO3633</t>
        </is>
      </c>
      <c r="B990" s="17" t="inlineStr">
        <is>
          <t>Prima klima Ecoline szénszűrő K2601-125 d:125mm 480m3/h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30 napban</t>
        </is>
      </c>
      <c r="G990" s="17" t="inlineStr">
        <is>
          <t>Más főkategória terméke</t>
        </is>
      </c>
    </row>
    <row r="991">
      <c r="A991" s="17" t="inlineStr">
        <is>
          <t>GRO3635</t>
        </is>
      </c>
      <c r="B991" s="17" t="inlineStr">
        <is>
          <t>Prima klima Ecoline szénszűrő K2603-160 d:160mm 900m3/h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az elmúlt 30 napban</t>
        </is>
      </c>
      <c r="G991" s="17" t="inlineStr">
        <is>
          <t>Más főkategória terméke</t>
        </is>
      </c>
    </row>
    <row r="992">
      <c r="A992" s="17" t="inlineStr">
        <is>
          <t>GRO3637</t>
        </is>
      </c>
      <c r="B992" s="17" t="inlineStr">
        <is>
          <t>Prima klima ventilátor (hőmérsékletszabályzós) PK100-TC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GRO3638</t>
        </is>
      </c>
      <c r="B993" s="17" t="inlineStr">
        <is>
          <t>Prima klima ventilátor (2 sebességes) PK125-2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az elmúlt 30 napban</t>
        </is>
      </c>
      <c r="G993" s="17" t="inlineStr">
        <is>
          <t>Más főkategória terméke</t>
        </is>
      </c>
    </row>
    <row r="994">
      <c r="A994" s="17" t="inlineStr">
        <is>
          <t>GRO3640</t>
        </is>
      </c>
      <c r="B994" s="17" t="inlineStr">
        <is>
          <t>Prima klima ventilátor (hőmérsékletszabályzós) PK125-TC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az elmúlt 30 napban</t>
        </is>
      </c>
      <c r="G994" s="17" t="inlineStr">
        <is>
          <t>Más főkategória terméke</t>
        </is>
      </c>
    </row>
    <row r="995">
      <c r="A995" s="17" t="inlineStr">
        <is>
          <t>GRO3641</t>
        </is>
      </c>
      <c r="B995" s="17" t="inlineStr">
        <is>
          <t>Prima klima ventilátor (2 sebességes) PK150-2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az elmúlt 30 napban</t>
        </is>
      </c>
      <c r="G995" s="17" t="inlineStr">
        <is>
          <t>Más főkategória terméke</t>
        </is>
      </c>
    </row>
    <row r="996">
      <c r="A996" s="17" t="inlineStr">
        <is>
          <t>GRO3642</t>
        </is>
      </c>
      <c r="B996" s="17" t="inlineStr">
        <is>
          <t>Prima klima ventilátor (hőmérsékletszabályzós) PK150-TC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az elmúlt 30 napban</t>
        </is>
      </c>
      <c r="G996" s="17" t="inlineStr">
        <is>
          <t>Más főkategória terméke</t>
        </is>
      </c>
    </row>
    <row r="997">
      <c r="A997" s="17" t="inlineStr">
        <is>
          <t>GRO3643</t>
        </is>
      </c>
      <c r="B997" s="17" t="inlineStr">
        <is>
          <t>Prima klima ventilátor (2 sebességes) PK160-2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az elmúlt 30 napban</t>
        </is>
      </c>
      <c r="G997" s="17" t="inlineStr">
        <is>
          <t>Más főkategória terméke</t>
        </is>
      </c>
    </row>
    <row r="998">
      <c r="A998" s="17" t="inlineStr">
        <is>
          <t>GRO3647</t>
        </is>
      </c>
      <c r="B998" s="17" t="inlineStr">
        <is>
          <t>Prima klima Azerwing reflektor LA55-A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GRO3648</t>
        </is>
      </c>
      <c r="B999" s="17" t="inlineStr">
        <is>
          <t>Prima klima Azerwing reflektor LA55-V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az elmúlt 30 napban</t>
        </is>
      </c>
      <c r="G999" s="17" t="inlineStr">
        <is>
          <t>Más főkategória terméke</t>
        </is>
      </c>
    </row>
    <row r="1000">
      <c r="A1000" s="17" t="inlineStr">
        <is>
          <t>GRO3650</t>
        </is>
      </c>
      <c r="B1000" s="17" t="inlineStr">
        <is>
          <t>SANlight tápkábel (EVO &amp; Q Gen2 LEDekhez)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GRO3652</t>
        </is>
      </c>
      <c r="B1001" s="17" t="inlineStr">
        <is>
          <t>SANlight EVO dimmerkapcsoló (mágneses / bluetooth) bluetooth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30 napban</t>
        </is>
      </c>
      <c r="G1001" s="17" t="inlineStr">
        <is>
          <t>Más főkategória terméke</t>
        </is>
      </c>
    </row>
    <row r="1002">
      <c r="A1002" s="17" t="inlineStr">
        <is>
          <t>GRO3661</t>
        </is>
      </c>
      <c r="B1002" s="17" t="inlineStr">
        <is>
          <t>Garland Microgreens tálca lyukakkal (56×28×3 cm)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30 napban</t>
        </is>
      </c>
      <c r="G1002" s="17" t="inlineStr">
        <is>
          <t>Más főkategória terméke</t>
        </is>
      </c>
    </row>
    <row r="1003">
      <c r="A1003" s="17" t="inlineStr">
        <is>
          <t>GRO3662</t>
        </is>
      </c>
      <c r="B1003" s="17" t="inlineStr">
        <is>
          <t>Garland Microgreens tálca lyukak nélkül (56×28×3 cm)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GRO3664</t>
        </is>
      </c>
      <c r="B1004" s="17" t="inlineStr">
        <is>
          <t>Urban Garden szövetcserép 2 liter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az elmúlt 30 napban</t>
        </is>
      </c>
      <c r="G1004" s="17" t="inlineStr">
        <is>
          <t>Más főkategória terméke</t>
        </is>
      </c>
    </row>
    <row r="1005">
      <c r="A1005" s="17" t="inlineStr">
        <is>
          <t>GRO3665</t>
        </is>
      </c>
      <c r="B1005" s="17" t="inlineStr">
        <is>
          <t>Urban Garden szövetcserép 19 liter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GRO3666</t>
        </is>
      </c>
      <c r="B1006" s="17" t="inlineStr">
        <is>
          <t>Urban Garden szövetcserép 55 liter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GRO3667</t>
        </is>
      </c>
      <c r="B1007" s="17" t="inlineStr">
        <is>
          <t>Urban Garden szövetcserép 75 liter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az elmúlt 30 napban</t>
        </is>
      </c>
      <c r="G1007" s="17" t="inlineStr">
        <is>
          <t>Más főkategória terméke</t>
        </is>
      </c>
    </row>
    <row r="1008">
      <c r="A1008" s="17" t="inlineStr">
        <is>
          <t>GRO3668</t>
        </is>
      </c>
      <c r="B1008" s="17" t="inlineStr">
        <is>
          <t>Urban Garden szövetcserép 95 liter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az elmúlt 30 napban</t>
        </is>
      </c>
      <c r="G1008" s="17" t="inlineStr">
        <is>
          <t>Más főkategória terméke</t>
        </is>
      </c>
    </row>
    <row r="1009">
      <c r="A1009" s="17" t="inlineStr">
        <is>
          <t>GRO3669</t>
        </is>
      </c>
      <c r="B1009" s="17" t="inlineStr">
        <is>
          <t>Urban Garden szövetcserép 150 liter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GRO3671</t>
        </is>
      </c>
      <c r="B1010" s="17" t="inlineStr">
        <is>
          <t>Urban Garden szövetcserép 300 liter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az elmúlt 30 napban</t>
        </is>
      </c>
      <c r="G1010" s="17" t="inlineStr">
        <is>
          <t>Más főkategória terméke</t>
        </is>
      </c>
    </row>
    <row r="1011">
      <c r="A1011" s="17" t="inlineStr">
        <is>
          <t>GRO3672</t>
        </is>
      </c>
      <c r="B1011" s="17" t="inlineStr">
        <is>
          <t>Urban Garden szövetcserép 550 liter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GRO3673</t>
        </is>
      </c>
      <c r="B1012" s="17" t="inlineStr">
        <is>
          <t>Lumatek ZEUS PRO LED 465W 2.9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30 napban</t>
        </is>
      </c>
      <c r="G1012" s="17" t="inlineStr">
        <is>
          <t>Más főkategória terméke</t>
        </is>
      </c>
    </row>
    <row r="1013">
      <c r="A1013" s="17" t="inlineStr">
        <is>
          <t>GRO3678</t>
        </is>
      </c>
      <c r="B1013" s="17" t="inlineStr">
        <is>
          <t>Bluelab pH kalibráló folyadék 250 ml 4.0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GRO3679</t>
        </is>
      </c>
      <c r="B1014" s="17" t="inlineStr">
        <is>
          <t>Bluelab pH kalibráló folyadék 250 ml 7.0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GRO3683</t>
        </is>
      </c>
      <c r="B1015" s="17" t="inlineStr">
        <is>
          <t>TBOX mechanikus időzítő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30 napban</t>
        </is>
      </c>
      <c r="G1015" s="17" t="inlineStr">
        <is>
          <t>Más főkategória terméke</t>
        </is>
      </c>
    </row>
    <row r="1016">
      <c r="A1016" s="17" t="inlineStr">
        <is>
          <t>GRO3688</t>
        </is>
      </c>
      <c r="B1016" s="17" t="inlineStr">
        <is>
          <t>GIB Growth Spectrum Advanced MH izzó 1000 W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GRO3690</t>
        </is>
      </c>
      <c r="B1017" s="17" t="inlineStr">
        <is>
          <t>Secret Jardin WEBIT Növénytartó Háló (scrog) S.J.Webit Elastic 300x150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GRO3693</t>
        </is>
      </c>
      <c r="B1018" s="17" t="inlineStr">
        <is>
          <t>ONA Card sprayer szagsemlegesítő Fresh Linen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az elmúlt 30 napban</t>
        </is>
      </c>
      <c r="G1018" s="17" t="inlineStr">
        <is>
          <t>Más főkategória terméke</t>
        </is>
      </c>
    </row>
    <row r="1019">
      <c r="A1019" s="17" t="inlineStr">
        <is>
          <t>GRO3694</t>
        </is>
      </c>
      <c r="B1019" s="17" t="inlineStr">
        <is>
          <t>ONA Card sprayer szagsemlegesítő PRO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az elmúlt 30 napban</t>
        </is>
      </c>
      <c r="G1019" s="17" t="inlineStr">
        <is>
          <t>Más főkategória terméke</t>
        </is>
      </c>
    </row>
    <row r="1020">
      <c r="A1020" s="17" t="inlineStr">
        <is>
          <t>GRO3699</t>
        </is>
      </c>
      <c r="B1020" s="17" t="inlineStr">
        <is>
          <t>Prima klima EC ventilátor (hőmérsékletszabályzós) PK125EC-TC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az elmúlt 30 napban</t>
        </is>
      </c>
      <c r="G1020" s="17" t="inlineStr">
        <is>
          <t>Más főkategória terméke</t>
        </is>
      </c>
    </row>
    <row r="1021">
      <c r="A1021" s="17" t="inlineStr">
        <is>
          <t>GRO3701</t>
        </is>
      </c>
      <c r="B1021" s="17" t="inlineStr">
        <is>
          <t>Prima klima EC ventilátor (hőmérsékletszabályzós) PK250EC-TC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30 napban</t>
        </is>
      </c>
      <c r="G1021" s="17" t="inlineStr">
        <is>
          <t>Más főkategória terméke</t>
        </is>
      </c>
    </row>
    <row r="1022">
      <c r="A1022" s="17" t="inlineStr">
        <is>
          <t>GRO3708</t>
        </is>
      </c>
      <c r="B1022" s="17" t="inlineStr">
        <is>
          <t>Plagron Silic Rock 500 ml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az elmúlt 30 napban</t>
        </is>
      </c>
      <c r="G1022" s="17" t="inlineStr">
        <is>
          <t>Más főkategória terméke</t>
        </is>
      </c>
    </row>
    <row r="1023">
      <c r="A1023" s="17" t="inlineStr">
        <is>
          <t>GRO3709</t>
        </is>
      </c>
      <c r="B1023" s="17" t="inlineStr">
        <is>
          <t>Plagron Silic Rock 1 liter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GRO3710</t>
        </is>
      </c>
      <c r="B1024" s="17" t="inlineStr">
        <is>
          <t>Plagron CalMag Pro 500 ml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GRO3711</t>
        </is>
      </c>
      <c r="B1025" s="17" t="inlineStr">
        <is>
          <t>Plagron CalMag Pro 1 liter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GRO3712</t>
        </is>
      </c>
      <c r="B1026" s="17" t="inlineStr">
        <is>
          <t>Plagron CalMag Pro 5 liter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GRO3716</t>
        </is>
      </c>
      <c r="B1027" s="17" t="inlineStr">
        <is>
          <t>Prima klima EC ventilátor (hőmérsékletszabályzós) PK150EC-TC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30 napban</t>
        </is>
      </c>
      <c r="G1027" s="17" t="inlineStr">
        <is>
          <t>Más főkategória terméke</t>
        </is>
      </c>
    </row>
    <row r="1028">
      <c r="A1028" s="17" t="inlineStr">
        <is>
          <t>GRO3717</t>
        </is>
      </c>
      <c r="B1028" s="17" t="inlineStr">
        <is>
          <t>Kerek műanyag virágcserép alátét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GRO3718</t>
        </is>
      </c>
      <c r="B1029" s="17" t="inlineStr">
        <is>
          <t>Secret Jardin légtechnika bilincs (gumi) RD100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az elmúlt 30 napban</t>
        </is>
      </c>
      <c r="G1029" s="17" t="inlineStr">
        <is>
          <t>Más főkategória terméke</t>
        </is>
      </c>
    </row>
    <row r="1030">
      <c r="A1030" s="17" t="inlineStr">
        <is>
          <t>GRO3719</t>
        </is>
      </c>
      <c r="B1030" s="17" t="inlineStr">
        <is>
          <t>Secret Jardin légtechnika bilincs (gumi) RD125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az elmúlt 30 napban</t>
        </is>
      </c>
      <c r="G1030" s="17" t="inlineStr">
        <is>
          <t>Más főkategória terméke</t>
        </is>
      </c>
    </row>
    <row r="1031">
      <c r="A1031" s="17" t="inlineStr">
        <is>
          <t>GRO3720</t>
        </is>
      </c>
      <c r="B1031" s="17" t="inlineStr">
        <is>
          <t>Secret Jardin légtechnika bilincs (gumi) RD150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GRO3721</t>
        </is>
      </c>
      <c r="B1032" s="17" t="inlineStr">
        <is>
          <t>Secret Jardin légtechnika bilincs (gumi) RD200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GRO3722</t>
        </is>
      </c>
      <c r="B1033" s="17" t="inlineStr">
        <is>
          <t>Secret Jardin légtechnika bilincs (gumi) RD250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30 napban</t>
        </is>
      </c>
      <c r="G1033" s="17" t="inlineStr">
        <is>
          <t>Más főkategória terméke</t>
        </is>
      </c>
    </row>
    <row r="1034">
      <c r="A1034" s="17" t="inlineStr">
        <is>
          <t>GRO3723</t>
        </is>
      </c>
      <c r="B1034" s="17" t="inlineStr">
        <is>
          <t>Secret Jardin kábelakasztó d: 16 mm (15 db)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az elmúlt 30 napban</t>
        </is>
      </c>
      <c r="G1034" s="17" t="inlineStr">
        <is>
          <t>Más főkategória terméke</t>
        </is>
      </c>
    </row>
    <row r="1035">
      <c r="A1035" s="17" t="inlineStr">
        <is>
          <t>GRO3731</t>
        </is>
      </c>
      <c r="B1035" s="17" t="inlineStr">
        <is>
          <t>Secret Jardin TNoled 2 x 40W Growing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az elmúlt 30 napban</t>
        </is>
      </c>
      <c r="G1035" s="17" t="inlineStr">
        <is>
          <t>Más főkategória terméke</t>
        </is>
      </c>
    </row>
    <row r="1036">
      <c r="A1036" s="17" t="inlineStr">
        <is>
          <t>GRO3733</t>
        </is>
      </c>
      <c r="B1036" s="17" t="inlineStr">
        <is>
          <t>SGC Smart Grow világítás szabályozó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az elmúlt 30 napban</t>
        </is>
      </c>
      <c r="G1036" s="17" t="inlineStr">
        <is>
          <t>Más főkategória terméke</t>
        </is>
      </c>
    </row>
    <row r="1037">
      <c r="A1037" s="17" t="inlineStr">
        <is>
          <t>GRO3734</t>
        </is>
      </c>
      <c r="B1037" s="17" t="inlineStr">
        <is>
          <t>SGC CO2 pára-, hőmérséklet- és fényszenzor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az elmúlt 30 napban</t>
        </is>
      </c>
      <c r="G1037" s="17" t="inlineStr">
        <is>
          <t>Más főkategória terméke</t>
        </is>
      </c>
    </row>
    <row r="1038">
      <c r="A1038" s="17" t="inlineStr">
        <is>
          <t>GRO3748</t>
        </is>
      </c>
      <c r="B1038" s="17" t="inlineStr">
        <is>
          <t>Vermikulit 5 liter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az elmúlt 30 napban</t>
        </is>
      </c>
      <c r="G1038" s="17" t="inlineStr">
        <is>
          <t>Más főkategória terméke</t>
        </is>
      </c>
    </row>
    <row r="1039">
      <c r="A1039" s="17" t="inlineStr">
        <is>
          <t>GRO3750</t>
        </is>
      </c>
      <c r="B1039" s="17" t="inlineStr">
        <is>
          <t>TBOX4 mechanikus időkapcsoló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GRO3759</t>
        </is>
      </c>
      <c r="B1040" s="17" t="inlineStr">
        <is>
          <t>Grodan Grotop Master termesztőtábla kőzetgyapot 1000 x 150 x 75 mm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GRO3760</t>
        </is>
      </c>
      <c r="B1041" s="17" t="inlineStr">
        <is>
          <t>Secret Jardin Cosmorrow LED Growing 20W 50cm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az elmúlt 30 napban</t>
        </is>
      </c>
      <c r="G1041" s="17" t="inlineStr">
        <is>
          <t>Más főkategória terméke</t>
        </is>
      </c>
    </row>
    <row r="1042">
      <c r="A1042" s="17" t="inlineStr">
        <is>
          <t>GRO3762</t>
        </is>
      </c>
      <c r="B1042" s="17" t="inlineStr">
        <is>
          <t>Secret Jardin Tnoled LED blooming 2x40W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az elmúlt 30 napban</t>
        </is>
      </c>
      <c r="G1042" s="17" t="inlineStr">
        <is>
          <t>Más főkategória terméke</t>
        </is>
      </c>
    </row>
    <row r="1043">
      <c r="A1043" s="17" t="inlineStr">
        <is>
          <t>GRO3763</t>
        </is>
      </c>
      <c r="B1043" s="17" t="inlineStr">
        <is>
          <t>Secret Jardin DF16 elszívó ventilátor 50/100/150 m3/h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az elmúlt 30 napban</t>
        </is>
      </c>
      <c r="G1043" s="17" t="inlineStr">
        <is>
          <t>Más főkategória terméke</t>
        </is>
      </c>
    </row>
    <row r="1044">
      <c r="A1044" s="17" t="inlineStr">
        <is>
          <t>GRO3765</t>
        </is>
      </c>
      <c r="B1044" s="17" t="inlineStr">
        <is>
          <t>Wilma csepegtető rendszer 8 x 1,65 l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az elmúlt 30 napban</t>
        </is>
      </c>
      <c r="G1044" s="17" t="inlineStr">
        <is>
          <t>Más főkategória terméke</t>
        </is>
      </c>
    </row>
    <row r="1045">
      <c r="A1045" s="17" t="inlineStr">
        <is>
          <t>GRO3766</t>
        </is>
      </c>
      <c r="B1045" s="17" t="inlineStr">
        <is>
          <t>Wilma csepegtető rendszer 4 x 25 l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az elmúlt 30 napban</t>
        </is>
      </c>
      <c r="G1045" s="17" t="inlineStr">
        <is>
          <t>Más főkategória terméke</t>
        </is>
      </c>
    </row>
    <row r="1046">
      <c r="A1046" s="17" t="inlineStr">
        <is>
          <t>GRO3767</t>
        </is>
      </c>
      <c r="B1046" s="17" t="inlineStr">
        <is>
          <t>Wilma csepegtető rendszer 5 x 25 l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GRO3773</t>
        </is>
      </c>
      <c r="B1047" s="17" t="inlineStr">
        <is>
          <t>Garland tálca (7 cm magas) S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az elmúlt 30 napban</t>
        </is>
      </c>
      <c r="G1047" s="17" t="inlineStr">
        <is>
          <t>Más főkategória terméke</t>
        </is>
      </c>
    </row>
    <row r="1048">
      <c r="A1048" s="17" t="inlineStr">
        <is>
          <t>GRO3774</t>
        </is>
      </c>
      <c r="B1048" s="17" t="inlineStr">
        <is>
          <t>Garland tálca (7 cm magas) S (lyukakkal)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30 napban</t>
        </is>
      </c>
      <c r="G1048" s="17" t="inlineStr">
        <is>
          <t>Más főkategória terméke</t>
        </is>
      </c>
    </row>
    <row r="1049">
      <c r="A1049" s="17" t="inlineStr">
        <is>
          <t>GRO3775</t>
        </is>
      </c>
      <c r="B1049" s="17" t="inlineStr">
        <is>
          <t>Garland tálca (5 cm magas) XL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az elmúlt 30 napban</t>
        </is>
      </c>
      <c r="G1049" s="17" t="inlineStr">
        <is>
          <t>Más főkategória terméke</t>
        </is>
      </c>
    </row>
    <row r="1050">
      <c r="A1050" s="17" t="inlineStr">
        <is>
          <t>GRO3777</t>
        </is>
      </c>
      <c r="B1050" s="17" t="inlineStr">
        <is>
          <t>Garland tálca (5 cm magas) XXXL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GRO3778</t>
        </is>
      </c>
      <c r="B1051" s="17" t="inlineStr">
        <is>
          <t>Ona szövetszálas ragasztószalag 50 mm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az elmúlt 30 napban</t>
        </is>
      </c>
      <c r="G1051" s="17" t="inlineStr">
        <is>
          <t>Más főkategória terméke</t>
        </is>
      </c>
    </row>
    <row r="1052">
      <c r="A1052" s="17" t="inlineStr">
        <is>
          <t>GRO3779</t>
        </is>
      </c>
      <c r="B1052" s="17" t="inlineStr">
        <is>
          <t>ONA fémezett fólia-ragasztószalag 75 mm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az elmúlt 30 napban</t>
        </is>
      </c>
      <c r="G1052" s="17" t="inlineStr">
        <is>
          <t>Más főkategória terméke</t>
        </is>
      </c>
    </row>
    <row r="1053">
      <c r="A1053" s="17" t="inlineStr">
        <is>
          <t>GRO3782</t>
        </is>
      </c>
      <c r="B1053" s="17" t="inlineStr">
        <is>
          <t>Hesi pipetta 3 ml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az elmúlt 30 napban</t>
        </is>
      </c>
      <c r="G1053" s="17" t="inlineStr">
        <is>
          <t>Más főkategória terméke</t>
        </is>
      </c>
    </row>
    <row r="1054">
      <c r="A1054" s="17" t="inlineStr">
        <is>
          <t>GRO3787</t>
        </is>
      </c>
      <c r="B1054" s="17" t="inlineStr">
        <is>
          <t>Cornwall Electronics ipari páramentesítő 50l / 24h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az elmúlt 30 napban</t>
        </is>
      </c>
      <c r="G1054" s="17" t="inlineStr">
        <is>
          <t>Más főkategória terméke</t>
        </is>
      </c>
    </row>
    <row r="1055">
      <c r="A1055" s="17" t="inlineStr">
        <is>
          <t>GRO3788</t>
        </is>
      </c>
      <c r="B1055" s="17" t="inlineStr">
        <is>
          <t>Mérőedény 70 ml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az elmúlt 30 napban</t>
        </is>
      </c>
      <c r="G1055" s="17" t="inlineStr">
        <is>
          <t>Más főkategória terméke</t>
        </is>
      </c>
    </row>
    <row r="1056">
      <c r="A1056" s="17" t="inlineStr">
        <is>
          <t>GRO3789</t>
        </is>
      </c>
      <c r="B1056" s="17" t="inlineStr">
        <is>
          <t>Mérőedény 250 ml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GRO3790</t>
        </is>
      </c>
      <c r="B1057" s="17" t="inlineStr">
        <is>
          <t>Smart CO2 termelő zsák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az elmúlt 30 napban</t>
        </is>
      </c>
      <c r="G1057" s="17" t="inlineStr">
        <is>
          <t>Más főkategória terméke</t>
        </is>
      </c>
    </row>
    <row r="1058">
      <c r="A1058" s="17" t="inlineStr">
        <is>
          <t>GRO3800</t>
        </is>
      </c>
      <c r="B1058" s="17" t="inlineStr">
        <is>
          <t>Secret Jardin Cosmorrow LED készlet (blooming) 60K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az elmúlt 30 napban</t>
        </is>
      </c>
      <c r="G1058" s="17" t="inlineStr">
        <is>
          <t>Más főkategória terméke</t>
        </is>
      </c>
    </row>
    <row r="1059">
      <c r="A1059" s="17" t="inlineStr">
        <is>
          <t>GRO3802</t>
        </is>
      </c>
      <c r="B1059" s="17" t="inlineStr">
        <is>
          <t>Secret Jardin Cosmorrow LED készlet (blooming) 200FS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az elmúlt 30 napban</t>
        </is>
      </c>
      <c r="G1059" s="17" t="inlineStr">
        <is>
          <t>Más főkategória terméke</t>
        </is>
      </c>
    </row>
    <row r="1060">
      <c r="A1060" s="17" t="inlineStr">
        <is>
          <t>GRO3803</t>
        </is>
      </c>
      <c r="B1060" s="17" t="inlineStr">
        <is>
          <t>Secret Jardin Cosmorrow LED Full Spectrum 40W 70cm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GRO3804</t>
        </is>
      </c>
      <c r="B1061" s="17" t="inlineStr">
        <is>
          <t>SANlight FLEX II LED 10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az elmúlt 30 napban</t>
        </is>
      </c>
      <c r="G1061" s="17" t="inlineStr">
        <is>
          <t>Más főkategória terméke</t>
        </is>
      </c>
    </row>
    <row r="1062">
      <c r="A1062" s="17" t="inlineStr">
        <is>
          <t>GRO3805</t>
        </is>
      </c>
      <c r="B1062" s="17" t="inlineStr">
        <is>
          <t>SANlight FLEX II LED 20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az elmúlt 30 napban</t>
        </is>
      </c>
      <c r="G1062" s="17" t="inlineStr">
        <is>
          <t>Más főkategória terméke</t>
        </is>
      </c>
    </row>
    <row r="1063">
      <c r="A1063" s="17" t="inlineStr">
        <is>
          <t>GRO3806</t>
        </is>
      </c>
      <c r="B1063" s="17" t="inlineStr">
        <is>
          <t>SANlight Flex II wallplug 25 W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az elmúlt 30 napban</t>
        </is>
      </c>
      <c r="G1063" s="17" t="inlineStr">
        <is>
          <t>Más főkategória terméke</t>
        </is>
      </c>
    </row>
    <row r="1064">
      <c r="A1064" s="17" t="inlineStr">
        <is>
          <t>GRO3807</t>
        </is>
      </c>
      <c r="B1064" s="17" t="inlineStr">
        <is>
          <t>SANlight Flex II wallplug 60 W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GRO3811</t>
        </is>
      </c>
      <c r="B1065" s="17" t="inlineStr">
        <is>
          <t>CO2 reduktor - nyomásmérő és szabályozó szelep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az elmúlt 30 napban</t>
        </is>
      </c>
      <c r="G1065" s="17" t="inlineStr">
        <is>
          <t>Más főkategória terméke</t>
        </is>
      </c>
    </row>
    <row r="1066">
      <c r="A1066" s="17" t="inlineStr">
        <is>
          <t>GRO3812</t>
        </is>
      </c>
      <c r="B1066" s="17" t="inlineStr">
        <is>
          <t>Secret Jardin DF16 szénszűrő 100 m3/óra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az elmúlt 30 napban</t>
        </is>
      </c>
      <c r="G1066" s="17" t="inlineStr">
        <is>
          <t>Más főkategória terméke</t>
        </is>
      </c>
    </row>
    <row r="1067">
      <c r="A1067" s="17" t="inlineStr">
        <is>
          <t>GRO3813</t>
        </is>
      </c>
      <c r="B1067" s="17" t="inlineStr">
        <is>
          <t>Vents Stream ventilátor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az elmúlt 30 napban</t>
        </is>
      </c>
      <c r="G1067" s="17" t="inlineStr">
        <is>
          <t>Más főkategória terméke</t>
        </is>
      </c>
    </row>
    <row r="1068">
      <c r="A1068" s="17" t="inlineStr">
        <is>
          <t>GRO3815</t>
        </is>
      </c>
      <c r="B1068" s="17" t="inlineStr">
        <is>
          <t>Vents Boost ventilátor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az elmúlt 30 napban</t>
        </is>
      </c>
      <c r="G1068" s="17" t="inlineStr">
        <is>
          <t>Más főkategória terméke</t>
        </is>
      </c>
    </row>
    <row r="1069">
      <c r="A1069" s="17" t="inlineStr">
        <is>
          <t>GRO3816</t>
        </is>
      </c>
      <c r="B1069" s="17" t="inlineStr">
        <is>
          <t>SANlight H-distribution block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az elmúlt 30 napban</t>
        </is>
      </c>
      <c r="G1069" s="17" t="inlineStr">
        <is>
          <t>Más főkategória terméke</t>
        </is>
      </c>
    </row>
    <row r="1070">
      <c r="A1070" s="17" t="inlineStr">
        <is>
          <t>GRO3822</t>
        </is>
      </c>
      <c r="B1070" s="17" t="inlineStr">
        <is>
          <t>Plagron Power Buds 1 liter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30 napban</t>
        </is>
      </c>
      <c r="G1070" s="17" t="inlineStr">
        <is>
          <t>Más főkategória terméke</t>
        </is>
      </c>
    </row>
    <row r="1071">
      <c r="A1071" s="17" t="inlineStr">
        <is>
          <t>GRO3823</t>
        </is>
      </c>
      <c r="B1071" s="17" t="inlineStr">
        <is>
          <t>Plagron Power Buds 5 liter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30 napban</t>
        </is>
      </c>
      <c r="G1071" s="17" t="inlineStr">
        <is>
          <t>Más főkategória terméke</t>
        </is>
      </c>
    </row>
    <row r="1072">
      <c r="A1072" s="17" t="inlineStr">
        <is>
          <t>GRO3824</t>
        </is>
      </c>
      <c r="B1072" s="17" t="inlineStr">
        <is>
          <t>Plagron Power Buds 100 ml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az elmúlt 30 napban</t>
        </is>
      </c>
      <c r="G1072" s="17" t="inlineStr">
        <is>
          <t>Más főkategória terméke</t>
        </is>
      </c>
    </row>
    <row r="1073">
      <c r="A1073" s="17" t="inlineStr">
        <is>
          <t>GRO3825</t>
        </is>
      </c>
      <c r="B1073" s="17" t="inlineStr">
        <is>
          <t>Plagron Power Buds 250 ml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30 napban</t>
        </is>
      </c>
      <c r="G1073" s="17" t="inlineStr">
        <is>
          <t>Más főkategória terméke</t>
        </is>
      </c>
    </row>
    <row r="1074">
      <c r="A1074" s="17" t="inlineStr">
        <is>
          <t>GRO3826</t>
        </is>
      </c>
      <c r="B1074" s="17" t="inlineStr">
        <is>
          <t>Bluelab pH mérő csere szonda 2 m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az elmúlt 30 napban</t>
        </is>
      </c>
      <c r="G1074" s="17" t="inlineStr">
        <is>
          <t>Más főkategória terméke</t>
        </is>
      </c>
    </row>
    <row r="1075">
      <c r="A1075" s="17" t="inlineStr">
        <is>
          <t>GRO3828</t>
        </is>
      </c>
      <c r="B1075" s="17" t="inlineStr">
        <is>
          <t>Agrolite Full Spectrum LED 120W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az elmúlt 30 napban</t>
        </is>
      </c>
      <c r="G1075" s="17" t="inlineStr">
        <is>
          <t>Más főkategória terméke</t>
        </is>
      </c>
    </row>
    <row r="1076">
      <c r="A1076" s="17" t="inlineStr">
        <is>
          <t>GRO3840</t>
        </is>
      </c>
      <c r="B1076" s="17" t="inlineStr">
        <is>
          <t>Secret Jardin TNoled 2 x 20W Growing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az elmúlt 30 napban</t>
        </is>
      </c>
      <c r="G1076" s="17" t="inlineStr">
        <is>
          <t>Más főkategória terméke</t>
        </is>
      </c>
    </row>
    <row r="1077">
      <c r="A1077" s="17" t="inlineStr">
        <is>
          <t>GRO3841</t>
        </is>
      </c>
      <c r="B1077" s="17" t="inlineStr">
        <is>
          <t>Cornwall Electronics párásító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GRO3845</t>
        </is>
      </c>
      <c r="B1078" s="17" t="inlineStr">
        <is>
          <t>ONA Liquid Pro szagsemlegesítő folyadék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GRO3846</t>
        </is>
      </c>
      <c r="B1079" s="17" t="inlineStr">
        <is>
          <t>Spektra Master Full spectrum LED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30 napban</t>
        </is>
      </c>
      <c r="G1079" s="17" t="inlineStr">
        <is>
          <t>Más főkategória terméke</t>
        </is>
      </c>
    </row>
    <row r="1080">
      <c r="A1080" s="17" t="inlineStr">
        <is>
          <t>GRO3847</t>
        </is>
      </c>
      <c r="B1080" s="17" t="inlineStr">
        <is>
          <t>Plagron Hydro Roots 1 liter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30 napban</t>
        </is>
      </c>
      <c r="G1080" s="17" t="inlineStr">
        <is>
          <t>Más főkategória terméke</t>
        </is>
      </c>
    </row>
    <row r="1081">
      <c r="A1081" s="17" t="inlineStr">
        <is>
          <t>GRO3848</t>
        </is>
      </c>
      <c r="B1081" s="17" t="inlineStr">
        <is>
          <t>Plagron Hydro Roots 5 liter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az elmúlt 30 napban</t>
        </is>
      </c>
      <c r="G1081" s="17" t="inlineStr">
        <is>
          <t>Más főkategória terméke</t>
        </is>
      </c>
    </row>
    <row r="1082">
      <c r="A1082" s="17" t="inlineStr">
        <is>
          <t>GRO3849</t>
        </is>
      </c>
      <c r="B1082" s="17" t="inlineStr">
        <is>
          <t>SANlight EVO Led 1.5 EVO 3-60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GRO3850</t>
        </is>
      </c>
      <c r="B1083" s="17" t="inlineStr">
        <is>
          <t>SANlight EVO Led 1.5 EVO 3-80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GRO3851</t>
        </is>
      </c>
      <c r="B1084" s="17" t="inlineStr">
        <is>
          <t>SANlight EVO Led 1.5 EVO 3-100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30 napban</t>
        </is>
      </c>
      <c r="G1084" s="17" t="inlineStr">
        <is>
          <t>Más főkategória terméke</t>
        </is>
      </c>
    </row>
    <row r="1085">
      <c r="A1085" s="17" t="inlineStr">
        <is>
          <t>GRO3854</t>
        </is>
      </c>
      <c r="B1085" s="17" t="inlineStr">
        <is>
          <t>SANlight EVO Led 1.5 EVO 4-120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30 napban</t>
        </is>
      </c>
      <c r="G1085" s="17" t="inlineStr">
        <is>
          <t>Más főkategória terméke</t>
        </is>
      </c>
    </row>
    <row r="1086">
      <c r="A1086" s="17" t="inlineStr">
        <is>
          <t>GRO3855</t>
        </is>
      </c>
      <c r="B1086" s="17" t="inlineStr">
        <is>
          <t>SANlight EVO Led 1.5 EVO 5-100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GRO3856</t>
        </is>
      </c>
      <c r="B1087" s="17" t="inlineStr">
        <is>
          <t>SANlight EVO Led 1.5 EVO 5-120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GRO3860</t>
        </is>
      </c>
      <c r="B1088" s="17" t="inlineStr">
        <is>
          <t>SANlight EVO Set 1.5 60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GRO3861</t>
        </is>
      </c>
      <c r="B1089" s="17" t="inlineStr">
        <is>
          <t>SANlight EVO Set 1.5 80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az elmúlt 30 napban</t>
        </is>
      </c>
      <c r="G1089" s="17" t="inlineStr">
        <is>
          <t>Más főkategória terméke</t>
        </is>
      </c>
    </row>
    <row r="1090">
      <c r="A1090" s="17" t="inlineStr">
        <is>
          <t>GRO3862</t>
        </is>
      </c>
      <c r="B1090" s="17" t="inlineStr">
        <is>
          <t>SANlight EVO Set 1.5 100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az elmúlt 30 napban</t>
        </is>
      </c>
      <c r="G1090" s="17" t="inlineStr">
        <is>
          <t>Más főkategória terméke</t>
        </is>
      </c>
    </row>
    <row r="1091">
      <c r="A1091" s="17" t="inlineStr">
        <is>
          <t>GRO3863</t>
        </is>
      </c>
      <c r="B1091" s="17" t="inlineStr">
        <is>
          <t>SANlight EVO Set 1.5 120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az elmúlt 30 napban</t>
        </is>
      </c>
      <c r="G1091" s="17" t="inlineStr">
        <is>
          <t>Más főkategória terméke</t>
        </is>
      </c>
    </row>
    <row r="1092">
      <c r="A1092" s="17" t="inlineStr">
        <is>
          <t>GRO3864</t>
        </is>
      </c>
      <c r="B1092" s="17" t="inlineStr">
        <is>
          <t>SANlight EVO Set 1.5 150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az elmúlt 30 napban</t>
        </is>
      </c>
      <c r="G1092" s="17" t="inlineStr">
        <is>
          <t>Más főkategória terméke</t>
        </is>
      </c>
    </row>
    <row r="1093">
      <c r="A1093" s="17" t="inlineStr">
        <is>
          <t>GRO3865</t>
        </is>
      </c>
      <c r="B1093" s="17" t="inlineStr">
        <is>
          <t>Secret Jardin Monkey Fan ventilátor 1,5 W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az elmúlt 30 napban</t>
        </is>
      </c>
      <c r="G1093" s="17" t="inlineStr">
        <is>
          <t>Más főkategória terméke</t>
        </is>
      </c>
    </row>
    <row r="1094">
      <c r="A1094" s="17" t="inlineStr">
        <is>
          <t>GRO3866</t>
        </is>
      </c>
      <c r="B1094" s="17" t="inlineStr">
        <is>
          <t>Secret Jardin Monkey Fan ventilátor 2,85 W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GRO3874</t>
        </is>
      </c>
      <c r="B1095" s="17" t="inlineStr">
        <is>
          <t>Agrolite E27 foglalat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az elmúlt 30 napban</t>
        </is>
      </c>
      <c r="G1095" s="17" t="inlineStr">
        <is>
          <t>Más főkategória terméke</t>
        </is>
      </c>
    </row>
    <row r="1096">
      <c r="A1096" s="17" t="inlineStr">
        <is>
          <t>GRO3878</t>
        </is>
      </c>
      <c r="B1096" s="17" t="inlineStr">
        <is>
          <t>Secret Jardin space booster bővítő &amp; WEBIT háló S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GRO3879</t>
        </is>
      </c>
      <c r="B1097" s="17" t="inlineStr">
        <is>
          <t>Secret Jardin space booster bővítő &amp; WEBIT háló L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GRO3880</t>
        </is>
      </c>
      <c r="B1098" s="17" t="inlineStr">
        <is>
          <t>Secret Jardin space booster bővítő &amp; WEBIT háló W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GRO3881</t>
        </is>
      </c>
      <c r="B1099" s="17" t="inlineStr">
        <is>
          <t>Lumatek daisy chain UV kábel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GRO3882</t>
        </is>
      </c>
      <c r="B1100" s="17" t="inlineStr">
        <is>
          <t>Homebox Ambient Növény sátor R120S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GRO3889</t>
        </is>
      </c>
      <c r="B1101" s="17" t="inlineStr">
        <is>
          <t>Propagátor nagy méretű 56x31x20 cm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GRO3890</t>
        </is>
      </c>
      <c r="B1102" s="17" t="inlineStr">
        <is>
          <t>Vermikulit 100 liter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GRO3891</t>
        </is>
      </c>
      <c r="B1103" s="17" t="inlineStr">
        <is>
          <t>Cornwall Electronics álló ventilátor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GRO3892</t>
        </is>
      </c>
      <c r="B1104" s="17" t="inlineStr">
        <is>
          <t>Cornwall Electronics fali ventilátor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GRO3897</t>
        </is>
      </c>
      <c r="B1105" s="17" t="inlineStr">
        <is>
          <t>Plagron pH min 5 liter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30 napban</t>
        </is>
      </c>
      <c r="G1105" s="17" t="inlineStr">
        <is>
          <t>Más főkategória terméke</t>
        </is>
      </c>
    </row>
    <row r="1106">
      <c r="A1106" s="17" t="inlineStr">
        <is>
          <t>GRO3898</t>
        </is>
      </c>
      <c r="B1106" s="17" t="inlineStr">
        <is>
          <t>Plagron pH min 10 liter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GRO3899</t>
        </is>
      </c>
      <c r="B1107" s="17" t="inlineStr">
        <is>
          <t>Plagron pH min 1 liter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az elmúlt 30 napban</t>
        </is>
      </c>
      <c r="G1107" s="17" t="inlineStr">
        <is>
          <t>Más főkategória terméke</t>
        </is>
      </c>
    </row>
    <row r="1108">
      <c r="A1108" s="17" t="inlineStr">
        <is>
          <t>GRO3900</t>
        </is>
      </c>
      <c r="B1108" s="17" t="inlineStr">
        <is>
          <t>Bluelab Guardian Monitor WIFI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az elmúlt 30 napban</t>
        </is>
      </c>
      <c r="G1108" s="17" t="inlineStr">
        <is>
          <t>Más főkategória terméke</t>
        </is>
      </c>
    </row>
    <row r="1109">
      <c r="A1109" s="17" t="inlineStr">
        <is>
          <t>GRO3902</t>
        </is>
      </c>
      <c r="B1109" s="17" t="inlineStr">
        <is>
          <t>Exhale CO2 zsák XL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GRO3903</t>
        </is>
      </c>
      <c r="B1110" s="17" t="inlineStr">
        <is>
          <t>CO2 termelő doboz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az elmúlt 30 napban</t>
        </is>
      </c>
      <c r="G1110" s="17" t="inlineStr">
        <is>
          <t>Más főkategória terméke</t>
        </is>
      </c>
    </row>
    <row r="1111">
      <c r="A1111" s="17" t="inlineStr">
        <is>
          <t>GRO3904</t>
        </is>
      </c>
      <c r="B1111" s="17" t="inlineStr">
        <is>
          <t>Cultibox Light Grow Box 60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az elmúlt 30 napban</t>
        </is>
      </c>
      <c r="G1111" s="17" t="inlineStr">
        <is>
          <t>Más főkategória terméke</t>
        </is>
      </c>
    </row>
    <row r="1112">
      <c r="A1112" s="17" t="inlineStr">
        <is>
          <t>GRO3905</t>
        </is>
      </c>
      <c r="B1112" s="17" t="inlineStr">
        <is>
          <t>Aquatek pH teszt 1-14 lakmuszpapír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az elmúlt 30 napban</t>
        </is>
      </c>
      <c r="G1112" s="17" t="inlineStr">
        <is>
          <t>Más főkategória terméke</t>
        </is>
      </c>
    </row>
    <row r="1113">
      <c r="A1113" s="17" t="inlineStr">
        <is>
          <t>GRO3907</t>
        </is>
      </c>
      <c r="B1113" s="17" t="inlineStr">
        <is>
          <t>Secret Jardin For Twenty 100 Grow Box 60x40x116 cm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az elmúlt 30 napban</t>
        </is>
      </c>
      <c r="G1113" s="17" t="inlineStr">
        <is>
          <t>Más főkategória terméke</t>
        </is>
      </c>
    </row>
    <row r="1114">
      <c r="A1114" s="17" t="inlineStr">
        <is>
          <t>GRO3908</t>
        </is>
      </c>
      <c r="B1114" s="17" t="inlineStr">
        <is>
          <t>Lumatek ZEUS PRO LED 600W 3.1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az elmúlt 30 napban</t>
        </is>
      </c>
      <c r="G1114" s="17" t="inlineStr">
        <is>
          <t>Más főkategória terméke</t>
        </is>
      </c>
    </row>
    <row r="1115">
      <c r="A1115" s="17" t="inlineStr">
        <is>
          <t>GRO3909</t>
        </is>
      </c>
      <c r="B1115" s="17" t="inlineStr">
        <is>
          <t>Secret Jardin fűtőlap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az elmúlt 30 napban</t>
        </is>
      </c>
      <c r="G1115" s="17" t="inlineStr">
        <is>
          <t>Más főkategória terméke</t>
        </is>
      </c>
    </row>
    <row r="1116">
      <c r="A1116" s="17" t="inlineStr">
        <is>
          <t>GRO3910</t>
        </is>
      </c>
      <c r="B1116" s="17" t="inlineStr">
        <is>
          <t>Secret Jardin Cosmorrow LED Full Spectrum 20W 50cm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az elmúlt 30 napban</t>
        </is>
      </c>
      <c r="G1116" s="17" t="inlineStr">
        <is>
          <t>Más főkategória terméke</t>
        </is>
      </c>
    </row>
    <row r="1117">
      <c r="A1117" s="17" t="inlineStr">
        <is>
          <t>GRO3911</t>
        </is>
      </c>
      <c r="B1117" s="17" t="inlineStr">
        <is>
          <t>Secret Jardin Cosmorrow Power tápegység 3x20W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az elmúlt 30 napban</t>
        </is>
      </c>
      <c r="G1117" s="17" t="inlineStr">
        <is>
          <t>Más főkategória terméke</t>
        </is>
      </c>
    </row>
    <row r="1118">
      <c r="A1118" s="17" t="inlineStr">
        <is>
          <t>GRO3912</t>
        </is>
      </c>
      <c r="B1118" s="17" t="inlineStr">
        <is>
          <t>Plagron Hydro Roots 100 ml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az elmúlt 30 napban</t>
        </is>
      </c>
      <c r="G1118" s="17" t="inlineStr">
        <is>
          <t>Más főkategória terméke</t>
        </is>
      </c>
    </row>
    <row r="1119">
      <c r="A1119" s="17" t="inlineStr">
        <is>
          <t>GRO3913</t>
        </is>
      </c>
      <c r="B1119" s="17" t="inlineStr">
        <is>
          <t>Plagron Hydro Roots 250 ml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az elmúlt 30 napban</t>
        </is>
      </c>
      <c r="G1119" s="17" t="inlineStr">
        <is>
          <t>Más főkategória terméke</t>
        </is>
      </c>
    </row>
    <row r="1120">
      <c r="A1120" s="17" t="inlineStr">
        <is>
          <t>GRO3914</t>
        </is>
      </c>
      <c r="B1120" s="17" t="inlineStr">
        <is>
          <t>Plagron pH plus 500 ml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az elmúlt 30 napban</t>
        </is>
      </c>
      <c r="G1120" s="17" t="inlineStr">
        <is>
          <t>Más főkategória terméke</t>
        </is>
      </c>
    </row>
    <row r="1121">
      <c r="A1121" s="17" t="inlineStr">
        <is>
          <t>GRO3915</t>
        </is>
      </c>
      <c r="B1121" s="17" t="inlineStr">
        <is>
          <t>Plagron pH plus 1 liter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az elmúlt 30 napban</t>
        </is>
      </c>
      <c r="G1121" s="17" t="inlineStr">
        <is>
          <t>Más főkategória terméke</t>
        </is>
      </c>
    </row>
    <row r="1122">
      <c r="A1122" s="17" t="inlineStr">
        <is>
          <t>GRO3916</t>
        </is>
      </c>
      <c r="B1122" s="17" t="inlineStr">
        <is>
          <t>Plagron pH plus 5 liter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az elmúlt 30 napban</t>
        </is>
      </c>
      <c r="G1122" s="17" t="inlineStr">
        <is>
          <t>Más főkategória terméke</t>
        </is>
      </c>
    </row>
    <row r="1123">
      <c r="A1123" s="17" t="inlineStr">
        <is>
          <t>GRO3917</t>
        </is>
      </c>
      <c r="B1123" s="17" t="inlineStr">
        <is>
          <t>Plagron pH plus 10 liter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az elmúlt 30 napban</t>
        </is>
      </c>
      <c r="G1123" s="17" t="inlineStr">
        <is>
          <t>Más főkategória terméke</t>
        </is>
      </c>
    </row>
    <row r="1124">
      <c r="A1124" s="17" t="inlineStr">
        <is>
          <t>GRO3918</t>
        </is>
      </c>
      <c r="B1124" s="17" t="inlineStr">
        <is>
          <t>Plagron pH min 500 ml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az elmúlt 30 napban</t>
        </is>
      </c>
      <c r="G1124" s="17" t="inlineStr">
        <is>
          <t>Más főkategória terméke</t>
        </is>
      </c>
    </row>
    <row r="1125">
      <c r="A1125" s="17" t="inlineStr">
        <is>
          <t>GRO3920</t>
        </is>
      </c>
      <c r="B1125" s="17" t="inlineStr">
        <is>
          <t>Cultibox Light Plus Grow Box 100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az elmúlt 30 napban</t>
        </is>
      </c>
      <c r="G1125" s="17" t="inlineStr">
        <is>
          <t>Más főkategória terméke</t>
        </is>
      </c>
    </row>
    <row r="1126">
      <c r="A1126" s="17" t="inlineStr">
        <is>
          <t>GRO3922</t>
        </is>
      </c>
      <c r="B1126" s="17" t="inlineStr">
        <is>
          <t>Cultibox Light Plus Grow Box 80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az elmúlt 30 napban</t>
        </is>
      </c>
      <c r="G1126" s="17" t="inlineStr">
        <is>
          <t>Más főkategória terméke</t>
        </is>
      </c>
    </row>
    <row r="1127">
      <c r="A1127" s="17" t="inlineStr">
        <is>
          <t>GRO3923</t>
        </is>
      </c>
      <c r="B1127" s="17" t="inlineStr">
        <is>
          <t>ADWA pH mérő szonda (ECO209 pH monitorhoz)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az elmúlt 30 napban</t>
        </is>
      </c>
      <c r="G1127" s="17" t="inlineStr">
        <is>
          <t>Más főkategória terméke</t>
        </is>
      </c>
    </row>
    <row r="1128">
      <c r="A1128" s="17" t="inlineStr">
        <is>
          <t>GRO3924</t>
        </is>
      </c>
      <c r="B1128" s="17" t="inlineStr">
        <is>
          <t>Jiffy Tőzegcserép Kerek Alapú 10 x 8 cm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az elmúlt 30 napban</t>
        </is>
      </c>
      <c r="G1128" s="17" t="inlineStr">
        <is>
          <t>Más főkategória terméke</t>
        </is>
      </c>
    </row>
    <row r="1129">
      <c r="A1129" s="17" t="inlineStr">
        <is>
          <t>GRO3925</t>
        </is>
      </c>
      <c r="B1129" s="17" t="inlineStr">
        <is>
          <t>Jiffy tőzegcserép tálca 4 x 4 x 5 cm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30 napban</t>
        </is>
      </c>
      <c r="G1129" s="17" t="inlineStr">
        <is>
          <t>Más főkategória terméke</t>
        </is>
      </c>
    </row>
    <row r="1130">
      <c r="A1130" s="17" t="inlineStr">
        <is>
          <t>GRO3927</t>
        </is>
      </c>
      <c r="B1130" s="17" t="inlineStr">
        <is>
          <t>Nutriculture X-Stream propagátor (fűtés nélkül) L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az elmúlt 30 napban</t>
        </is>
      </c>
      <c r="G1130" s="17" t="inlineStr">
        <is>
          <t>Más főkategória terméke</t>
        </is>
      </c>
    </row>
    <row r="1131">
      <c r="A1131" s="17" t="inlineStr">
        <is>
          <t>GRO3931</t>
        </is>
      </c>
      <c r="B1131" s="17" t="inlineStr">
        <is>
          <t>HortiONE Growing LED hortiONE420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az elmúlt 30 napban</t>
        </is>
      </c>
      <c r="G1131" s="17" t="inlineStr">
        <is>
          <t>Más főkategória terméke</t>
        </is>
      </c>
    </row>
    <row r="1132">
      <c r="A1132" s="17" t="inlineStr">
        <is>
          <t>GRO3932</t>
        </is>
      </c>
      <c r="B1132" s="17" t="inlineStr">
        <is>
          <t>HortiONE Growing LED hortiONE600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az elmúlt 30 napban</t>
        </is>
      </c>
      <c r="G1132" s="17" t="inlineStr">
        <is>
          <t>Más főkategória terméke</t>
        </is>
      </c>
    </row>
    <row r="1133">
      <c r="A1133" s="17" t="inlineStr">
        <is>
          <t>GRO3933</t>
        </is>
      </c>
      <c r="B1133" s="17" t="inlineStr">
        <is>
          <t>Growth Technology pH kalibráló folyadék 4.01 1 liter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30 napban</t>
        </is>
      </c>
      <c r="G1133" s="17" t="inlineStr">
        <is>
          <t>Más főkategória terméke</t>
        </is>
      </c>
    </row>
    <row r="1134">
      <c r="A1134" s="17" t="inlineStr">
        <is>
          <t>GRO3937</t>
        </is>
      </c>
      <c r="B1134" s="17" t="inlineStr">
        <is>
          <t>ONA Gel szagsemlegesítő zselé (Lemongrass) 4 liter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az elmúlt 30 napban</t>
        </is>
      </c>
      <c r="G1134" s="17" t="inlineStr">
        <is>
          <t>Más főkategória terméke</t>
        </is>
      </c>
    </row>
    <row r="1135">
      <c r="A1135" s="17" t="inlineStr">
        <is>
          <t>GRO3938</t>
        </is>
      </c>
      <c r="B1135" s="17" t="inlineStr">
        <is>
          <t>ONA Gel szagsemlegesítő zselé (Lemongrass) 500 ml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GRO3939</t>
        </is>
      </c>
      <c r="B1136" s="17" t="inlineStr">
        <is>
          <t>ONA Gel szagsemlegesítő zselé (Lemongrass) 1 liter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30 napban</t>
        </is>
      </c>
      <c r="G1136" s="17" t="inlineStr">
        <is>
          <t>Más főkategória terméke</t>
        </is>
      </c>
    </row>
    <row r="1137">
      <c r="A1137" s="17" t="inlineStr">
        <is>
          <t>GRO3946</t>
        </is>
      </c>
      <c r="B1137" s="17" t="inlineStr">
        <is>
          <t>Prima Klima Industry Line K1600 280 m3/h Pre Filter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az elmúlt 30 napban</t>
        </is>
      </c>
      <c r="G1137" s="17" t="inlineStr">
        <is>
          <t>Más főkategória terméke</t>
        </is>
      </c>
    </row>
    <row r="1138">
      <c r="A1138" s="17" t="inlineStr">
        <is>
          <t>GRO3948</t>
        </is>
      </c>
      <c r="B1138" s="17" t="inlineStr">
        <is>
          <t>Prima Klima Industry Line K1603 460 m3/h Pre Filter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az elmúlt 30 napban</t>
        </is>
      </c>
      <c r="G1138" s="17" t="inlineStr">
        <is>
          <t>Más főkategória terméke</t>
        </is>
      </c>
    </row>
    <row r="1139">
      <c r="A1139" s="17" t="inlineStr">
        <is>
          <t>GRO3949</t>
        </is>
      </c>
      <c r="B1139" s="17" t="inlineStr">
        <is>
          <t>Prima Klima Industry Line K1604 700 m3/h Pre Filter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az elmúlt 30 napban</t>
        </is>
      </c>
      <c r="G1139" s="17" t="inlineStr">
        <is>
          <t>Más főkategória terméke</t>
        </is>
      </c>
    </row>
    <row r="1140">
      <c r="A1140" s="17" t="inlineStr">
        <is>
          <t>GRO3953</t>
        </is>
      </c>
      <c r="B1140" s="17" t="inlineStr">
        <is>
          <t>Prima Klima Industry Line K1610 1650 m3/h Pre Filter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az elmúlt 30 napban</t>
        </is>
      </c>
      <c r="G1140" s="17" t="inlineStr">
        <is>
          <t>Más főkategória terméke</t>
        </is>
      </c>
    </row>
    <row r="1141">
      <c r="A1141" s="17" t="inlineStr">
        <is>
          <t>GRO3958</t>
        </is>
      </c>
      <c r="B1141" s="17" t="inlineStr">
        <is>
          <t>Aqua Master E300 Pro talaj EC mérő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az elmúlt 30 napban</t>
        </is>
      </c>
      <c r="G1141" s="17" t="inlineStr">
        <is>
          <t>Más főkategória terméke</t>
        </is>
      </c>
    </row>
    <row r="1142">
      <c r="A1142" s="17" t="inlineStr">
        <is>
          <t>GRO3959</t>
        </is>
      </c>
      <c r="B1142" s="17" t="inlineStr">
        <is>
          <t>Aqua Master H600 Pro folyadék pH, EC, PPM, TDS mérő (tokkal)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az elmúlt 30 napban</t>
        </is>
      </c>
      <c r="G1142" s="17" t="inlineStr">
        <is>
          <t>Más főkategória terméke</t>
        </is>
      </c>
    </row>
    <row r="1143">
      <c r="A1143" s="17" t="inlineStr">
        <is>
          <t>GRO3960</t>
        </is>
      </c>
      <c r="B1143" s="17" t="inlineStr">
        <is>
          <t>Aqua Master H600 Pro talaj pH, EC, PPM, TDS mérő (tokkal)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30 napban</t>
        </is>
      </c>
      <c r="G1143" s="17" t="inlineStr">
        <is>
          <t>Más főkategória terméke</t>
        </is>
      </c>
    </row>
    <row r="1144">
      <c r="A1144" s="17" t="inlineStr">
        <is>
          <t>GRO3961</t>
        </is>
      </c>
      <c r="B1144" s="17" t="inlineStr">
        <is>
          <t>Aqua Master P700 Pro2 Combo mérő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az elmúlt 30 napban</t>
        </is>
      </c>
      <c r="G1144" s="17" t="inlineStr">
        <is>
          <t>Más főkategória terméke</t>
        </is>
      </c>
    </row>
    <row r="1145">
      <c r="A1145" s="17" t="inlineStr">
        <is>
          <t>GRO3962</t>
        </is>
      </c>
      <c r="B1145" s="17" t="inlineStr">
        <is>
          <t>Aqua Master pH szonda P50 Pro mérőhöz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30 napban</t>
        </is>
      </c>
      <c r="G1145" s="17" t="inlineStr">
        <is>
          <t>Más főkategória terméke</t>
        </is>
      </c>
    </row>
    <row r="1146">
      <c r="A1146" s="17" t="inlineStr">
        <is>
          <t>GRO3963</t>
        </is>
      </c>
      <c r="B1146" s="17" t="inlineStr">
        <is>
          <t>Aqua Master pH szonda P110 Pro mérőhöz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az elmúlt 30 napban</t>
        </is>
      </c>
      <c r="G1146" s="17" t="inlineStr">
        <is>
          <t>Más főkategória terméke</t>
        </is>
      </c>
    </row>
    <row r="1147">
      <c r="A1147" s="17" t="inlineStr">
        <is>
          <t>GRO3964</t>
        </is>
      </c>
      <c r="B1147" s="17" t="inlineStr">
        <is>
          <t>Aqua Master EC kalibráló folyadék 12,88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30 napban</t>
        </is>
      </c>
      <c r="G1147" s="17" t="inlineStr">
        <is>
          <t>Más főkategória terméke</t>
        </is>
      </c>
    </row>
    <row r="1148">
      <c r="A1148" s="17" t="inlineStr">
        <is>
          <t>GRO3965</t>
        </is>
      </c>
      <c r="B1148" s="17" t="inlineStr">
        <is>
          <t>Aqua Master EC kalibráló folyadék 1413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az elmúlt 30 napban</t>
        </is>
      </c>
      <c r="G1148" s="17" t="inlineStr">
        <is>
          <t>Más főkategória terméke</t>
        </is>
      </c>
    </row>
    <row r="1149">
      <c r="A1149" s="17" t="inlineStr">
        <is>
          <t>GRO3966</t>
        </is>
      </c>
      <c r="B1149" s="17" t="inlineStr">
        <is>
          <t>Aqua Master pH kalibráló folyadék 7.00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az elmúlt 30 napban</t>
        </is>
      </c>
      <c r="G1149" s="17" t="inlineStr">
        <is>
          <t>Más főkategória terméke</t>
        </is>
      </c>
    </row>
    <row r="1150">
      <c r="A1150" s="17" t="inlineStr">
        <is>
          <t>GRO3967</t>
        </is>
      </c>
      <c r="B1150" s="17" t="inlineStr">
        <is>
          <t>Aqua Master pH kalibráló folyadék 4,01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az elmúlt 30 napban</t>
        </is>
      </c>
      <c r="G1150" s="17" t="inlineStr">
        <is>
          <t>Más főkategória terméke</t>
        </is>
      </c>
    </row>
    <row r="1151">
      <c r="A1151" s="17" t="inlineStr">
        <is>
          <t>GRO3968</t>
        </is>
      </c>
      <c r="B1151" s="17" t="inlineStr">
        <is>
          <t>Aqua Master KCI tároló folyadék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az elmúlt 30 napban</t>
        </is>
      </c>
      <c r="G1151" s="17" t="inlineStr">
        <is>
          <t>Más főkategória terméke</t>
        </is>
      </c>
    </row>
    <row r="1152">
      <c r="A1152" s="17" t="inlineStr">
        <is>
          <t>GRO3969</t>
        </is>
      </c>
      <c r="B1152" s="17" t="inlineStr">
        <is>
          <t>Aqua Master EC kalibráló folyadék 3.0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az elmúlt 30 napban</t>
        </is>
      </c>
      <c r="G1152" s="17" t="inlineStr">
        <is>
          <t>Más főkategória terméke</t>
        </is>
      </c>
    </row>
    <row r="1153">
      <c r="A1153" s="17" t="inlineStr">
        <is>
          <t>GRO3971</t>
        </is>
      </c>
      <c r="B1153" s="17" t="inlineStr">
        <is>
          <t>HortiLight Grow LED 150W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30 napban</t>
        </is>
      </c>
      <c r="G1153" s="17" t="inlineStr">
        <is>
          <t>Más főkategória terméke</t>
        </is>
      </c>
    </row>
    <row r="1154">
      <c r="A1154" s="17" t="inlineStr">
        <is>
          <t>GRO4002</t>
        </is>
      </c>
      <c r="B1154" s="17" t="inlineStr">
        <is>
          <t>Prima klima K1604-WHSPEC Industry line szénszűrő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30 napban</t>
        </is>
      </c>
      <c r="G1154" s="17" t="inlineStr">
        <is>
          <t>Más főkategória terméke</t>
        </is>
      </c>
    </row>
    <row r="1155">
      <c r="A1155" s="17" t="inlineStr">
        <is>
          <t>GRO4003</t>
        </is>
      </c>
      <c r="B1155" s="17" t="inlineStr">
        <is>
          <t>Fortis BYD Full Spectrum LED 720 W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az elmúlt 30 napban</t>
        </is>
      </c>
      <c r="G1155" s="17" t="inlineStr">
        <is>
          <t>Más főkategória terméke</t>
        </is>
      </c>
    </row>
    <row r="1156">
      <c r="A1156" s="17" t="inlineStr">
        <is>
          <t>GRO4004</t>
        </is>
      </c>
      <c r="B1156" s="17" t="inlineStr">
        <is>
          <t>Fortis Master digitális trafó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az elmúlt 30 napban</t>
        </is>
      </c>
      <c r="G1156" s="17" t="inlineStr">
        <is>
          <t>Más főkategória terméke</t>
        </is>
      </c>
    </row>
    <row r="1157">
      <c r="A1157" s="17" t="inlineStr">
        <is>
          <t>GRO4005</t>
        </is>
      </c>
      <c r="B1157" s="17" t="inlineStr">
        <is>
          <t>Bluelab pH és EC starter pack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GRO4006</t>
        </is>
      </c>
      <c r="B1158" s="17" t="inlineStr">
        <is>
          <t>Bluelab OnePen (pH, EC)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30 napban</t>
        </is>
      </c>
      <c r="G1158" s="17" t="inlineStr">
        <is>
          <t>Más főkategória terméke</t>
        </is>
      </c>
    </row>
    <row r="1159">
      <c r="A1159" s="17" t="inlineStr">
        <is>
          <t>GRO4007</t>
        </is>
      </c>
      <c r="B1159" s="17" t="inlineStr">
        <is>
          <t>Bluelab pH szabályozó Wi-Fi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GRO4008</t>
        </is>
      </c>
      <c r="B1160" s="17" t="inlineStr">
        <is>
          <t>Bluelab Pro szabályozó Wi-Fi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GRO4009</t>
        </is>
      </c>
      <c r="B1161" s="17" t="inlineStr">
        <is>
          <t>Bluelab PeriPod M3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GRO4013</t>
        </is>
      </c>
      <c r="B1162" s="17" t="inlineStr">
        <is>
          <t>TBOX4 smart mechanikus időkapcsoló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GRO4014</t>
        </is>
      </c>
      <c r="B1163" s="17" t="inlineStr">
        <is>
          <t>TBOX6 mechanikus időkapcsoló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GRO4016</t>
        </is>
      </c>
      <c r="B1164" s="17" t="inlineStr">
        <is>
          <t>TBOX12 mechanikus időkapcsoló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az elmúlt 30 napban</t>
        </is>
      </c>
      <c r="G1164" s="17" t="inlineStr">
        <is>
          <t>Más főkategória terméke</t>
        </is>
      </c>
    </row>
    <row r="1165">
      <c r="A1165" s="17" t="inlineStr">
        <is>
          <t>GRO4030</t>
        </is>
      </c>
      <c r="B1165" s="17" t="inlineStr">
        <is>
          <t>Terra Aquatica (GHE) Tripart Flora Micro Hard Water 1 liter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az elmúlt 30 napban</t>
        </is>
      </c>
      <c r="G1165" s="17" t="inlineStr">
        <is>
          <t>Más főkategória terméke</t>
        </is>
      </c>
    </row>
    <row r="1166">
      <c r="A1166" s="17" t="inlineStr">
        <is>
          <t>GRO4031</t>
        </is>
      </c>
      <c r="B1166" s="17" t="inlineStr">
        <is>
          <t>Terra Aquatica (GHE) Tripart Flora Micro Hard Water 5 liter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30 napban</t>
        </is>
      </c>
      <c r="G1166" s="17" t="inlineStr">
        <is>
          <t>Más főkategória terméke</t>
        </is>
      </c>
    </row>
    <row r="1167">
      <c r="A1167" s="17" t="inlineStr">
        <is>
          <t>GRO4032</t>
        </is>
      </c>
      <c r="B1167" s="17" t="inlineStr">
        <is>
          <t>Terra Aquatica (GHE) Kalcium-Magnézium kiegészítő 1 liter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30 napban</t>
        </is>
      </c>
      <c r="G1167" s="17" t="inlineStr">
        <is>
          <t>Más főkategória terméke</t>
        </is>
      </c>
    </row>
    <row r="1168">
      <c r="A1168" s="17" t="inlineStr">
        <is>
          <t>GRO4033</t>
        </is>
      </c>
      <c r="B1168" s="17" t="inlineStr">
        <is>
          <t>Terra Aquatica Silicate 1 liter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GRO4034</t>
        </is>
      </c>
      <c r="B1169" s="17" t="inlineStr">
        <is>
          <t>Terra Aquatica DryPart Grow 1 kg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30 napban</t>
        </is>
      </c>
      <c r="G1169" s="17" t="inlineStr">
        <is>
          <t>Más főkategória terméke</t>
        </is>
      </c>
    </row>
    <row r="1170">
      <c r="A1170" s="17" t="inlineStr">
        <is>
          <t>GRO4035</t>
        </is>
      </c>
      <c r="B1170" s="17" t="inlineStr">
        <is>
          <t>Terra Aquatica DryPart Bloom 1 kg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GRO4037</t>
        </is>
      </c>
      <c r="B1171" s="17" t="inlineStr">
        <is>
          <t>Can Filter Can Lite Szénszűrő (acél) 2500 m3/h szűrővég: 200 mm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GRO4039</t>
        </is>
      </c>
      <c r="B1172" s="17" t="inlineStr">
        <is>
          <t>Sanlight Stixx 50 LED 54W 3.0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30 napban</t>
        </is>
      </c>
      <c r="G1172" s="17" t="inlineStr">
        <is>
          <t>Más főkategória terméke</t>
        </is>
      </c>
    </row>
    <row r="1173">
      <c r="A1173" s="17" t="inlineStr">
        <is>
          <t>GRO4048</t>
        </is>
      </c>
      <c r="B1173" s="17" t="inlineStr">
        <is>
          <t>Agrolite LED QB BID 730W 2.9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GRO4080</t>
        </is>
      </c>
      <c r="B1174" s="17" t="inlineStr">
        <is>
          <t>Prima klima 125WHSP ventilátor (hőmérsékletszabályzós)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GRO4081</t>
        </is>
      </c>
      <c r="B1175" s="17" t="inlineStr">
        <is>
          <t>Prima klima 160WHSP ventilátor (hőmérsékletszabályzós)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GRO4082</t>
        </is>
      </c>
      <c r="B1176" s="17" t="inlineStr">
        <is>
          <t>Prima klima PK200EC-TC ventilátor (hőmérsékletszabályzós)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30 napban</t>
        </is>
      </c>
      <c r="G1176" s="17" t="inlineStr">
        <is>
          <t>Más főkategória terméke</t>
        </is>
      </c>
    </row>
    <row r="1177">
      <c r="A1177" s="17" t="inlineStr">
        <is>
          <t>GRO4085</t>
        </is>
      </c>
      <c r="B1177" s="17" t="inlineStr">
        <is>
          <t>Terra Aquatica (GHE) TrikoLogic 10 g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GRO4086</t>
        </is>
      </c>
      <c r="B1178" s="17" t="inlineStr">
        <is>
          <t>Terra Aquatica (GHE) TrikoLogic 25 g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GRO4087</t>
        </is>
      </c>
      <c r="B1179" s="17" t="inlineStr">
        <is>
          <t>Terra Aquatica (GHE) TrikoLogic 50 g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30 napban</t>
        </is>
      </c>
      <c r="G1179" s="17" t="inlineStr">
        <is>
          <t>Más főkategória terméke</t>
        </is>
      </c>
    </row>
    <row r="1180">
      <c r="A1180" s="17" t="inlineStr">
        <is>
          <t>GRO4088</t>
        </is>
      </c>
      <c r="B1180" s="17" t="inlineStr">
        <is>
          <t>Terra Aquatica (GHE) PermaBloom 1 liter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az elmúlt 30 napban</t>
        </is>
      </c>
      <c r="G1180" s="17" t="inlineStr">
        <is>
          <t>Más főkategória terméke</t>
        </is>
      </c>
    </row>
    <row r="1181">
      <c r="A1181" s="17" t="inlineStr">
        <is>
          <t>GRO4089</t>
        </is>
      </c>
      <c r="B1181" s="17" t="inlineStr">
        <is>
          <t>Terra Aquatica (GHE) Kalcium-Magnézium kiegészítő 500 ml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az elmúlt 30 napban</t>
        </is>
      </c>
      <c r="G1181" s="17" t="inlineStr">
        <is>
          <t>Más főkategória terméke</t>
        </is>
      </c>
    </row>
    <row r="1182">
      <c r="A1182" s="17" t="inlineStr">
        <is>
          <t>GRO4090</t>
        </is>
      </c>
      <c r="B1182" s="17" t="inlineStr">
        <is>
          <t>Terra Aquatica (GHE) Kalcium-Magnézium kiegészítő 5 liter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az elmúlt 30 napban</t>
        </is>
      </c>
      <c r="G1182" s="17" t="inlineStr">
        <is>
          <t>Más főkategória terméke</t>
        </is>
      </c>
    </row>
    <row r="1183">
      <c r="A1183" s="17" t="inlineStr">
        <is>
          <t>GRO4091</t>
        </is>
      </c>
      <c r="B1183" s="17" t="inlineStr">
        <is>
          <t>Terra Aquatica (GHE) Pro Organic Grow 500 ml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az elmúlt 30 napban</t>
        </is>
      </c>
      <c r="G1183" s="17" t="inlineStr">
        <is>
          <t>Más főkategória terméke</t>
        </is>
      </c>
    </row>
    <row r="1184">
      <c r="A1184" s="17" t="inlineStr">
        <is>
          <t>GRO4092</t>
        </is>
      </c>
      <c r="B1184" s="17" t="inlineStr">
        <is>
          <t>Terra Aquatica (GHE) Pro Organic Grow 1 liter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az elmúlt 30 napban</t>
        </is>
      </c>
      <c r="G1184" s="17" t="inlineStr">
        <is>
          <t>Más főkategória terméke</t>
        </is>
      </c>
    </row>
    <row r="1185">
      <c r="A1185" s="17" t="inlineStr">
        <is>
          <t>GRO4093</t>
        </is>
      </c>
      <c r="B1185" s="17" t="inlineStr">
        <is>
          <t>Terra Aquatica (GHE) Pro Organic Bloom 500 ml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az elmúlt 30 napban</t>
        </is>
      </c>
      <c r="G1185" s="17" t="inlineStr">
        <is>
          <t>Más főkategória terméke</t>
        </is>
      </c>
    </row>
    <row r="1186">
      <c r="A1186" s="17" t="inlineStr">
        <is>
          <t>GRO4094</t>
        </is>
      </c>
      <c r="B1186" s="17" t="inlineStr">
        <is>
          <t>Terra Aquatica (GHE) Pro Organic Bloom 1 liter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az elmúlt 30 napban</t>
        </is>
      </c>
      <c r="G1186" s="17" t="inlineStr">
        <is>
          <t>Más főkategória terméke</t>
        </is>
      </c>
    </row>
    <row r="1187">
      <c r="A1187" s="17" t="inlineStr">
        <is>
          <t>GRO4095</t>
        </is>
      </c>
      <c r="B1187" s="17" t="inlineStr">
        <is>
          <t>CO2 tabletta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az elmúlt 30 napban</t>
        </is>
      </c>
      <c r="G1187" s="17" t="inlineStr">
        <is>
          <t>Más főkategória terméke</t>
        </is>
      </c>
    </row>
    <row r="1188">
      <c r="A1188" s="17" t="inlineStr">
        <is>
          <t>GRO4096</t>
        </is>
      </c>
      <c r="B1188" s="17" t="inlineStr">
        <is>
          <t>CO2 tabletta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az elmúlt 30 napban</t>
        </is>
      </c>
      <c r="G1188" s="17" t="inlineStr">
        <is>
          <t>Más főkategória terméke</t>
        </is>
      </c>
    </row>
    <row r="1189">
      <c r="A1189" s="17" t="inlineStr">
        <is>
          <t>GRO4097</t>
        </is>
      </c>
      <c r="B1189" s="17" t="inlineStr">
        <is>
          <t>Urban Garden Clone600 Growing LED 30W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az elmúlt 30 napban</t>
        </is>
      </c>
      <c r="G1189" s="17" t="inlineStr">
        <is>
          <t>Más főkategória terméke</t>
        </is>
      </c>
    </row>
    <row r="1190">
      <c r="A1190" s="17" t="inlineStr">
        <is>
          <t>GRO4098</t>
        </is>
      </c>
      <c r="B1190" s="17" t="inlineStr">
        <is>
          <t>Urban Garden Clone900 Growing LED 45W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az elmúlt 30 napban</t>
        </is>
      </c>
      <c r="G1190" s="17" t="inlineStr">
        <is>
          <t>Más főkategória terméke</t>
        </is>
      </c>
    </row>
    <row r="1191">
      <c r="A1191" s="17" t="inlineStr">
        <is>
          <t>GRO4099</t>
        </is>
      </c>
      <c r="B1191" s="17" t="inlineStr">
        <is>
          <t>Urban Garden Clone1200 Growing LED 60W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az elmúlt 30 napban</t>
        </is>
      </c>
      <c r="G1191" s="17" t="inlineStr">
        <is>
          <t>Más főkategória terméke</t>
        </is>
      </c>
    </row>
    <row r="1192">
      <c r="A1192" s="17" t="inlineStr">
        <is>
          <t>GRO4101</t>
        </is>
      </c>
      <c r="B1192" s="17" t="inlineStr">
        <is>
          <t>Urban Garden Q200 Full Spectrum LED 200W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az elmúlt 30 napban</t>
        </is>
      </c>
      <c r="G1192" s="17" t="inlineStr">
        <is>
          <t>Más főkategória terméke</t>
        </is>
      </c>
    </row>
    <row r="1193">
      <c r="A1193" s="17" t="inlineStr">
        <is>
          <t>GRO4102</t>
        </is>
      </c>
      <c r="B1193" s="17" t="inlineStr">
        <is>
          <t>Urban Garden Q320 Full Spectrum LED 320W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30 napban</t>
        </is>
      </c>
      <c r="G1193" s="17" t="inlineStr">
        <is>
          <t>Más főkategória terméke</t>
        </is>
      </c>
    </row>
    <row r="1194">
      <c r="A1194" s="17" t="inlineStr">
        <is>
          <t>GRO4103</t>
        </is>
      </c>
      <c r="B1194" s="17" t="inlineStr">
        <is>
          <t>SANlight FLEX II LED 25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GRO4105</t>
        </is>
      </c>
      <c r="B1195" s="17" t="inlineStr">
        <is>
          <t>Terra Aquatica Silicate 5 liter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az elmúlt 30 napban</t>
        </is>
      </c>
      <c r="G1195" s="17" t="inlineStr">
        <is>
          <t>Más főkategória terméke</t>
        </is>
      </c>
    </row>
    <row r="1196">
      <c r="A1196" s="17" t="inlineStr">
        <is>
          <t>GRO4106</t>
        </is>
      </c>
      <c r="B1196" s="17" t="inlineStr">
        <is>
          <t>AC Infinity Advance sátor szett WIFI 60x60x180 cm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30 napban</t>
        </is>
      </c>
      <c r="G1196" s="17" t="inlineStr">
        <is>
          <t>Más főkategória terméke</t>
        </is>
      </c>
    </row>
    <row r="1197">
      <c r="A1197" s="17" t="inlineStr">
        <is>
          <t>GRO4107</t>
        </is>
      </c>
      <c r="B1197" s="17" t="inlineStr">
        <is>
          <t>AC Infinity Cloudline Pro S4 ventilátor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30 napban</t>
        </is>
      </c>
      <c r="G1197" s="17" t="inlineStr">
        <is>
          <t>Más főkategória terméke</t>
        </is>
      </c>
    </row>
    <row r="1198">
      <c r="A1198" s="17" t="inlineStr">
        <is>
          <t>GRO4108</t>
        </is>
      </c>
      <c r="B1198" s="17" t="inlineStr">
        <is>
          <t>AC Infinity Cloudline Pro T4 ventilátor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az elmúlt 30 napban</t>
        </is>
      </c>
      <c r="G1198" s="17" t="inlineStr">
        <is>
          <t>Más főkategória terméke</t>
        </is>
      </c>
    </row>
    <row r="1199">
      <c r="A1199" s="17" t="inlineStr">
        <is>
          <t>GRO4111</t>
        </is>
      </c>
      <c r="B1199" s="17" t="inlineStr">
        <is>
          <t>Prima Klima Industry Line for K1605 680 m3/h Pre Filter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30 napban</t>
        </is>
      </c>
      <c r="G1199" s="17" t="inlineStr">
        <is>
          <t>Más főkategória terméke</t>
        </is>
      </c>
    </row>
    <row r="1200">
      <c r="A1200" s="17" t="inlineStr">
        <is>
          <t>GRO4112</t>
        </is>
      </c>
      <c r="B1200" s="17" t="inlineStr">
        <is>
          <t>Prima Klima Industry Line for K1606 1080 m3/h Pre Filter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az elmúlt 30 napban</t>
        </is>
      </c>
      <c r="G1200" s="17" t="inlineStr">
        <is>
          <t>Más főkategória terméke</t>
        </is>
      </c>
    </row>
    <row r="1201">
      <c r="A1201" s="17" t="inlineStr">
        <is>
          <t>GRO4118</t>
        </is>
      </c>
      <c r="B1201" s="17" t="inlineStr">
        <is>
          <t>Garden Highpro Inline ventilátor (150 mm)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30 napban</t>
        </is>
      </c>
      <c r="G1201" s="17" t="inlineStr">
        <is>
          <t>Más főkategória terméke</t>
        </is>
      </c>
    </row>
    <row r="1202">
      <c r="A1202" s="17" t="inlineStr">
        <is>
          <t>GRO4121</t>
        </is>
      </c>
      <c r="B1202" s="17" t="inlineStr">
        <is>
          <t>Garden Highpro 2 sebességes ventilátor (150 mm)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az elmúlt 30 napban</t>
        </is>
      </c>
      <c r="G1202" s="17" t="inlineStr">
        <is>
          <t>Más főkategória terméke</t>
        </is>
      </c>
    </row>
    <row r="1203">
      <c r="A1203" s="17" t="inlineStr">
        <is>
          <t>GRO4131</t>
        </is>
      </c>
      <c r="B1203" s="17" t="inlineStr">
        <is>
          <t>Garden Highpro szövetcserép (7 liter)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GRO4134</t>
        </is>
      </c>
      <c r="B1204" s="17" t="inlineStr">
        <is>
          <t>Garden Highpro Propagator Box M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30 napban</t>
        </is>
      </c>
      <c r="G1204" s="17" t="inlineStr">
        <is>
          <t>Más főkategória terméke</t>
        </is>
      </c>
    </row>
    <row r="1205">
      <c r="A1205" s="17" t="inlineStr">
        <is>
          <t>GRO4135</t>
        </is>
      </c>
      <c r="B1205" s="17" t="inlineStr">
        <is>
          <t>Garden Highpro Propagator Grow Box L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az elmúlt 30 napban</t>
        </is>
      </c>
      <c r="G1205" s="17" t="inlineStr">
        <is>
          <t>Más főkategória terméke</t>
        </is>
      </c>
    </row>
    <row r="1206">
      <c r="A1206" s="17" t="inlineStr">
        <is>
          <t>GRO4136</t>
        </is>
      </c>
      <c r="B1206" s="17" t="inlineStr">
        <is>
          <t>Garden Highpro Propagator Grow Box XL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az elmúlt 30 napban</t>
        </is>
      </c>
      <c r="G1206" s="17" t="inlineStr">
        <is>
          <t>Más főkategória terméke</t>
        </is>
      </c>
    </row>
    <row r="1207">
      <c r="A1207" s="17" t="inlineStr">
        <is>
          <t>GRO4141</t>
        </is>
      </c>
      <c r="B1207" s="17" t="inlineStr">
        <is>
          <t>Garden Highpro LEDMAXECO Full Spectrum LED 300W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az elmúlt 30 napban</t>
        </is>
      </c>
      <c r="G1207" s="17" t="inlineStr">
        <is>
          <t>Más főkategória terméke</t>
        </is>
      </c>
    </row>
    <row r="1208">
      <c r="A1208" s="17" t="inlineStr">
        <is>
          <t>GRO4143</t>
        </is>
      </c>
      <c r="B1208" s="17" t="inlineStr">
        <is>
          <t>Garden Highpro Grow Box szett 150W / 80x80x180 cm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az elmúlt 30 napban</t>
        </is>
      </c>
      <c r="G1208" s="17" t="inlineStr">
        <is>
          <t>Más főkategória terméke</t>
        </is>
      </c>
    </row>
    <row r="1209">
      <c r="A1209" s="17" t="inlineStr">
        <is>
          <t>GRO4144</t>
        </is>
      </c>
      <c r="B1209" s="17" t="inlineStr">
        <is>
          <t>Garden Highpro Grow Box szett 300W / 120x60x180 cm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az elmúlt 30 napban</t>
        </is>
      </c>
      <c r="G1209" s="17" t="inlineStr">
        <is>
          <t>Más főkategória terméke</t>
        </is>
      </c>
    </row>
    <row r="1210">
      <c r="A1210" s="17" t="inlineStr">
        <is>
          <t>GRO4148</t>
        </is>
      </c>
      <c r="B1210" s="17" t="inlineStr">
        <is>
          <t>Photobio Advanced Quantum PAR mérő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30 napban</t>
        </is>
      </c>
      <c r="G1210" s="17" t="inlineStr">
        <is>
          <t>Más főkategória terméke</t>
        </is>
      </c>
    </row>
    <row r="1211">
      <c r="A1211" s="17" t="inlineStr">
        <is>
          <t>GRO4160</t>
        </is>
      </c>
      <c r="B1211" s="17" t="inlineStr">
        <is>
          <t>GrowBro CO2 palack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az elmúlt 30 napban</t>
        </is>
      </c>
      <c r="G1211" s="17" t="inlineStr">
        <is>
          <t>Más főkategória terméke</t>
        </is>
      </c>
    </row>
    <row r="1212">
      <c r="A1212" s="17" t="inlineStr">
        <is>
          <t>GRO4162</t>
        </is>
      </c>
      <c r="B1212" s="17" t="inlineStr">
        <is>
          <t>Autopilot Co2 generátor propán gázzal 4KW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az elmúlt 30 napban</t>
        </is>
      </c>
      <c r="G1212" s="17" t="inlineStr">
        <is>
          <t>Más főkategória terméke</t>
        </is>
      </c>
    </row>
    <row r="1213">
      <c r="A1213" s="17" t="inlineStr">
        <is>
          <t>GRO4163</t>
        </is>
      </c>
      <c r="B1213" s="17" t="inlineStr">
        <is>
          <t>Autopilot Co2 generátor propán gázzal 8KW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az elmúlt 30 napban</t>
        </is>
      </c>
      <c r="G1213" s="17" t="inlineStr">
        <is>
          <t>Más főkategória terméke</t>
        </is>
      </c>
    </row>
    <row r="1214">
      <c r="A1214" s="17" t="inlineStr">
        <is>
          <t>GRO4164</t>
        </is>
      </c>
      <c r="B1214" s="17" t="inlineStr">
        <is>
          <t>Dimlux Xtreme Series MKII LED 550W 3.4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az elmúlt 30 napban</t>
        </is>
      </c>
      <c r="G1214" s="17" t="inlineStr">
        <is>
          <t>Más főkategória terméke</t>
        </is>
      </c>
    </row>
    <row r="1215">
      <c r="A1215" s="17" t="inlineStr">
        <is>
          <t>GRO4165</t>
        </is>
      </c>
      <c r="B1215" s="17" t="inlineStr">
        <is>
          <t>Dimlux Xtreme Series MKII LED 800W 3.45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az elmúlt 30 napban</t>
        </is>
      </c>
      <c r="G1215" s="17" t="inlineStr">
        <is>
          <t>Más főkategória terméke</t>
        </is>
      </c>
    </row>
    <row r="1216">
      <c r="A1216" s="17" t="inlineStr">
        <is>
          <t>GRO4166</t>
        </is>
      </c>
      <c r="B1216" s="17" t="inlineStr">
        <is>
          <t>Dimlux Xtreme Series MKII LED 1050W 3.55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30 napban</t>
        </is>
      </c>
      <c r="G1216" s="17" t="inlineStr">
        <is>
          <t>Más főkategória terméke</t>
        </is>
      </c>
    </row>
    <row r="1217">
      <c r="A1217" s="17" t="inlineStr">
        <is>
          <t>GRO4167</t>
        </is>
      </c>
      <c r="B1217" s="17" t="inlineStr">
        <is>
          <t>Dimlux Xtreme NIR+UV-A ADD-ON LED 70W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az elmúlt 30 napban</t>
        </is>
      </c>
      <c r="G1217" s="17" t="inlineStr">
        <is>
          <t>Más főkategória terméke</t>
        </is>
      </c>
    </row>
    <row r="1218">
      <c r="A1218" s="17" t="inlineStr">
        <is>
          <t>GRO4168</t>
        </is>
      </c>
      <c r="B1218" s="17" t="inlineStr">
        <is>
          <t>Dimlux Xtreme NIR+UV-A ADD-ON LED 140W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az elmúlt 30 napban</t>
        </is>
      </c>
      <c r="G1218" s="17" t="inlineStr">
        <is>
          <t>Más főkategória terméke</t>
        </is>
      </c>
    </row>
    <row r="1219">
      <c r="A1219" s="17" t="inlineStr">
        <is>
          <t>GRO4169</t>
        </is>
      </c>
      <c r="B1219" s="17" t="inlineStr">
        <is>
          <t>Dimlux Xtreme Series UV-B Booster Add-On T5 fénycső 22W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az elmúlt 30 napban</t>
        </is>
      </c>
      <c r="G1219" s="17" t="inlineStr">
        <is>
          <t>Más főkategória terméke</t>
        </is>
      </c>
    </row>
    <row r="1220">
      <c r="A1220" s="17" t="inlineStr">
        <is>
          <t>GRO4170</t>
        </is>
      </c>
      <c r="B1220" s="17" t="inlineStr">
        <is>
          <t>Dimlux Xtreme Series UV-B Booster Add-On T5 fénycső 33W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az elmúlt 30 napban</t>
        </is>
      </c>
      <c r="G1220" s="17" t="inlineStr">
        <is>
          <t>Más főkategória terméke</t>
        </is>
      </c>
    </row>
    <row r="1221">
      <c r="A1221" s="17" t="inlineStr">
        <is>
          <t>GRO4171</t>
        </is>
      </c>
      <c r="B1221" s="17" t="inlineStr">
        <is>
          <t>Dimlux Xplore series 9X LED 730W 2.7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GRO4172</t>
        </is>
      </c>
      <c r="B1222" s="17" t="inlineStr">
        <is>
          <t>Dimlux Xplore series 9X LED 730W 3.0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az elmúlt 30 napban</t>
        </is>
      </c>
      <c r="G1222" s="17" t="inlineStr">
        <is>
          <t>Más főkategória terméke</t>
        </is>
      </c>
    </row>
    <row r="1223">
      <c r="A1223" s="17" t="inlineStr">
        <is>
          <t>GRO4173</t>
        </is>
      </c>
      <c r="B1223" s="17" t="inlineStr">
        <is>
          <t>Dimlux Xplore Series UV ADD-ON LED 2x25W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az elmúlt 30 napban</t>
        </is>
      </c>
      <c r="G1223" s="17" t="inlineStr">
        <is>
          <t>Más főkategória terméke</t>
        </is>
      </c>
    </row>
    <row r="1224">
      <c r="A1224" s="17" t="inlineStr">
        <is>
          <t>GRO4174</t>
        </is>
      </c>
      <c r="B1224" s="17" t="inlineStr">
        <is>
          <t>Dimlux Xplore Series NIR ADD-ON LED 2x25W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az elmúlt 30 napban</t>
        </is>
      </c>
      <c r="G1224" s="17" t="inlineStr">
        <is>
          <t>Más főkategória terméke</t>
        </is>
      </c>
    </row>
    <row r="1225">
      <c r="A1225" s="17" t="inlineStr">
        <is>
          <t>GRO4175</t>
        </is>
      </c>
      <c r="B1225" s="17" t="inlineStr">
        <is>
          <t>Dimlux Xplore Series NIR+UV ADD-ON 2x25W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az elmúlt 30 napban</t>
        </is>
      </c>
      <c r="G1225" s="17" t="inlineStr">
        <is>
          <t>Más főkategória terméke</t>
        </is>
      </c>
    </row>
    <row r="1226">
      <c r="A1226" s="17" t="inlineStr">
        <is>
          <t>GRO4188</t>
        </is>
      </c>
      <c r="B1226" s="17" t="inlineStr">
        <is>
          <t>AC Infinity Advanced sátor szett WIFI 2 növényes 60x120x180 cm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az elmúlt 30 napban</t>
        </is>
      </c>
      <c r="G1226" s="17" t="inlineStr">
        <is>
          <t>Más főkategória terméke</t>
        </is>
      </c>
    </row>
    <row r="1227">
      <c r="A1227" s="17" t="inlineStr">
        <is>
          <t>GRO4189</t>
        </is>
      </c>
      <c r="B1227" s="17" t="inlineStr">
        <is>
          <t>AC Infinity Advanced sátor szett WIFI 3 növényes 90x90x180 cm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30 napban</t>
        </is>
      </c>
      <c r="G1227" s="17" t="inlineStr">
        <is>
          <t>Más főkategória terméke</t>
        </is>
      </c>
    </row>
    <row r="1228">
      <c r="A1228" s="17" t="inlineStr">
        <is>
          <t>GRO4190</t>
        </is>
      </c>
      <c r="B1228" s="17" t="inlineStr">
        <is>
          <t>AC Infinity Ionframe EVO4 Samsung LM301H Growing LED 90x90 cm 300W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GRO4191</t>
        </is>
      </c>
      <c r="B1229" s="17" t="inlineStr">
        <is>
          <t>AC Infinity Cloudline Lite A4 ventilátor sebességszabályzóval 100 mm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GRO4192</t>
        </is>
      </c>
      <c r="B1230" s="17" t="inlineStr">
        <is>
          <t>AC Infinity Cloudline Lite A6 ventilátor sebességszabályzóval 150 mm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az elmúlt 30 napban</t>
        </is>
      </c>
      <c r="G1230" s="17" t="inlineStr">
        <is>
          <t>Más főkategória terméke</t>
        </is>
      </c>
    </row>
    <row r="1231">
      <c r="A1231" s="17" t="inlineStr">
        <is>
          <t>GRO4194</t>
        </is>
      </c>
      <c r="B1231" s="17" t="inlineStr">
        <is>
          <t>AC Infinity Cloudline pro S6 Inline ventilátor sebességszabályzóval 150 mm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az elmúlt 30 napban</t>
        </is>
      </c>
      <c r="G1231" s="17" t="inlineStr">
        <is>
          <t>Más főkategória terméke</t>
        </is>
      </c>
    </row>
    <row r="1232">
      <c r="A1232" s="17" t="inlineStr">
        <is>
          <t>GRO4195</t>
        </is>
      </c>
      <c r="B1232" s="17" t="inlineStr">
        <is>
          <t>AC Infinity Cloudline pro T6 Inline ventillátor hőmérséklet és páratartalom szabályzóval 150 mm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30 napban</t>
        </is>
      </c>
      <c r="G1232" s="17" t="inlineStr">
        <is>
          <t>Más főkategória terméke</t>
        </is>
      </c>
    </row>
    <row r="1233">
      <c r="A1233" s="17" t="inlineStr">
        <is>
          <t>GRO4196</t>
        </is>
      </c>
      <c r="B1233" s="17" t="inlineStr">
        <is>
          <t>AC Infinity Cloudray S6 GEN2 csíptethető ventillátor 10 sebességes automatikus oszcilláló 150 mm 535m3/h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30 napban</t>
        </is>
      </c>
      <c r="G1233" s="17" t="inlineStr">
        <is>
          <t>Más főkategória terméke</t>
        </is>
      </c>
    </row>
    <row r="1234">
      <c r="A1234" s="17" t="inlineStr">
        <is>
          <t>GRO4197</t>
        </is>
      </c>
      <c r="B1234" s="17" t="inlineStr">
        <is>
          <t>AC Infinity Cloudray S9 GEN2 csíptethető ventilátor 10 sebességes automatikus oszcilláló 225mm 688m3/h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GRO4198</t>
        </is>
      </c>
      <c r="B1235" s="17" t="inlineStr">
        <is>
          <t>AC Infinity Controller 69 Pro Bluetooth+WiFi 4 eszköz független vezérléséhez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30 napban</t>
        </is>
      </c>
      <c r="G1235" s="17" t="inlineStr">
        <is>
          <t>Más főkategória terméke</t>
        </is>
      </c>
    </row>
    <row r="1236">
      <c r="A1236" s="17" t="inlineStr">
        <is>
          <t>GRO4199</t>
        </is>
      </c>
      <c r="B1236" s="17" t="inlineStr">
        <is>
          <t>AC Infinity Controller AI+ intelligens környezeti vezérlés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GRO4200</t>
        </is>
      </c>
      <c r="B1237" s="17" t="inlineStr">
        <is>
          <t>AC Infinity Cloudforge T3 párásító intelligens,célzott párakibocsátással 4,5 L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GRO4208</t>
        </is>
      </c>
      <c r="B1238" s="17" t="inlineStr">
        <is>
          <t>AC Infinity Cloudray A6 csíptethető ventilátor 10 sebességes manuális 150 mm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az elmúlt 30 napban</t>
        </is>
      </c>
      <c r="G1238" s="17" t="inlineStr">
        <is>
          <t>Más főkategória terméke</t>
        </is>
      </c>
    </row>
    <row r="1239">
      <c r="A1239" s="17" t="inlineStr">
        <is>
          <t>GRO4209</t>
        </is>
      </c>
      <c r="B1239" s="17" t="inlineStr">
        <is>
          <t>AC Infinity Cloudforge T7 párásító intelligens,célzott párakibocsátással 15 L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az elmúlt 30 napban</t>
        </is>
      </c>
      <c r="G1239" s="17" t="inlineStr">
        <is>
          <t>Más főkategória terméke</t>
        </is>
      </c>
    </row>
    <row r="1240">
      <c r="A1240" s="17" t="inlineStr">
        <is>
          <t>GRO4214</t>
        </is>
      </c>
      <c r="B1240" s="17" t="inlineStr">
        <is>
          <t>Prima Klima Ecoline K2601 480 m3/h Pre Filter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30 napban</t>
        </is>
      </c>
      <c r="G1240" s="17" t="inlineStr">
        <is>
          <t>Más főkategória terméke</t>
        </is>
      </c>
    </row>
    <row r="1241">
      <c r="A1241" s="17" t="inlineStr">
        <is>
          <t>GRO4215</t>
        </is>
      </c>
      <c r="B1241" s="17" t="inlineStr">
        <is>
          <t>Prima Klima Industry Line K1614 3600 m3/h Pre Filter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30 napban</t>
        </is>
      </c>
      <c r="G1241" s="17" t="inlineStr">
        <is>
          <t>Más főkategória terméke</t>
        </is>
      </c>
    </row>
    <row r="1242">
      <c r="A1242" s="17" t="inlineStr">
        <is>
          <t>GRO4216</t>
        </is>
      </c>
      <c r="B1242" s="17" t="inlineStr">
        <is>
          <t>Prima Klima Industry Line K1612 2700 m3/h Pre Filter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GRO4219</t>
        </is>
      </c>
      <c r="B1243" s="17" t="inlineStr">
        <is>
          <t>Aqua Master S300 Pro3 pH mérő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30 napban</t>
        </is>
      </c>
      <c r="G1243" s="17" t="inlineStr">
        <is>
          <t>Más főkategória terméke</t>
        </is>
      </c>
    </row>
    <row r="1244">
      <c r="A1244" s="17" t="inlineStr">
        <is>
          <t>GRO4225</t>
        </is>
      </c>
      <c r="B1244" s="17" t="inlineStr">
        <is>
          <t>pH teszt papír 4,5-9 pH precíziós lakmuszpapír 100 db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GRO4226</t>
        </is>
      </c>
      <c r="B1245" s="17" t="inlineStr">
        <is>
          <t>Dimlux Xplore series LED 730W 2.7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30 napban</t>
        </is>
      </c>
      <c r="G1245" s="17" t="inlineStr">
        <is>
          <t>Más főkategória terméke</t>
        </is>
      </c>
    </row>
    <row r="1246">
      <c r="A1246" s="17" t="inlineStr">
        <is>
          <t>GRO4227</t>
        </is>
      </c>
      <c r="B1246" s="17" t="inlineStr">
        <is>
          <t>Dimlux Xplore series LED 730W 3.0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az elmúlt 30 napban</t>
        </is>
      </c>
      <c r="G1246" s="17" t="inlineStr">
        <is>
          <t>Más főkategória terméke</t>
        </is>
      </c>
    </row>
    <row r="1247">
      <c r="A1247" s="17" t="inlineStr">
        <is>
          <t>GRO4237</t>
        </is>
      </c>
      <c r="B1247" s="17" t="inlineStr">
        <is>
          <t>GF Termesztősátor 60x60x160 cm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GRO4238</t>
        </is>
      </c>
      <c r="B1248" s="17" t="inlineStr">
        <is>
          <t>GF Termesztősátor 80x80x180 cm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az elmúlt 30 napban</t>
        </is>
      </c>
      <c r="G1248" s="17" t="inlineStr">
        <is>
          <t>Más főkategória terméke</t>
        </is>
      </c>
    </row>
    <row r="1249">
      <c r="A1249" s="17" t="inlineStr">
        <is>
          <t>GRO4239</t>
        </is>
      </c>
      <c r="B1249" s="17" t="inlineStr">
        <is>
          <t>GF Termesztősátor 100x100x200 cm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GRO4240</t>
        </is>
      </c>
      <c r="B1250" s="17" t="inlineStr">
        <is>
          <t>GF Cserép economic 10 L 10 db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30 napban</t>
        </is>
      </c>
      <c r="G1250" s="17" t="inlineStr">
        <is>
          <t>Más főkategória terméke</t>
        </is>
      </c>
    </row>
    <row r="1251">
      <c r="A1251" s="17" t="inlineStr">
        <is>
          <t>GRO4241</t>
        </is>
      </c>
      <c r="B1251" s="17" t="inlineStr">
        <is>
          <t>GF Cserép economic 15 L 10 db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GRO4242</t>
        </is>
      </c>
      <c r="B1252" s="17" t="inlineStr">
        <is>
          <t>GF Ventilátor csíptethető,oszcilláló d: 15 cm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az elmúlt 30 napban</t>
        </is>
      </c>
      <c r="G1252" s="17" t="inlineStr">
        <is>
          <t>Más főkategória terméke</t>
        </is>
      </c>
    </row>
    <row r="1253">
      <c r="A1253" s="17" t="inlineStr">
        <is>
          <t>GRO4247</t>
        </is>
      </c>
      <c r="B1253" s="17" t="inlineStr">
        <is>
          <t>GrowBro CO2 adapter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30 napban</t>
        </is>
      </c>
      <c r="G1253" s="17" t="inlineStr">
        <is>
          <t>Más főkategória terméke</t>
        </is>
      </c>
    </row>
    <row r="1254">
      <c r="A1254" s="17" t="inlineStr">
        <is>
          <t>GRO4248</t>
        </is>
      </c>
      <c r="B1254" s="17" t="inlineStr">
        <is>
          <t>Aqua Master P160 pro2 kombinált pH EC PPM TDS és hőmérséklet mérő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az elmúlt 30 napban</t>
        </is>
      </c>
      <c r="G1254" s="17" t="inlineStr">
        <is>
          <t>Más főkategória terméke</t>
        </is>
      </c>
    </row>
    <row r="1255">
      <c r="A1255" s="17" t="inlineStr">
        <is>
          <t>GRO4249</t>
        </is>
      </c>
      <c r="B1255" s="17" t="inlineStr">
        <is>
          <t>Aqua Master EC 12,88 kalibráló folyadék 20 ml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30 napban</t>
        </is>
      </c>
      <c r="G1255" s="17" t="inlineStr">
        <is>
          <t>Más főkategória terméke</t>
        </is>
      </c>
    </row>
    <row r="1256">
      <c r="A1256" s="17" t="inlineStr">
        <is>
          <t>GRO4251</t>
        </is>
      </c>
      <c r="B1256" s="17" t="inlineStr">
        <is>
          <t>Aqua Master EC 1413 kalibráló folyadék 20 ml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az elmúlt 30 napban</t>
        </is>
      </c>
      <c r="G1256" s="17" t="inlineStr">
        <is>
          <t>Más főkategória terméke</t>
        </is>
      </c>
    </row>
    <row r="1257">
      <c r="A1257" s="17" t="inlineStr">
        <is>
          <t>GRO4252</t>
        </is>
      </c>
      <c r="B1257" s="17" t="inlineStr">
        <is>
          <t>Aqua Master EC 1413 kalibráló folyadék 500 ml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30 napban</t>
        </is>
      </c>
      <c r="G1257" s="17" t="inlineStr">
        <is>
          <t>Más főkategória terméke</t>
        </is>
      </c>
    </row>
    <row r="1258">
      <c r="A1258" s="17" t="inlineStr">
        <is>
          <t>GRO4253</t>
        </is>
      </c>
      <c r="B1258" s="17" t="inlineStr">
        <is>
          <t>Aqua Master pH 7.00 kalibráló folyadék 20 ml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GRO4254</t>
        </is>
      </c>
      <c r="B1259" s="17" t="inlineStr">
        <is>
          <t>Aqua Master pH 7.00 kalibráló folyadék 500 ml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GRO4256</t>
        </is>
      </c>
      <c r="B1260" s="17" t="inlineStr">
        <is>
          <t>Aqua Master pH 4,01 kalibráló folyadék 20 ml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GRO4257</t>
        </is>
      </c>
      <c r="B1261" s="17" t="inlineStr">
        <is>
          <t>Aqua Master pH 4,01 kalibráló folyadék 500 ml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GRO4259</t>
        </is>
      </c>
      <c r="B1262" s="17" t="inlineStr">
        <is>
          <t>Aqua Master tároló folyadék KCI 500 ml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30 napban</t>
        </is>
      </c>
      <c r="G1262" s="17" t="inlineStr">
        <is>
          <t>Más főkategória terméke</t>
        </is>
      </c>
    </row>
    <row r="1263">
      <c r="A1263" s="17" t="inlineStr">
        <is>
          <t>GRO4260</t>
        </is>
      </c>
      <c r="B1263" s="17" t="inlineStr">
        <is>
          <t>Aqua Master tároló folyadék KCI 3 mol 5 L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30 napban</t>
        </is>
      </c>
      <c r="G1263" s="17" t="inlineStr">
        <is>
          <t>Más főkategória terméke</t>
        </is>
      </c>
    </row>
    <row r="1264">
      <c r="A1264" s="17" t="inlineStr">
        <is>
          <t>GRO4261</t>
        </is>
      </c>
      <c r="B1264" s="17" t="inlineStr">
        <is>
          <t>Aqua Master pH mérő elektróda tisztító D 100ml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az elmúlt 30 napban</t>
        </is>
      </c>
      <c r="G1264" s="17" t="inlineStr">
        <is>
          <t>Más főkategória terméke</t>
        </is>
      </c>
    </row>
    <row r="1265">
      <c r="A1265" s="17" t="inlineStr">
        <is>
          <t>GRO4262</t>
        </is>
      </c>
      <c r="B1265" s="17" t="inlineStr">
        <is>
          <t>Aqua Master C800 pro pH EC PPM TDS és hőmérséklet vezérlő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30 napban</t>
        </is>
      </c>
      <c r="G1265" s="17" t="inlineStr">
        <is>
          <t>Más főkategória terméke</t>
        </is>
      </c>
    </row>
    <row r="1266">
      <c r="A1266" s="17" t="inlineStr">
        <is>
          <t>GRO4263</t>
        </is>
      </c>
      <c r="B1266" s="17" t="inlineStr">
        <is>
          <t>Aqua Master C10 szivattyúblokk 1x perisztaltikus adagoló pumpa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az elmúlt 30 napban</t>
        </is>
      </c>
      <c r="G1266" s="17" t="inlineStr">
        <is>
          <t>Más főkategória terméke</t>
        </is>
      </c>
    </row>
    <row r="1267">
      <c r="A1267" s="17" t="inlineStr">
        <is>
          <t>GRO4264</t>
        </is>
      </c>
      <c r="B1267" s="17" t="inlineStr">
        <is>
          <t>Aqua Master C20 szivattyúblokk 2x perisztaltikus adagoló pumpa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GRO4265</t>
        </is>
      </c>
      <c r="B1268" s="17" t="inlineStr">
        <is>
          <t>Aqua Master C30 szivattyúblokk 3x perisztaltikus adagoló pumpa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az elmúlt 30 napban</t>
        </is>
      </c>
      <c r="G1268" s="17" t="inlineStr">
        <is>
          <t>Más főkategória terméke</t>
        </is>
      </c>
    </row>
    <row r="1269">
      <c r="A1269" s="17" t="inlineStr">
        <is>
          <t>GRO4266</t>
        </is>
      </c>
      <c r="B1269" s="17" t="inlineStr">
        <is>
          <t>Aqua Master bilincs d: 40 mm 3/4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GRO4267</t>
        </is>
      </c>
      <c r="B1270" s="17" t="inlineStr">
        <is>
          <t>Aqua Master bilincs d: 40 mm 1/2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30 napban</t>
        </is>
      </c>
      <c r="G1270" s="17" t="inlineStr">
        <is>
          <t>Más főkategória terméke</t>
        </is>
      </c>
    </row>
    <row r="1271">
      <c r="A1271" s="17" t="inlineStr">
        <is>
          <t>GRO4268</t>
        </is>
      </c>
      <c r="B1271" s="17" t="inlineStr">
        <is>
          <t>Aqua Master szonda tartó 12 mm 1/2 (3/4 bilincshez)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30 napban</t>
        </is>
      </c>
      <c r="G1271" s="17" t="inlineStr">
        <is>
          <t>Más főkategória terméke</t>
        </is>
      </c>
    </row>
    <row r="1272">
      <c r="A1272" s="17" t="inlineStr">
        <is>
          <t>GRO4269</t>
        </is>
      </c>
      <c r="B1272" s="17" t="inlineStr">
        <is>
          <t>Aqua Master befecskendező szelep 1/2 (1/2 bilincshez)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az elmúlt 30 napban</t>
        </is>
      </c>
      <c r="G1272" s="17" t="inlineStr">
        <is>
          <t>Más főkategória terméke</t>
        </is>
      </c>
    </row>
    <row r="1273">
      <c r="A1273" s="17" t="inlineStr">
        <is>
          <t>GRO4270</t>
        </is>
      </c>
      <c r="B1273" s="17" t="inlineStr">
        <is>
          <t>GF rope ratchet ECO reflektor felfüggesztő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30 napban</t>
        </is>
      </c>
      <c r="G1273" s="17" t="inlineStr">
        <is>
          <t>Más főkategória terméke</t>
        </is>
      </c>
    </row>
    <row r="1274">
      <c r="A1274" s="17" t="inlineStr">
        <is>
          <t>GRO4271</t>
        </is>
      </c>
      <c r="B1274" s="17" t="inlineStr">
        <is>
          <t>GF Hőmérséklet és páratartalom mérő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az elmúlt 30 napban</t>
        </is>
      </c>
      <c r="G1274" s="17" t="inlineStr">
        <is>
          <t>Más főkategória terméke</t>
        </is>
      </c>
    </row>
    <row r="1275">
      <c r="A1275" s="17" t="inlineStr">
        <is>
          <t>GRO4274</t>
        </is>
      </c>
      <c r="B1275" s="17" t="inlineStr">
        <is>
          <t>GF Termesztősátor 40x40x140 cm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GRO4280</t>
        </is>
      </c>
      <c r="B1276" s="17" t="inlineStr">
        <is>
          <t>Prima Klima PK250-A1 Ventilátor 1 speed 250 mm 1050 m3/h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az elmúlt 30 napban</t>
        </is>
      </c>
      <c r="G1276" s="17" t="inlineStr">
        <is>
          <t>Más főkategória terméke</t>
        </is>
      </c>
    </row>
    <row r="1277">
      <c r="A1277" s="17" t="inlineStr">
        <is>
          <t>GRO4281</t>
        </is>
      </c>
      <c r="B1277" s="17" t="inlineStr">
        <is>
          <t>Elem, 9V blokkelem az Aquatek 4in1 digitális talaj teszterhez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30 napban</t>
        </is>
      </c>
      <c r="G1277" s="17" t="inlineStr">
        <is>
          <t>Más főkategória terméke</t>
        </is>
      </c>
    </row>
    <row r="1278">
      <c r="A1278" s="17" t="inlineStr">
        <is>
          <t>GRO4282</t>
        </is>
      </c>
      <c r="B1278" s="17" t="inlineStr">
        <is>
          <t>Dimlux Xplore series LED 730W termékhez hálózati kábel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30 napban</t>
        </is>
      </c>
      <c r="G1278" s="17" t="inlineStr">
        <is>
          <t>Más főkategória terméke</t>
        </is>
      </c>
    </row>
    <row r="1279">
      <c r="A1279" s="17" t="inlineStr">
        <is>
          <t>GRO4283</t>
        </is>
      </c>
      <c r="B1279" s="17" t="inlineStr">
        <is>
          <t>Dimlux Xplore Series LED ADD-ON 2x25W termékhez hosszabbító kábel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az elmúlt 30 napban</t>
        </is>
      </c>
      <c r="G1279" s="17" t="inlineStr">
        <is>
          <t>Más főkategória terméke</t>
        </is>
      </c>
    </row>
    <row r="1280">
      <c r="A1280" s="17" t="inlineStr">
        <is>
          <t>GRO4298</t>
        </is>
      </c>
      <c r="B1280" s="17" t="inlineStr">
        <is>
          <t>AC Infinity Víztartályos alátét 4 db 3,7 L (19 L szövetcseréphez)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az elmúlt 30 napban</t>
        </is>
      </c>
      <c r="G1280" s="17" t="inlineStr">
        <is>
          <t>Más főkategória terméke</t>
        </is>
      </c>
    </row>
    <row r="1281">
      <c r="A1281" s="17" t="inlineStr">
        <is>
          <t>GRO4302</t>
        </is>
      </c>
      <c r="B1281" s="17" t="inlineStr">
        <is>
          <t>AC Infinity (háló) Plant Support 60x120 cm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az elmúlt 30 napban</t>
        </is>
      </c>
      <c r="G1281" s="17" t="inlineStr">
        <is>
          <t>Más főkategória terméke</t>
        </is>
      </c>
    </row>
    <row r="1282">
      <c r="A1282" s="17" t="inlineStr">
        <is>
          <t>GRO4303</t>
        </is>
      </c>
      <c r="B1282" s="17" t="inlineStr">
        <is>
          <t>AC Infinity PRO légszűrő rendszer AI+WiFi 150 mm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30 napban</t>
        </is>
      </c>
      <c r="G1282" s="17" t="inlineStr">
        <is>
          <t>Más főkategória terméke</t>
        </is>
      </c>
    </row>
    <row r="1283">
      <c r="A1283" s="17" t="inlineStr">
        <is>
          <t>GRO4304</t>
        </is>
      </c>
      <c r="B1283" s="17" t="inlineStr">
        <is>
          <t>AC Infinity Zajcsökkentő bilincs rozsdamentes acél 100mm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GRO4305</t>
        </is>
      </c>
      <c r="B1284" s="17" t="inlineStr">
        <is>
          <t>AC Infinity aluflex flexibilis cső d: 100 mm 2,44 m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30 napban</t>
        </is>
      </c>
      <c r="G1284" s="17" t="inlineStr">
        <is>
          <t>Más főkategória terméke</t>
        </is>
      </c>
    </row>
    <row r="1285">
      <c r="A1285" s="17" t="inlineStr">
        <is>
          <t>GRO4307</t>
        </is>
      </c>
      <c r="B1285" s="17" t="inlineStr">
        <is>
          <t>AC Infinity propagátor Samsung LM301H EVO LED 40 növényhez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30 napban</t>
        </is>
      </c>
      <c r="G1285" s="17" t="inlineStr">
        <is>
          <t>Más főkategória terméke</t>
        </is>
      </c>
    </row>
    <row r="1286">
      <c r="A1286" s="17" t="inlineStr">
        <is>
          <t>GRO4308</t>
        </is>
      </c>
      <c r="B1286" s="17" t="inlineStr">
        <is>
          <t>Agrolite LED QB bid 320 W 2.8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30 napban</t>
        </is>
      </c>
      <c r="G1286" s="17" t="inlineStr">
        <is>
          <t>Más főkategória terméke</t>
        </is>
      </c>
    </row>
    <row r="1287">
      <c r="A1287" s="17" t="inlineStr">
        <is>
          <t>GRO4309</t>
        </is>
      </c>
      <c r="B1287" s="17" t="inlineStr">
        <is>
          <t>Hydro kosár univerzális DWC d: 22 cm h: 14 cm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az elmúlt 30 napban</t>
        </is>
      </c>
      <c r="G1287" s="17" t="inlineStr">
        <is>
          <t>Más főkategória terméke</t>
        </is>
      </c>
    </row>
    <row r="1288">
      <c r="A1288" s="17" t="inlineStr">
        <is>
          <t>GRO4311</t>
        </is>
      </c>
      <c r="B1288" s="17" t="inlineStr">
        <is>
          <t>Bluelab Multimedia pH Meter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GRO4312</t>
        </is>
      </c>
      <c r="B1289" s="17" t="inlineStr">
        <is>
          <t>Secret Jardin Power Pack LED Full Spectrum 250W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GRO4313</t>
        </is>
      </c>
      <c r="B1290" s="17" t="inlineStr">
        <is>
          <t>Secret Jardin WEBTH120W (háló) Web Plant Support 120x60 cm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30 napban</t>
        </is>
      </c>
      <c r="G1290" s="17" t="inlineStr">
        <is>
          <t>Más főkategória terméke</t>
        </is>
      </c>
    </row>
    <row r="1291">
      <c r="A1291" s="17" t="inlineStr">
        <is>
          <t>GRO4314</t>
        </is>
      </c>
      <c r="B1291" s="17" t="inlineStr">
        <is>
          <t>Secret Jardin WEBTH150W (háló) Web Plant Support 150x75 cm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az elmúlt 30 napban</t>
        </is>
      </c>
      <c r="G1291" s="17" t="inlineStr">
        <is>
          <t>Más főkategória terméke</t>
        </is>
      </c>
    </row>
    <row r="1292">
      <c r="A1292" s="17" t="inlineStr">
        <is>
          <t>GRO4315</t>
        </is>
      </c>
      <c r="B1292" s="17" t="inlineStr">
        <is>
          <t>Secret Jardin WEBTH60W (háló) Web Plant Support 60x40 cm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GRO4316</t>
        </is>
      </c>
      <c r="B1293" s="17" t="inlineStr">
        <is>
          <t>Secret Jardin WEBTH120 (háló) Web Plant Support 120x120 cm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30 napban</t>
        </is>
      </c>
      <c r="G1293" s="17" t="inlineStr">
        <is>
          <t>Más főkategória terméke</t>
        </is>
      </c>
    </row>
    <row r="1294">
      <c r="A1294" s="17" t="inlineStr">
        <is>
          <t>GRO4317</t>
        </is>
      </c>
      <c r="B1294" s="17" t="inlineStr">
        <is>
          <t>Aqua Master E50 pro2 EC mérő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GRO4318</t>
        </is>
      </c>
      <c r="B1295" s="17" t="inlineStr">
        <is>
          <t>Aqua Master P50 pro2 PH mérő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az elmúlt 30 napban</t>
        </is>
      </c>
      <c r="G1295" s="17" t="inlineStr">
        <is>
          <t>Más főkategória terméke</t>
        </is>
      </c>
    </row>
    <row r="1296">
      <c r="A1296" s="17" t="inlineStr">
        <is>
          <t>GRO4319</t>
        </is>
      </c>
      <c r="B1296" s="17" t="inlineStr">
        <is>
          <t>Aqua Master P110 pro2 kombinált pH és EC mérő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az elmúlt 30 napban</t>
        </is>
      </c>
      <c r="G1296" s="17" t="inlineStr">
        <is>
          <t>Más főkategória terméke</t>
        </is>
      </c>
    </row>
    <row r="1297">
      <c r="A1297" s="17" t="inlineStr">
        <is>
          <t>GRO4320</t>
        </is>
      </c>
      <c r="B1297" s="17" t="inlineStr">
        <is>
          <t>Kókusztégla mosott 5 kg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GRO4321</t>
        </is>
      </c>
      <c r="B1298" s="17" t="inlineStr">
        <is>
          <t>Kókusztégla mosott csomagolt 650 g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GRO4322</t>
        </is>
      </c>
      <c r="B1299" s="17" t="inlineStr">
        <is>
          <t>AC Infinity szénszűrő Australian Charcoal d: 100 mm 357 m3/h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az elmúlt 30 napban</t>
        </is>
      </c>
      <c r="G1299" s="17" t="inlineStr">
        <is>
          <t>Más főkategória terméke</t>
        </is>
      </c>
    </row>
    <row r="1300">
      <c r="A1300" s="17" t="inlineStr">
        <is>
          <t>GRO4323</t>
        </is>
      </c>
      <c r="B1300" s="17" t="inlineStr">
        <is>
          <t>AC Infinity szénszűrő Australian Charcoal d: 150 mm 700 m3/h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GRO4324</t>
        </is>
      </c>
      <c r="B1301" s="17" t="inlineStr">
        <is>
          <t>AC Infinity szövetcserép 5 db 11 L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30 napban</t>
        </is>
      </c>
      <c r="G1301" s="17" t="inlineStr">
        <is>
          <t>Más főkategória terméke</t>
        </is>
      </c>
    </row>
    <row r="1302">
      <c r="A1302" s="17" t="inlineStr">
        <is>
          <t>GRO4326</t>
        </is>
      </c>
      <c r="B1302" s="17" t="inlineStr">
        <is>
          <t>Lumen-King Eco Line LED Light fixture 400W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az elmúlt 30 napban</t>
        </is>
      </c>
      <c r="G1302" s="17" t="inlineStr">
        <is>
          <t>Más főkategória terméke</t>
        </is>
      </c>
    </row>
    <row r="1303">
      <c r="A1303" s="17" t="inlineStr">
        <is>
          <t>GRO4327</t>
        </is>
      </c>
      <c r="B1303" s="17" t="inlineStr">
        <is>
          <t>Lumen-King Eco Line LED Light fixture 720W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GRO4329</t>
        </is>
      </c>
      <c r="B1304" s="17" t="inlineStr">
        <is>
          <t>AC Infinity (net) Plant Support 60x60 cm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az elmúlt 30 napban</t>
        </is>
      </c>
      <c r="G1304" s="17" t="inlineStr">
        <is>
          <t>Más főkategória terméke</t>
        </is>
      </c>
    </row>
    <row r="1305">
      <c r="A1305" s="17" t="inlineStr">
        <is>
          <t>GRO4330</t>
        </is>
      </c>
      <c r="B1305" s="17" t="inlineStr">
        <is>
          <t>AC Infinity (háló) Plant Support 90x90 cm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30 napban</t>
        </is>
      </c>
      <c r="G1305" s="17" t="inlineStr">
        <is>
          <t>Más főkategória terméke</t>
        </is>
      </c>
    </row>
    <row r="1306">
      <c r="A1306" s="17" t="inlineStr">
        <is>
          <t>GRO4336</t>
        </is>
      </c>
      <c r="B1306" s="17" t="inlineStr">
        <is>
          <t>fólia Mylar 35μm 1,4x30 m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GRO4337</t>
        </is>
      </c>
      <c r="B1307" s="17" t="inlineStr">
        <is>
          <t>fólia fekete-fehér 70μm 2x25 m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az elmúlt 30 napban</t>
        </is>
      </c>
      <c r="G1307" s="17" t="inlineStr">
        <is>
          <t>Más főkategória terméke</t>
        </is>
      </c>
    </row>
    <row r="1308">
      <c r="A1308" s="17" t="inlineStr">
        <is>
          <t>GRO4338</t>
        </is>
      </c>
      <c r="B1308" s="17" t="inlineStr">
        <is>
          <t>fólia gyémánt mintás 125μm 1,2x10 m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GRO4339</t>
        </is>
      </c>
      <c r="B1309" s="17" t="inlineStr">
        <is>
          <t>OptiClimate Maxi Controller vezérlőegység 5 m interlink kábellel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az elmúlt 30 napban</t>
        </is>
      </c>
      <c r="G1309" s="17" t="inlineStr">
        <is>
          <t>Más főkategória terméke</t>
        </is>
      </c>
    </row>
    <row r="1310">
      <c r="A1310" s="17" t="inlineStr">
        <is>
          <t>GRO4340</t>
        </is>
      </c>
      <c r="B1310" s="17" t="inlineStr">
        <is>
          <t>AC Infinity Controller AI+ CO2 + fényérzékelő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GRO4341</t>
        </is>
      </c>
      <c r="B1311" s="17" t="inlineStr">
        <is>
          <t>AC Infinity AI talaj teszter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30 napban</t>
        </is>
      </c>
      <c r="G1311" s="17" t="inlineStr">
        <is>
          <t>Más főkategória terméke</t>
        </is>
      </c>
    </row>
    <row r="1312">
      <c r="A1312" s="17" t="inlineStr">
        <is>
          <t>GRO4342</t>
        </is>
      </c>
      <c r="B1312" s="17" t="inlineStr">
        <is>
          <t>AC Infinity szénszűrő Australian Charcoal d: 200 mm 1308 m3/h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30 napban</t>
        </is>
      </c>
      <c r="G1312" s="17" t="inlineStr">
        <is>
          <t>Más főkategória terméke</t>
        </is>
      </c>
    </row>
    <row r="1313">
      <c r="A1313" s="17" t="inlineStr">
        <is>
          <t>GRO4343</t>
        </is>
      </c>
      <c r="B1313" s="17" t="inlineStr">
        <is>
          <t>Probox MushPro S Gombatermesztő sátor GHP 60x40x40 cm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GRO4344</t>
        </is>
      </c>
      <c r="B1314" s="17" t="inlineStr">
        <is>
          <t>Probox MushPro M Gombatermesztő sátor GHP 60x40x80 cm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az elmúlt 30 napban</t>
        </is>
      </c>
      <c r="G1314" s="17" t="inlineStr">
        <is>
          <t>Más főkategória terméke</t>
        </is>
      </c>
    </row>
    <row r="1315">
      <c r="A1315" s="17" t="inlineStr">
        <is>
          <t>GRO4345</t>
        </is>
      </c>
      <c r="B1315" s="17" t="inlineStr">
        <is>
          <t>ROOTIT propagátor fűtő lap HOBBY Small 25x35 cm 11 W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GRO4346</t>
        </is>
      </c>
      <c r="B1316" s="17" t="inlineStr">
        <is>
          <t>Plagron NextGen 150 ml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30 napban</t>
        </is>
      </c>
      <c r="G1316" s="17" t="inlineStr">
        <is>
          <t>Más főkategória terméke</t>
        </is>
      </c>
    </row>
    <row r="1317">
      <c r="A1317" s="17" t="inlineStr">
        <is>
          <t>GRO4349</t>
        </is>
      </c>
      <c r="B1317" s="17" t="inlineStr">
        <is>
          <t>Garland Seed keskeny tálca lyukakkal 37x13,5x6 cm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30 napban</t>
        </is>
      </c>
      <c r="G1317" s="17" t="inlineStr">
        <is>
          <t>Más főkategória terméke</t>
        </is>
      </c>
    </row>
    <row r="1318">
      <c r="A1318" s="17" t="inlineStr">
        <is>
          <t>GRO4350</t>
        </is>
      </c>
      <c r="B1318" s="17" t="inlineStr">
        <is>
          <t>Garland Seed keskeny tálca cserépalátét 37x13,5x6 cm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az elmúlt 30 napban</t>
        </is>
      </c>
      <c r="G1318" s="17" t="inlineStr">
        <is>
          <t>Más főkategória terméke</t>
        </is>
      </c>
    </row>
    <row r="1319">
      <c r="A1319" s="17" t="inlineStr">
        <is>
          <t>GRO4351</t>
        </is>
      </c>
      <c r="B1319" s="17" t="inlineStr">
        <is>
          <t>Garland Standard Seed tálca cserépalátét lyukakkal 37,5x23x6 cm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30 napban</t>
        </is>
      </c>
      <c r="G1319" s="17" t="inlineStr">
        <is>
          <t>Más főkategória terméke</t>
        </is>
      </c>
    </row>
    <row r="1320">
      <c r="A1320" s="17" t="inlineStr">
        <is>
          <t>GRO4352</t>
        </is>
      </c>
      <c r="B1320" s="17" t="inlineStr">
        <is>
          <t>Garland Midi Garden tálca cserépalátét 37,5x23x6 cm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GRO4356</t>
        </is>
      </c>
      <c r="B1321" s="17" t="inlineStr">
        <is>
          <t>Garland Seed juta lap mikrozöld termesztéshez 34x19,5 cm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GRO4357</t>
        </is>
      </c>
      <c r="B1322" s="17" t="inlineStr">
        <is>
          <t>Garland Seed juta lap mikrozöld termesztéshez 53x24,5 cm (3 db)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az elmúlt 30 napban</t>
        </is>
      </c>
      <c r="G1322" s="17" t="inlineStr">
        <is>
          <t>Más főkategória terméke</t>
        </is>
      </c>
    </row>
    <row r="1323">
      <c r="A1323" s="17" t="inlineStr">
        <is>
          <t>GRO4358</t>
        </is>
      </c>
      <c r="B1323" s="17" t="inlineStr">
        <is>
          <t>Garland Microgreens tálca lyukakkal 56x28x6 cm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az elmúlt 30 napban</t>
        </is>
      </c>
      <c r="G1323" s="17" t="inlineStr">
        <is>
          <t>Más főkategória terméke</t>
        </is>
      </c>
    </row>
    <row r="1324">
      <c r="A1324" s="17" t="inlineStr">
        <is>
          <t>GRO4359</t>
        </is>
      </c>
      <c r="B1324" s="17" t="inlineStr">
        <is>
          <t>Garland Microgreens tálca lyukak nélkül 56x28x6 cm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30 napban</t>
        </is>
      </c>
      <c r="G1324" s="17" t="inlineStr">
        <is>
          <t>Más főkategória terméke</t>
        </is>
      </c>
    </row>
    <row r="1325">
      <c r="A1325" s="17" t="inlineStr">
        <is>
          <t>GRO4360</t>
        </is>
      </c>
      <c r="B1325" s="17" t="inlineStr">
        <is>
          <t>Jiffy tőzegcserép kerek 6,2x5,8 cm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GRO4362</t>
        </is>
      </c>
      <c r="B1326" s="17" t="inlineStr">
        <is>
          <t>Lumen-King Eco Line LED Light fixture 1000W 2.7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az elmúlt 30 napban</t>
        </is>
      </c>
      <c r="G1326" s="17" t="inlineStr">
        <is>
          <t>Más főkategória terméke</t>
        </is>
      </c>
    </row>
    <row r="1327">
      <c r="A1327" s="17" t="inlineStr">
        <is>
          <t>GRO4363</t>
        </is>
      </c>
      <c r="B1327" s="17" t="inlineStr">
        <is>
          <t>Eazy Plug piramis 4,8 L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az elmúlt 30 napban</t>
        </is>
      </c>
      <c r="G1327" s="17" t="inlineStr">
        <is>
          <t>Más főkategória terméke</t>
        </is>
      </c>
    </row>
    <row r="1328">
      <c r="A1328" s="17" t="inlineStr">
        <is>
          <t>GRO4364</t>
        </is>
      </c>
      <c r="B1328" s="17" t="inlineStr">
        <is>
          <t>AC Infinity Cloudline T8 Inline ventilátor hőmérséklet és pára szabályzóval 200 mm 1371 m3/h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az elmúlt 30 napban</t>
        </is>
      </c>
      <c r="G1328" s="17" t="inlineStr">
        <is>
          <t>Más főkategória terméke</t>
        </is>
      </c>
    </row>
    <row r="1329">
      <c r="A1329" s="17" t="inlineStr">
        <is>
          <t>GRO4365</t>
        </is>
      </c>
      <c r="B1329" s="17" t="inlineStr">
        <is>
          <t>Neptune Hydroponics fűtő lap 35x25 cm 15W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az elmúlt 30 napban</t>
        </is>
      </c>
      <c r="G1329" s="17" t="inlineStr">
        <is>
          <t>Más főkategória terméke</t>
        </is>
      </c>
    </row>
    <row r="1330">
      <c r="A1330" s="17" t="inlineStr">
        <is>
          <t>GRO4366</t>
        </is>
      </c>
      <c r="B1330" s="17" t="inlineStr">
        <is>
          <t>Neptune Hydroponics fűtő lap 60x30 cm 32W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30 napban</t>
        </is>
      </c>
      <c r="G1330" s="17" t="inlineStr">
        <is>
          <t>Más főkategória terméke</t>
        </is>
      </c>
    </row>
    <row r="1331">
      <c r="A1331" s="17" t="inlineStr">
        <is>
          <t>GRO4367</t>
        </is>
      </c>
      <c r="B1331" s="17" t="inlineStr">
        <is>
          <t>Agrolite LED 2xCB10 60 cm 2x10W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30 napban</t>
        </is>
      </c>
      <c r="G1331" s="17" t="inlineStr">
        <is>
          <t>Más főkategória terméke</t>
        </is>
      </c>
    </row>
    <row r="1332">
      <c r="A1332" s="17" t="inlineStr">
        <is>
          <t>GRO4368</t>
        </is>
      </c>
      <c r="B1332" s="17" t="inlineStr">
        <is>
          <t>Monzon párásító vezérlő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GRO4369</t>
        </is>
      </c>
      <c r="B1333" s="17" t="inlineStr">
        <is>
          <t>Levegőztető pumpa Neptune Hydroponics NHA1, 1 kimenet, 1,5 l/perc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az elmúlt 30 napban</t>
        </is>
      </c>
      <c r="G1333" s="17" t="inlineStr">
        <is>
          <t>Más főkategória terméke</t>
        </is>
      </c>
    </row>
    <row r="1334">
      <c r="A1334" s="17" t="inlineStr">
        <is>
          <t>GRO4370</t>
        </is>
      </c>
      <c r="B1334" s="17" t="inlineStr">
        <is>
          <t>Levegőztető pumpa Neptune Hydroponics NHA2, 2 kimenet, 2 x 1,5 l/perc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GRO4371</t>
        </is>
      </c>
      <c r="B1335" s="17" t="inlineStr">
        <is>
          <t>Kókusz magvetőkocka tálcán (53x30 cm) 104 db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az elmúlt 30 napban</t>
        </is>
      </c>
      <c r="G1335" s="17" t="inlineStr">
        <is>
          <t>Más főkategória terméke</t>
        </is>
      </c>
    </row>
    <row r="1336">
      <c r="A1336" s="17" t="inlineStr">
        <is>
          <t>GRO4377</t>
        </is>
      </c>
      <c r="B1336" s="17" t="inlineStr">
        <is>
          <t>Jiffy tőzegcserép sáv (207 db/dob) 8x8 cm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az elmúlt 30 napban</t>
        </is>
      </c>
      <c r="G1336" s="17" t="inlineStr">
        <is>
          <t>Más főkategória terméke</t>
        </is>
      </c>
    </row>
    <row r="1337">
      <c r="A1337" s="17" t="inlineStr">
        <is>
          <t>GRO4380</t>
        </is>
      </c>
      <c r="B1337" s="17" t="inlineStr">
        <is>
          <t>Grodan Delta 4G kőzetgyapot nevelőkocka 75x75x65 mm 40/40 (nagy lyukú)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GRO4381</t>
        </is>
      </c>
      <c r="B1338" s="17" t="inlineStr">
        <is>
          <t>Secret Jardin Monkey Fan csíptethető ventilátor 18 cm 6,5 W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GRO4382</t>
        </is>
      </c>
      <c r="B1339" s="17" t="inlineStr">
        <is>
          <t>Csíráztató üvegtál szűrővel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GRO4383</t>
        </is>
      </c>
      <c r="B1340" s="17" t="inlineStr">
        <is>
          <t>Mikrozöld csíráztató üvegedény szűrővel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GRO4384</t>
        </is>
      </c>
      <c r="B1341" s="17" t="inlineStr">
        <is>
          <t>Mikrozöld csíráztató műanyag torony 3 emeletes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GRO4385</t>
        </is>
      </c>
      <c r="B1342" s="17" t="inlineStr">
        <is>
          <t>Mikrozöld mag zsázsa bio 60 g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az elmúlt 30 napban</t>
        </is>
      </c>
      <c r="G1342" s="17" t="inlineStr">
        <is>
          <t>Más főkategória terméke</t>
        </is>
      </c>
    </row>
    <row r="1343">
      <c r="A1343" s="17" t="inlineStr">
        <is>
          <t>GRO4386</t>
        </is>
      </c>
      <c r="B1343" s="17" t="inlineStr">
        <is>
          <t>Mikrozöld mag vöröskáposzta 15 g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GRO4388</t>
        </is>
      </c>
      <c r="B1344" s="17" t="inlineStr">
        <is>
          <t>Mikrozöld mag mustár bio 50 g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GRO4389</t>
        </is>
      </c>
      <c r="B1345" s="17" t="inlineStr">
        <is>
          <t>Mikrozöld mag búza bio 75 g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30 napban</t>
        </is>
      </c>
      <c r="G1345" s="17" t="inlineStr">
        <is>
          <t>Más főkategória terméke</t>
        </is>
      </c>
    </row>
    <row r="1346">
      <c r="A1346" s="17" t="inlineStr">
        <is>
          <t>GRO4390</t>
        </is>
      </c>
      <c r="B1346" s="17" t="inlineStr">
        <is>
          <t>Mikrozöld mag brokkoli bio 20 g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30 napban</t>
        </is>
      </c>
      <c r="G1346" s="17" t="inlineStr">
        <is>
          <t>Más főkategória terméke</t>
        </is>
      </c>
    </row>
    <row r="1347">
      <c r="A1347" s="17" t="inlineStr">
        <is>
          <t>GRO4391</t>
        </is>
      </c>
      <c r="B1347" s="17" t="inlineStr">
        <is>
          <t>Mikrozöld mag vöröshagyma bio 15 g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30 napban</t>
        </is>
      </c>
      <c r="G1347" s="17" t="inlineStr">
        <is>
          <t>Más főkategória terméke</t>
        </is>
      </c>
    </row>
    <row r="1348">
      <c r="A1348" s="17" t="inlineStr">
        <is>
          <t>GRO4392</t>
        </is>
      </c>
      <c r="B1348" s="17" t="inlineStr">
        <is>
          <t>Mikrozöld mag lucerna bio 40 g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GRO4393</t>
        </is>
      </c>
      <c r="B1349" s="17" t="inlineStr">
        <is>
          <t>Mikrozöld mag póréhagyma bio 15 g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az elmúlt 30 napban</t>
        </is>
      </c>
      <c r="G1349" s="17" t="inlineStr">
        <is>
          <t>Más főkategória terméke</t>
        </is>
      </c>
    </row>
    <row r="1350">
      <c r="A1350" s="17" t="inlineStr">
        <is>
          <t>GRO4394</t>
        </is>
      </c>
      <c r="B1350" s="17" t="inlineStr">
        <is>
          <t>Mikrozöld mag retek bio 30 g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az elmúlt 30 napban</t>
        </is>
      </c>
      <c r="G1350" s="17" t="inlineStr">
        <is>
          <t>Más főkategória terméke</t>
        </is>
      </c>
    </row>
    <row r="1351">
      <c r="A1351" s="17" t="inlineStr">
        <is>
          <t>GRO4395</t>
        </is>
      </c>
      <c r="B1351" s="17" t="inlineStr">
        <is>
          <t>Mikrozöld mag salátaborsó 50 g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GRO4397</t>
        </is>
      </c>
      <c r="B1352" s="17" t="inlineStr">
        <is>
          <t>Mikrozöld mag búza bio 500 g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30 napban</t>
        </is>
      </c>
      <c r="G1352" s="17" t="inlineStr">
        <is>
          <t>Más főkategória terméke</t>
        </is>
      </c>
    </row>
    <row r="1353">
      <c r="A1353" s="17" t="inlineStr">
        <is>
          <t>GRO4398</t>
        </is>
      </c>
      <c r="B1353" s="17" t="inlineStr">
        <is>
          <t>Mikrozöld mag retek bio 500 g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GRO4400</t>
        </is>
      </c>
      <c r="B1354" s="17" t="inlineStr">
        <is>
          <t>Mikrozöld mag zsázsa bio 500 g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az elmúlt 30 napban</t>
        </is>
      </c>
      <c r="G1354" s="17" t="inlineStr">
        <is>
          <t>Más főkategória terméke</t>
        </is>
      </c>
    </row>
    <row r="1355">
      <c r="A1355" s="17" t="inlineStr">
        <is>
          <t>GRO4401</t>
        </is>
      </c>
      <c r="B1355" s="17" t="inlineStr">
        <is>
          <t>Chili paprika vetőmag Habanero piros 20 db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az elmúlt 30 napban</t>
        </is>
      </c>
      <c r="G1355" s="17" t="inlineStr">
        <is>
          <t>Más főkategória terméke</t>
        </is>
      </c>
    </row>
    <row r="1356">
      <c r="A1356" s="17" t="inlineStr">
        <is>
          <t>GRO4402</t>
        </is>
      </c>
      <c r="B1356" s="17" t="inlineStr">
        <is>
          <t>Chili paprika vetőmag Etna piros 20 db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az elmúlt 30 napban</t>
        </is>
      </c>
      <c r="G1356" s="17" t="inlineStr">
        <is>
          <t>Más főkategória terméke</t>
        </is>
      </c>
    </row>
    <row r="1357">
      <c r="A1357" s="17" t="inlineStr">
        <is>
          <t>GRO4403</t>
        </is>
      </c>
      <c r="B1357" s="17" t="inlineStr">
        <is>
          <t>Chili paprika vetőmag Habanero csokoládébarna 20 szem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GRO4404</t>
        </is>
      </c>
      <c r="B1358" s="17" t="inlineStr">
        <is>
          <t>Chili paprika vetőmag Habanero narancssárga 20 db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az elmúlt 30 napban</t>
        </is>
      </c>
      <c r="G1358" s="17" t="inlineStr">
        <is>
          <t>Más főkategória terméke</t>
        </is>
      </c>
    </row>
    <row r="1359">
      <c r="A1359" s="17" t="inlineStr">
        <is>
          <t>GRO4405</t>
        </is>
      </c>
      <c r="B1359" s="17" t="inlineStr">
        <is>
          <t>Chili paprika vetőmag Jalapeno 20 db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az elmúlt 30 napban</t>
        </is>
      </c>
      <c r="G1359" s="17" t="inlineStr">
        <is>
          <t>Más főkategória terméke</t>
        </is>
      </c>
    </row>
    <row r="1360">
      <c r="A1360" s="17" t="inlineStr">
        <is>
          <t>GRO4406</t>
        </is>
      </c>
      <c r="B1360" s="17" t="inlineStr">
        <is>
          <t>Chili paprika vetőmag Bohócsapka 20 db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30 napban</t>
        </is>
      </c>
      <c r="G1360" s="17" t="inlineStr">
        <is>
          <t>Más főkategória terméke</t>
        </is>
      </c>
    </row>
    <row r="1361">
      <c r="A1361" s="17" t="inlineStr">
        <is>
          <t>GRO4407</t>
        </is>
      </c>
      <c r="B1361" s="17" t="inlineStr">
        <is>
          <t>Chili paprika vetőmag Cayenne 20 db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GRO4409</t>
        </is>
      </c>
      <c r="B1362" s="17" t="inlineStr">
        <is>
          <t>Cornwall Electronics Arica páramantesítő 12 liter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az elmúlt 30 napban</t>
        </is>
      </c>
      <c r="G1362" s="17" t="inlineStr">
        <is>
          <t>Más főkategória terméke</t>
        </is>
      </c>
    </row>
    <row r="1363">
      <c r="A1363" s="17" t="inlineStr">
        <is>
          <t>GRO4411</t>
        </is>
      </c>
      <c r="B1363" s="17" t="inlineStr">
        <is>
          <t>Jiffy-7 3070 tőzeg &amp; kókusz korong 38x39 mm (1000 db/doboz)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GRO4412</t>
        </is>
      </c>
      <c r="B1364" s="17" t="inlineStr">
        <is>
          <t>Jiffy-7 6040 tőzeg &amp; kókusz korong 42x43 mm (1000 db/doboz)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az elmúlt 30 napban</t>
        </is>
      </c>
      <c r="G1364" s="17" t="inlineStr">
        <is>
          <t>Más főkategória terméke</t>
        </is>
      </c>
    </row>
    <row r="1365">
      <c r="A1365" s="17" t="inlineStr">
        <is>
          <t>GRO4413</t>
        </is>
      </c>
      <c r="B1365" s="17" t="inlineStr">
        <is>
          <t>Garland rost palántázó cserép tálca 36 db 35x5 cm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GRO4414</t>
        </is>
      </c>
      <c r="B1366" s="17" t="inlineStr">
        <is>
          <t>Garland rost szögletes palántázó cserép 20 db 20x6 cm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30 napban</t>
        </is>
      </c>
      <c r="G1366" s="17" t="inlineStr">
        <is>
          <t>Más főkategória terméke</t>
        </is>
      </c>
    </row>
    <row r="1367">
      <c r="A1367" s="17" t="inlineStr">
        <is>
          <t>GRO4415</t>
        </is>
      </c>
      <c r="B1367" s="17" t="inlineStr">
        <is>
          <t>Garland rost palántázó kerek cserép 12 db 12x8 cm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30 napban</t>
        </is>
      </c>
      <c r="G1367" s="17" t="inlineStr">
        <is>
          <t>Más főkategória terméke</t>
        </is>
      </c>
    </row>
    <row r="1368">
      <c r="A1368" s="17" t="inlineStr">
        <is>
          <t>GRO4416</t>
        </is>
      </c>
      <c r="B1368" s="17" t="inlineStr">
        <is>
          <t>Garland préselt kókuszrost korong 20 db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GRO4417</t>
        </is>
      </c>
      <c r="B1369" s="17" t="inlineStr">
        <is>
          <t>Garland kókuszrost préselt korong 50 db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az elmúlt 30 napban</t>
        </is>
      </c>
      <c r="G1369" s="17" t="inlineStr">
        <is>
          <t>Más főkategória terméke</t>
        </is>
      </c>
    </row>
    <row r="1370">
      <c r="A1370" s="17" t="inlineStr">
        <is>
          <t>GRO4419</t>
        </is>
      </c>
      <c r="B1370" s="17" t="inlineStr">
        <is>
          <t>Sylvania ToLEDo GLS LED izzó E27 9,5 W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az elmúlt 30 napban</t>
        </is>
      </c>
      <c r="G1370" s="17" t="inlineStr">
        <is>
          <t>Más főkategória terméke</t>
        </is>
      </c>
    </row>
    <row r="1371">
      <c r="A1371" s="17" t="inlineStr">
        <is>
          <t>GRO4423</t>
        </is>
      </c>
      <c r="B1371" s="17" t="inlineStr">
        <is>
          <t>Sylvania START Waterproof Slim 600 LED IP66 18,5 W tápkábel nélkül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GRO4424</t>
        </is>
      </c>
      <c r="B1372" s="17" t="inlineStr">
        <is>
          <t>Sylvania START Waterproof Slim 1200 LED IP66 34,5 W tápkábel nélkül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30 napban</t>
        </is>
      </c>
      <c r="G1372" s="17" t="inlineStr">
        <is>
          <t>Más főkategória terméke</t>
        </is>
      </c>
    </row>
    <row r="1373">
      <c r="A1373" s="17" t="inlineStr">
        <is>
          <t>GRO4425</t>
        </is>
      </c>
      <c r="B1373" s="17" t="inlineStr">
        <is>
          <t>Sylvania START Waterproof Slim 1500 LED IP66 52,5 W tápkábel nélkül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30 napban</t>
        </is>
      </c>
      <c r="G1373" s="17" t="inlineStr">
        <is>
          <t>Más főkategória terméke</t>
        </is>
      </c>
    </row>
    <row r="1374">
      <c r="A1374" s="17" t="inlineStr">
        <is>
          <t>GRO4426</t>
        </is>
      </c>
      <c r="B1374" s="17" t="inlineStr">
        <is>
          <t>Sylvania START Eco Waterproof 600 LED IP65 16 W tápkábel nélkül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az elmúlt 30 napban</t>
        </is>
      </c>
      <c r="G1374" s="17" t="inlineStr">
        <is>
          <t>Más főkategória terméke</t>
        </is>
      </c>
    </row>
    <row r="1375">
      <c r="A1375" s="17" t="inlineStr">
        <is>
          <t>GRO4427</t>
        </is>
      </c>
      <c r="B1375" s="17" t="inlineStr">
        <is>
          <t>Sylvania START Eco Waterproof 1200 LED IP65 32 W tápkábel nélkül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az elmúlt 30 napban</t>
        </is>
      </c>
      <c r="G1375" s="17" t="inlineStr">
        <is>
          <t>Más főkategória terméke</t>
        </is>
      </c>
    </row>
    <row r="1376">
      <c r="A1376" s="17" t="inlineStr">
        <is>
          <t>GRO4428</t>
        </is>
      </c>
      <c r="B1376" s="17" t="inlineStr">
        <is>
          <t>Sylvania START Eco Waterproof 1500 LED IP65 40 W tápkábel nélkül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az elmúlt 30 napban</t>
        </is>
      </c>
      <c r="G1376" s="17" t="inlineStr">
        <is>
          <t>Más főkategória terméke</t>
        </is>
      </c>
    </row>
    <row r="1377">
      <c r="A1377" s="17" t="inlineStr">
        <is>
          <t>GRO4431</t>
        </is>
      </c>
      <c r="B1377" s="17" t="inlineStr">
        <is>
          <t>Mikrozöld mag azuki bab 200 g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30 napban</t>
        </is>
      </c>
      <c r="G1377" s="17" t="inlineStr">
        <is>
          <t>Más főkategória terméke</t>
        </is>
      </c>
    </row>
    <row r="1378">
      <c r="A1378" s="17" t="inlineStr">
        <is>
          <t>GRO4432</t>
        </is>
      </c>
      <c r="B1378" s="17" t="inlineStr">
        <is>
          <t>Mikrozöld mag bíborhere 200 g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GRO4433</t>
        </is>
      </c>
      <c r="B1379" s="17" t="inlineStr">
        <is>
          <t>Mikrozöld mag brokkoli 200 g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az elmúlt 30 napban</t>
        </is>
      </c>
      <c r="G1379" s="17" t="inlineStr">
        <is>
          <t>Más főkategória terméke</t>
        </is>
      </c>
    </row>
    <row r="1380">
      <c r="A1380" s="17" t="inlineStr">
        <is>
          <t>GRO4434</t>
        </is>
      </c>
      <c r="B1380" s="17" t="inlineStr">
        <is>
          <t>Mikrozöld mag cékla 200 g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az elmúlt 30 napban</t>
        </is>
      </c>
      <c r="G1380" s="17" t="inlineStr">
        <is>
          <t>Más főkategória terméke</t>
        </is>
      </c>
    </row>
    <row r="1381">
      <c r="A1381" s="17" t="inlineStr">
        <is>
          <t>GRO4435</t>
        </is>
      </c>
      <c r="B1381" s="17" t="inlineStr">
        <is>
          <t>Csíráztató üvegedény szűrővel fehér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az elmúlt 30 napban</t>
        </is>
      </c>
      <c r="G1381" s="17" t="inlineStr">
        <is>
          <t>Más főkategória terméke</t>
        </is>
      </c>
    </row>
    <row r="1382">
      <c r="A1382" s="17" t="inlineStr">
        <is>
          <t>GRO4436</t>
        </is>
      </c>
      <c r="B1382" s="17" t="inlineStr">
        <is>
          <t>Csíráztató üvegedény szűrővel fekete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az elmúlt 30 napban</t>
        </is>
      </c>
      <c r="G1382" s="17" t="inlineStr">
        <is>
          <t>Más főkategória terméke</t>
        </is>
      </c>
    </row>
    <row r="1383">
      <c r="A1383" s="17" t="inlineStr">
        <is>
          <t>GRO4437</t>
        </is>
      </c>
      <c r="B1383" s="17" t="inlineStr">
        <is>
          <t>Csíráztató üvegedény szűrővel sárga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30 napban</t>
        </is>
      </c>
      <c r="G1383" s="17" t="inlineStr">
        <is>
          <t>Más főkategória terméke</t>
        </is>
      </c>
    </row>
    <row r="1384">
      <c r="A1384" s="17" t="inlineStr">
        <is>
          <t>GRO4438</t>
        </is>
      </c>
      <c r="B1384" s="17" t="inlineStr">
        <is>
          <t>Mikrozöld csíráztató üvegedény szűrővel sötét zöld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az elmúlt 30 napban</t>
        </is>
      </c>
      <c r="G1384" s="17" t="inlineStr">
        <is>
          <t>Más főkategória terméke</t>
        </is>
      </c>
    </row>
    <row r="1385">
      <c r="A1385" s="17" t="inlineStr">
        <is>
          <t>GRO4439</t>
        </is>
      </c>
      <c r="B1385" s="17" t="inlineStr">
        <is>
          <t>Mikrozöld mag karalábé 200 g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30 napban</t>
        </is>
      </c>
      <c r="G1385" s="17" t="inlineStr">
        <is>
          <t>Más főkategória terméke</t>
        </is>
      </c>
    </row>
    <row r="1386">
      <c r="A1386" s="17" t="inlineStr">
        <is>
          <t>GRO4441</t>
        </is>
      </c>
      <c r="B1386" s="17" t="inlineStr">
        <is>
          <t>Mikrozöld mag vörös mizuna 200 g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az elmúlt 30 napban</t>
        </is>
      </c>
      <c r="G1386" s="17" t="inlineStr">
        <is>
          <t>Más főkategória terméke</t>
        </is>
      </c>
    </row>
    <row r="1387">
      <c r="A1387" s="17" t="inlineStr">
        <is>
          <t>GRO4442</t>
        </is>
      </c>
      <c r="B1387" s="17" t="inlineStr">
        <is>
          <t>Mikrozöld mag mungóbab 200 g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GRO4443</t>
        </is>
      </c>
      <c r="B1388" s="17" t="inlineStr">
        <is>
          <t>Mikrozöld mag napraforgó 200 g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GRO4444</t>
        </is>
      </c>
      <c r="B1389" s="17" t="inlineStr">
        <is>
          <t>Mikrozöld mag petrezselyem 200 g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GRO4445</t>
        </is>
      </c>
      <c r="B1390" s="17" t="inlineStr">
        <is>
          <t>Mikrozöld mag repce 200 g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GRO4446</t>
        </is>
      </c>
      <c r="B1391" s="17" t="inlineStr">
        <is>
          <t>Mikrozöld mag retek 200 g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30 napban</t>
        </is>
      </c>
      <c r="G1391" s="17" t="inlineStr">
        <is>
          <t>Más főkategória terméke</t>
        </is>
      </c>
    </row>
    <row r="1392">
      <c r="A1392" s="17" t="inlineStr">
        <is>
          <t>GRO4447</t>
        </is>
      </c>
      <c r="B1392" s="17" t="inlineStr">
        <is>
          <t>Mikrozöld mag fekete retek 200 g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GRO4448</t>
        </is>
      </c>
      <c r="B1393" s="17" t="inlineStr">
        <is>
          <t>Mikrozöld mag sango retek 200 g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GRO4449</t>
        </is>
      </c>
      <c r="B1394" s="17" t="inlineStr">
        <is>
          <t>Mikrozöld mag retek vörös korall 200 g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GRO4450</t>
        </is>
      </c>
      <c r="B1395" s="17" t="inlineStr">
        <is>
          <t>Mikrozöld mag rukkola 200 g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GRO4451</t>
        </is>
      </c>
      <c r="B1396" s="17" t="inlineStr">
        <is>
          <t>Mikrozöld mag vajrépa 200 g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az elmúlt 30 napban</t>
        </is>
      </c>
      <c r="G1396" s="17" t="inlineStr">
        <is>
          <t>Más főkategória terméke</t>
        </is>
      </c>
    </row>
    <row r="1397">
      <c r="A1397" s="17" t="inlineStr">
        <is>
          <t>GRO4452</t>
        </is>
      </c>
      <c r="B1397" s="17" t="inlineStr">
        <is>
          <t>Mikrozöld mag vöröshere 200 g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GRO4453</t>
        </is>
      </c>
      <c r="B1398" s="17" t="inlineStr">
        <is>
          <t>Mikrozöld mag vöröskáposzta 200 g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30 napban</t>
        </is>
      </c>
      <c r="G1398" s="17" t="inlineStr">
        <is>
          <t>Más főkategória terméke</t>
        </is>
      </c>
    </row>
    <row r="1399">
      <c r="A1399" s="17" t="inlineStr">
        <is>
          <t>GRO4454</t>
        </is>
      </c>
      <c r="B1399" s="17" t="inlineStr">
        <is>
          <t>Mikrozöld mag vöröslencse 200 g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30 napban</t>
        </is>
      </c>
      <c r="G1399" s="17" t="inlineStr">
        <is>
          <t>Más főkategória terméke</t>
        </is>
      </c>
    </row>
    <row r="1400">
      <c r="A1400" s="17" t="inlineStr">
        <is>
          <t>GRO4460</t>
        </is>
      </c>
      <c r="B1400" s="17" t="inlineStr">
        <is>
          <t>Mikrozöld juta háló 60x60 cm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GRO4463/1</t>
        </is>
      </c>
      <c r="B1401" s="17" t="inlineStr">
        <is>
          <t>Mikrozöld kókuszrost szőnyeg 60x30 cm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az elmúlt 30 napban</t>
        </is>
      </c>
      <c r="G1401" s="17" t="inlineStr">
        <is>
          <t>Más főkategória terméke</t>
        </is>
      </c>
    </row>
    <row r="1402">
      <c r="A1402" s="17" t="inlineStr">
        <is>
          <t>GRO4464</t>
        </is>
      </c>
      <c r="B1402" s="17" t="inlineStr">
        <is>
          <t>Grodan Plantop Plug NG 2.0 tálcás kőzetgyapot 240 db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az elmúlt 30 napban</t>
        </is>
      </c>
      <c r="G1402" s="17" t="inlineStr">
        <is>
          <t>Más főkategória terméke</t>
        </is>
      </c>
    </row>
    <row r="1403">
      <c r="A1403" s="17" t="inlineStr">
        <is>
          <t>GRO4493</t>
        </is>
      </c>
      <c r="B1403" s="17" t="inlineStr">
        <is>
          <t>Urban Garden Propagátor fűtő lap digitális szabályzóval 25x53 cm 30 W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az elmúlt 30 napban</t>
        </is>
      </c>
      <c r="G1403" s="17" t="inlineStr">
        <is>
          <t>Más főkategória terméke</t>
        </is>
      </c>
    </row>
    <row r="1404">
      <c r="A1404" s="17" t="inlineStr">
        <is>
          <t>GRO4497</t>
        </is>
      </c>
      <c r="B1404" s="17" t="inlineStr">
        <is>
          <t>AC Infinity HYDRONE 5 növény páramentesítő 10 fokozat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30 napban</t>
        </is>
      </c>
      <c r="G1404" s="17" t="inlineStr">
        <is>
          <t>Más főkategória terméke</t>
        </is>
      </c>
    </row>
    <row r="1405">
      <c r="A1405" s="17" t="inlineStr">
        <is>
          <t>GRO4501</t>
        </is>
      </c>
      <c r="B1405" s="17" t="inlineStr">
        <is>
          <t>Flexibilis alumínium légcsatorna cső AC Infinity 150 mm, 2,4 m, 2 bilinccsel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az elmúlt 30 napban</t>
        </is>
      </c>
      <c r="G1405" s="17" t="inlineStr">
        <is>
          <t>Más főkategória terméke</t>
        </is>
      </c>
    </row>
    <row r="1406">
      <c r="A1406" s="17" t="inlineStr">
        <is>
          <t>GRO4504</t>
        </is>
      </c>
      <c r="B1406" s="17" t="inlineStr">
        <is>
          <t>Mikrozöld szilikon háló 1mm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GRO4506</t>
        </is>
      </c>
      <c r="B1407" s="17" t="inlineStr">
        <is>
          <t>Milwaukee EC45 EC/TDS mérő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az elmúlt 30 napban</t>
        </is>
      </c>
      <c r="G1407" s="17" t="inlineStr">
        <is>
          <t>Más főkategória terméke</t>
        </is>
      </c>
    </row>
    <row r="1408">
      <c r="A1408" s="17" t="inlineStr">
        <is>
          <t>GRO4512</t>
        </is>
      </c>
      <c r="B1408" s="17" t="inlineStr">
        <is>
          <t>Vezeték nélküli jeladó és vevő AC Infinity AC-WTA3 UIS eszközökhöz, 2 db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GRO4529</t>
        </is>
      </c>
      <c r="B1409" s="17" t="inlineStr">
        <is>
          <t>AC Infinity Aluflex négyrétegű flexibilis légcsatorna cső 200 mm, 7,6 m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GRO4535</t>
        </is>
      </c>
      <c r="B1410" s="17" t="inlineStr">
        <is>
          <t>SANlight LED lámpatest EVO 2C S1W 310W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GRO4536</t>
        </is>
      </c>
      <c r="B1411" s="17" t="inlineStr">
        <is>
          <t>SANlight LED lámpatest EVO 3C S1W 470W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GRO4537</t>
        </is>
      </c>
      <c r="B1412" s="17" t="inlineStr">
        <is>
          <t>SANlight LED lámpatest EVO 4C S1W 625W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GRO4546</t>
        </is>
      </c>
      <c r="B1413" s="17" t="inlineStr">
        <is>
          <t>Milwaukee PH54 pH mérő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GRO4547</t>
        </is>
      </c>
      <c r="B1414" s="17" t="inlineStr">
        <is>
          <t>Milwaukee MA871 digitális refraktométer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GRO4548</t>
        </is>
      </c>
      <c r="B1415" s="17" t="inlineStr">
        <is>
          <t>Milwaukee TH300 digitális hőmérő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GRO4549</t>
        </is>
      </c>
      <c r="B1416" s="17" t="inlineStr">
        <is>
          <t>Milwaukee MW10 digitális szabadklór fotométer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GRO4550</t>
        </is>
      </c>
      <c r="B1417" s="17" t="inlineStr">
        <is>
          <t>Milwaukee MW102 FOOD PRO+ 2 az 1-ben pH- és hőmérsékletmérő élelmiszerekhez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GRO4551</t>
        </is>
      </c>
      <c r="B1418" s="17" t="inlineStr">
        <is>
          <t>Fekete-fehér fólia 70μm 2x100 m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az elmúlt 30 napban</t>
        </is>
      </c>
      <c r="G1418" s="17" t="inlineStr">
        <is>
          <t>Más főkategória terméke</t>
        </is>
      </c>
    </row>
    <row r="1419">
      <c r="A1419" s="17" t="inlineStr">
        <is>
          <t>GRO4552</t>
        </is>
      </c>
      <c r="B1419" s="17" t="inlineStr">
        <is>
          <t>Fekete-fehér fólia 70μm 2x10 m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30 napban</t>
        </is>
      </c>
      <c r="G1419" s="17" t="inlineStr">
        <is>
          <t>Más főkategória terméke</t>
        </is>
      </c>
    </row>
    <row r="1420">
      <c r="A1420" s="17" t="inlineStr">
        <is>
          <t>GRO4553</t>
        </is>
      </c>
      <c r="B1420" s="17" t="inlineStr">
        <is>
          <t>Gyémánt mintás fólia 125μm 1,2x30 m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az elmúlt 30 napban</t>
        </is>
      </c>
      <c r="G1420" s="17" t="inlineStr">
        <is>
          <t>Más főkategória terméke</t>
        </is>
      </c>
    </row>
    <row r="1421">
      <c r="A1421" s="17" t="inlineStr">
        <is>
          <t>GRO4554</t>
        </is>
      </c>
      <c r="B1421" s="17" t="inlineStr">
        <is>
          <t>Gyémánt mintás fólia 125μm 1,2x100 m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GRO4555</t>
        </is>
      </c>
      <c r="B1422" s="17" t="inlineStr">
        <is>
          <t>Ezüst fólia 35μm 1,4x100 m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GRO4556</t>
        </is>
      </c>
      <c r="B1423" s="17" t="inlineStr">
        <is>
          <t>Ezüst fólia 35μm 1,4x10 m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GRO4563</t>
        </is>
      </c>
      <c r="B1424" s="17" t="inlineStr">
        <is>
          <t>Easy Grow scrog elasztikus növénytartó háló 60-120cm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GRO4573</t>
        </is>
      </c>
      <c r="B1425" s="17" t="inlineStr">
        <is>
          <t>Aqua Master E300 pro2 talaj EC mérő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az elmúlt 30 napban</t>
        </is>
      </c>
      <c r="G1425" s="17" t="inlineStr">
        <is>
          <t>Más főkategória terméke</t>
        </is>
      </c>
    </row>
    <row r="1426">
      <c r="A1426" s="17" t="inlineStr">
        <is>
          <t>GRO4575</t>
        </is>
      </c>
      <c r="B1426" s="17" t="inlineStr">
        <is>
          <t>Neptune Hydroponics Dark Fogger párásító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30 napban</t>
        </is>
      </c>
      <c r="G1426" s="17" t="inlineStr">
        <is>
          <t>Más főkategória terméke</t>
        </is>
      </c>
    </row>
    <row r="1427">
      <c r="A1427" s="17" t="inlineStr">
        <is>
          <t>GRO4576</t>
        </is>
      </c>
      <c r="B1427" s="17" t="inlineStr">
        <is>
          <t>Neptune Hydroponics elektromos porlasztófej Spray GO 16L permetezőhöz, 80 W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GRO4577</t>
        </is>
      </c>
      <c r="B1428" s="17" t="inlineStr">
        <is>
          <t>Probox MushPro S Gombatermesztő sátor GHP 45x30x20cm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az elmúlt 30 napban</t>
        </is>
      </c>
      <c r="G1428" s="17" t="inlineStr">
        <is>
          <t>Más főkategória terméke</t>
        </is>
      </c>
    </row>
    <row r="1429">
      <c r="A1429" s="17" t="inlineStr">
        <is>
          <t>GRO4579</t>
        </is>
      </c>
      <c r="B1429" s="17" t="inlineStr">
        <is>
          <t>Agrolite LED AgroBell 200 W 2.6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GRO4583</t>
        </is>
      </c>
      <c r="B1430" s="17" t="inlineStr">
        <is>
          <t>AC Infinity Advanced sátor szett PRO 4 növényes, 120x120x200 cm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GRO4585</t>
        </is>
      </c>
      <c r="B1431" s="17" t="inlineStr">
        <is>
          <t>Sansi LED E27 36W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GRO4586</t>
        </is>
      </c>
      <c r="B1432" s="17" t="inlineStr">
        <is>
          <t>Sansi LED E27 24W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az elmúlt 30 napban</t>
        </is>
      </c>
      <c r="G1432" s="17" t="inlineStr">
        <is>
          <t>Más főkategória terméke</t>
        </is>
      </c>
    </row>
    <row r="1433">
      <c r="A1433" s="17" t="inlineStr">
        <is>
          <t>GRO4587</t>
        </is>
      </c>
      <c r="B1433" s="17" t="inlineStr">
        <is>
          <t>Sansi LED E27 10W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az elmúlt 30 napban</t>
        </is>
      </c>
      <c r="G1433" s="17" t="inlineStr">
        <is>
          <t>Más főkategória terméke</t>
        </is>
      </c>
    </row>
    <row r="1434">
      <c r="A1434" s="17" t="inlineStr">
        <is>
          <t>GRO4589</t>
        </is>
      </c>
      <c r="B1434" s="17" t="inlineStr">
        <is>
          <t>Sansi LED E27 állítható 2x30W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30 napban</t>
        </is>
      </c>
      <c r="G1434" s="17" t="inlineStr">
        <is>
          <t>Más főkategória terméke</t>
        </is>
      </c>
    </row>
    <row r="1435">
      <c r="A1435" s="17" t="inlineStr">
        <is>
          <t>GRO4590</t>
        </is>
      </c>
      <c r="B1435" s="17" t="inlineStr">
        <is>
          <t>Sansi LED E27 csíptethető 2x10W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GRO4591</t>
        </is>
      </c>
      <c r="B1436" s="17" t="inlineStr">
        <is>
          <t>Sansi LED E27 csíptethető 3x10W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30 napban</t>
        </is>
      </c>
      <c r="G1436" s="17" t="inlineStr">
        <is>
          <t>Más főkategória terméke</t>
        </is>
      </c>
    </row>
    <row r="1437">
      <c r="A1437" s="17" t="inlineStr">
        <is>
          <t>GRO4592</t>
        </is>
      </c>
      <c r="B1437" s="17" t="inlineStr">
        <is>
          <t>Sansi LED E27 csíptethető 4x10W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az elmúlt 30 napban</t>
        </is>
      </c>
      <c r="G1437" s="17" t="inlineStr">
        <is>
          <t>Más főkategória terméke</t>
        </is>
      </c>
    </row>
    <row r="1438">
      <c r="A1438" s="17" t="inlineStr">
        <is>
          <t>GRO4593</t>
        </is>
      </c>
      <c r="B1438" s="17" t="inlineStr">
        <is>
          <t>Sansi LED E27 álló 3x30W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az elmúlt 30 napban</t>
        </is>
      </c>
      <c r="G1438" s="17" t="inlineStr">
        <is>
          <t>Más főkategória terméke</t>
        </is>
      </c>
    </row>
    <row r="1439">
      <c r="A1439" s="17" t="inlineStr">
        <is>
          <t>GRO4594</t>
        </is>
      </c>
      <c r="B1439" s="17" t="inlineStr">
        <is>
          <t>Sansi LED E27 álló 4x30W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GRO4595</t>
        </is>
      </c>
      <c r="B1440" s="17" t="inlineStr">
        <is>
          <t>Sansi LED E27 távirányítóval 40W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GRO4596</t>
        </is>
      </c>
      <c r="B1441" s="17" t="inlineStr">
        <is>
          <t>Sansi LED szett E27 izzó és állvány 40W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GRO4597</t>
        </is>
      </c>
      <c r="B1442" s="17" t="inlineStr">
        <is>
          <t>Sansi LED cső 60 cm 15W foglalat és tápkábel nélkül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30 napban</t>
        </is>
      </c>
      <c r="G1442" s="17" t="inlineStr">
        <is>
          <t>Más főkategória terméke</t>
        </is>
      </c>
    </row>
    <row r="1443">
      <c r="A1443" s="17" t="inlineStr">
        <is>
          <t>GRO4598</t>
        </is>
      </c>
      <c r="B1443" s="17" t="inlineStr">
        <is>
          <t>Sansi LED cső 90 cm 20W foglalat és tápkábel nélkül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az elmúlt 30 napban</t>
        </is>
      </c>
      <c r="G1443" s="17" t="inlineStr">
        <is>
          <t>Más főkategória terméke</t>
        </is>
      </c>
    </row>
    <row r="1444">
      <c r="A1444" s="17" t="inlineStr">
        <is>
          <t>GRO4599</t>
        </is>
      </c>
      <c r="B1444" s="17" t="inlineStr">
        <is>
          <t>Sansi LED E27 csíptethető,vezérlővel 10W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30 napban</t>
        </is>
      </c>
      <c r="G1444" s="17" t="inlineStr">
        <is>
          <t>Más főkategória terméke</t>
        </is>
      </c>
    </row>
    <row r="1445">
      <c r="A1445" s="17" t="inlineStr">
        <is>
          <t>GRO4600</t>
        </is>
      </c>
      <c r="B1445" s="17" t="inlineStr">
        <is>
          <t>Vents TT 100 EC eco csőventilátor 100 mm, 210 m3/h, fekete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az elmúlt 30 napban</t>
        </is>
      </c>
      <c r="G1445" s="17" t="inlineStr">
        <is>
          <t>Más főkategória terméke</t>
        </is>
      </c>
    </row>
    <row r="1446">
      <c r="A1446" s="17" t="inlineStr">
        <is>
          <t>GRO4601</t>
        </is>
      </c>
      <c r="B1446" s="17" t="inlineStr">
        <is>
          <t>Vents TT 125 EC Eco csőventilátor 125 mm, 275 m3/h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az elmúlt 30 napban</t>
        </is>
      </c>
      <c r="G1446" s="17" t="inlineStr">
        <is>
          <t>Más főkategória terméke</t>
        </is>
      </c>
    </row>
    <row r="1447">
      <c r="A1447" s="17" t="inlineStr">
        <is>
          <t>GRO4608</t>
        </is>
      </c>
      <c r="B1447" s="17" t="inlineStr">
        <is>
          <t>Garland Seed vékonyfalú tálca cserépalátét 5 db 37x23,5x5 cm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az elmúlt 30 napban</t>
        </is>
      </c>
      <c r="G1447" s="17" t="inlineStr">
        <is>
          <t>Más főkategória terméke</t>
        </is>
      </c>
    </row>
    <row r="1448">
      <c r="A1448" s="17" t="inlineStr">
        <is>
          <t>GRO4609</t>
        </is>
      </c>
      <c r="B1448" s="17" t="inlineStr">
        <is>
          <t>Garland propagátor fedél 37,5x24x8,5 cm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30 napban</t>
        </is>
      </c>
      <c r="G1448" s="17" t="inlineStr">
        <is>
          <t>Más főkategória terméke</t>
        </is>
      </c>
    </row>
    <row r="1449">
      <c r="A1449" s="17" t="inlineStr">
        <is>
          <t>GRO4610</t>
        </is>
      </c>
      <c r="B1449" s="17" t="inlineStr">
        <is>
          <t>Garland vékony falú tálca cserépalátét kapilláris szőnyeggel 55x31x3 cm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az elmúlt 30 napban</t>
        </is>
      </c>
      <c r="G1449" s="17" t="inlineStr">
        <is>
          <t>Más főkategória terméke</t>
        </is>
      </c>
    </row>
    <row r="1450">
      <c r="A1450" s="17" t="inlineStr">
        <is>
          <t>GRO4611</t>
        </is>
      </c>
      <c r="B1450" s="17" t="inlineStr">
        <is>
          <t>Garland kapilláris szőnyeg 2 db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GRO4612</t>
        </is>
      </c>
      <c r="B1451" s="17" t="inlineStr">
        <is>
          <t>Garland Seed Mini tálca cserépalátét lyukakkal 7x10x5 cm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30 napban</t>
        </is>
      </c>
      <c r="G1451" s="17" t="inlineStr">
        <is>
          <t>Más főkategória terméke</t>
        </is>
      </c>
    </row>
    <row r="1452">
      <c r="A1452" s="17" t="inlineStr">
        <is>
          <t>GRO4613</t>
        </is>
      </c>
      <c r="B1452" s="17" t="inlineStr">
        <is>
          <t>Garland magas falú cserép 37,5x23x12,5 cm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GRO4614</t>
        </is>
      </c>
      <c r="B1453" s="17" t="inlineStr">
        <is>
          <t>Garland propagátor fedél 56x28x8 cm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30 napban</t>
        </is>
      </c>
      <c r="G1453" s="17" t="inlineStr">
        <is>
          <t>Más főkategória terméke</t>
        </is>
      </c>
    </row>
    <row r="1454">
      <c r="A1454" s="17" t="inlineStr">
        <is>
          <t>GRO4615</t>
        </is>
      </c>
      <c r="B1454" s="17" t="inlineStr">
        <is>
          <t>Garland Seed Small tálca lyukakkal cserépalátét 23x17x6 cm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az elmúlt 30 napban</t>
        </is>
      </c>
      <c r="G1454" s="17" t="inlineStr">
        <is>
          <t>Más főkategória terméke</t>
        </is>
      </c>
    </row>
    <row r="1455">
      <c r="A1455" s="17" t="inlineStr">
        <is>
          <t>GRO4616</t>
        </is>
      </c>
      <c r="B1455" s="17" t="inlineStr">
        <is>
          <t>Garland Mini tálca cserépalátét 23x17x6 cm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30 napban</t>
        </is>
      </c>
      <c r="G1455" s="17" t="inlineStr">
        <is>
          <t>Más főkategória terméke</t>
        </is>
      </c>
    </row>
    <row r="1456">
      <c r="A1456" s="17" t="inlineStr">
        <is>
          <t>GRO4618</t>
        </is>
      </c>
      <c r="B1456" s="17" t="inlineStr">
        <is>
          <t>Garland propagátor Large fedél 37,5x23x6,5 cm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GRO4619</t>
        </is>
      </c>
      <c r="B1457" s="17" t="inlineStr">
        <is>
          <t>Garland propagátor keskeny fedél 37x13,5x6,5 cm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GRO4620</t>
        </is>
      </c>
      <c r="B1458" s="17" t="inlineStr">
        <is>
          <t>Garland propagátor Large fedél szellőzővel 37,5x23x8 cm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az elmúlt 30 napban</t>
        </is>
      </c>
      <c r="G1458" s="17" t="inlineStr">
        <is>
          <t>Más főkategória terméke</t>
        </is>
      </c>
    </row>
    <row r="1459">
      <c r="A1459" s="17" t="inlineStr">
        <is>
          <t>GRO4630</t>
        </is>
      </c>
      <c r="B1459" s="17" t="inlineStr">
        <is>
          <t>Kertészeti jelölő műanyagtábla nagy 1 db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GRO4631</t>
        </is>
      </c>
      <c r="B1460" s="17" t="inlineStr">
        <is>
          <t>Kertészeti jelölő krétatábla kicsi 1 db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GRO4632</t>
        </is>
      </c>
      <c r="B1461" s="17" t="inlineStr">
        <is>
          <t>Kertészeti jelölő krétatábla közepes 1 db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30 napban</t>
        </is>
      </c>
      <c r="G1461" s="17" t="inlineStr">
        <is>
          <t>Más főkategória terméke</t>
        </is>
      </c>
    </row>
    <row r="1462">
      <c r="A1462" s="17" t="inlineStr">
        <is>
          <t>GRO4633</t>
        </is>
      </c>
      <c r="B1462" s="17" t="inlineStr">
        <is>
          <t>40 lyukas palántanevelő tálca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GRO4634</t>
        </is>
      </c>
      <c r="B1463" s="17" t="inlineStr">
        <is>
          <t>66 lyukas palántanevelő tálca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GRO4635</t>
        </is>
      </c>
      <c r="B1464" s="17" t="inlineStr">
        <is>
          <t>104 lyukas palántanevelő tálca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GRO4636</t>
        </is>
      </c>
      <c r="B1465" s="17" t="inlineStr">
        <is>
          <t>Mikrozöld magvető tálca 61,5x33x3 cm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GRO4637</t>
        </is>
      </c>
      <c r="B1466" s="17" t="inlineStr">
        <is>
          <t>Mikrozöld magvető tálca, lyukacsos, 59x29x7 cm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az elmúlt 30 napban</t>
        </is>
      </c>
      <c r="G1466" s="17" t="inlineStr">
        <is>
          <t>Más főkategória terméke</t>
        </is>
      </c>
    </row>
    <row r="1467">
      <c r="A1467" s="17" t="inlineStr">
        <is>
          <t>GRO4644</t>
        </is>
      </c>
      <c r="B1467" s="17" t="inlineStr">
        <is>
          <t>Kerek műanyag konténer fogantyúval, 43 L (45x34 cm)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GRO4645</t>
        </is>
      </c>
      <c r="B1468" s="17" t="inlineStr">
        <is>
          <t>Kerek műanyag konténer fogantyúval, 50 L (45x41 cm)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GRO4646</t>
        </is>
      </c>
      <c r="B1469" s="17" t="inlineStr">
        <is>
          <t>Kerek műanyag konténer fogantyúval, 60 L (50x38 cm)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GRO4647</t>
        </is>
      </c>
      <c r="B1470" s="17" t="inlineStr">
        <is>
          <t>Kerek műanyag konténer fogantyúval, 70 L (50x44 cm)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GRO4648</t>
        </is>
      </c>
      <c r="B1471" s="17" t="inlineStr">
        <is>
          <t>Kerek műanyag konténer fogantyúval, 80 L (55x43 cm)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az elmúlt 30 napban</t>
        </is>
      </c>
      <c r="G1471" s="17" t="inlineStr">
        <is>
          <t>Más főkategória terméke</t>
        </is>
      </c>
    </row>
    <row r="1472">
      <c r="A1472" s="17" t="inlineStr">
        <is>
          <t>GRO4649</t>
        </is>
      </c>
      <c r="B1472" s="17" t="inlineStr">
        <is>
          <t>Kerek műanyag konténer fogantyúval 100 L (55x51 cm)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GRO4652</t>
        </is>
      </c>
      <c r="B1473" s="17" t="inlineStr">
        <is>
          <t>Kerek műanyag konténer fogantyúval, 130 L (65x51 cm)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az elmúlt 30 napban</t>
        </is>
      </c>
      <c r="G1473" s="17" t="inlineStr">
        <is>
          <t>Más főkategória terméke</t>
        </is>
      </c>
    </row>
    <row r="1474">
      <c r="A1474" s="17" t="inlineStr">
        <is>
          <t>GRO4653</t>
        </is>
      </c>
      <c r="B1474" s="17" t="inlineStr">
        <is>
          <t>Kerek műanyag konténer fogantyúval, 155 L (70x51 cm)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GRO4654</t>
        </is>
      </c>
      <c r="B1475" s="17" t="inlineStr">
        <is>
          <t>Kerek cserépalátét fekete, 18 cm átmérővel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az elmúlt 30 napban</t>
        </is>
      </c>
      <c r="G1475" s="17" t="inlineStr">
        <is>
          <t>Más főkategória terméke</t>
        </is>
      </c>
    </row>
    <row r="1476">
      <c r="A1476" s="17" t="inlineStr">
        <is>
          <t>GRO4655</t>
        </is>
      </c>
      <c r="B1476" s="17" t="inlineStr">
        <is>
          <t>Kerek cserépalátét, fekete, 20 cm átmérő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az elmúlt 30 napban</t>
        </is>
      </c>
      <c r="G1476" s="17" t="inlineStr">
        <is>
          <t>Más főkategória terméke</t>
        </is>
      </c>
    </row>
    <row r="1477">
      <c r="A1477" s="17" t="inlineStr">
        <is>
          <t>GRO4656</t>
        </is>
      </c>
      <c r="B1477" s="17" t="inlineStr">
        <is>
          <t>Kerek cserépalátét, fekete, 30 cm átmérő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GRO4658</t>
        </is>
      </c>
      <c r="B1478" s="17" t="inlineStr">
        <is>
          <t>AC Infinity Cloudforge T5 intelligens párásító, VPD-vezérléssel, 9 L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GRO4659</t>
        </is>
      </c>
      <c r="B1479" s="17" t="inlineStr">
        <is>
          <t>Fekete kerek cserépalátét, 35 cm átmérő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az elmúlt 30 napban</t>
        </is>
      </c>
      <c r="G1479" s="17" t="inlineStr">
        <is>
          <t>Más főkategória terméke</t>
        </is>
      </c>
    </row>
    <row r="1480">
      <c r="A1480" s="17" t="inlineStr">
        <is>
          <t>GRO4667</t>
        </is>
      </c>
      <c r="B1480" s="17" t="inlineStr">
        <is>
          <t>Secret Jardin vízgyűjtő tálca 40x40x8 cm growboxhoz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GRO4668</t>
        </is>
      </c>
      <c r="B1481" s="17" t="inlineStr">
        <is>
          <t>Secret Jardin vízgyűjtő tálca 60x60x8 cm growboxhoz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GRO4669</t>
        </is>
      </c>
      <c r="B1482" s="17" t="inlineStr">
        <is>
          <t>Secret Jardin vízgyűjtő tálca 80x80x8 cm growboxhoz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GRO4670</t>
        </is>
      </c>
      <c r="B1483" s="17" t="inlineStr">
        <is>
          <t>Secret Jardin vízgyűjtő tálca 100x100x8 cm growboxhoz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az elmúlt 30 napban</t>
        </is>
      </c>
      <c r="G1483" s="17" t="inlineStr">
        <is>
          <t>Más főkategória terméke</t>
        </is>
      </c>
    </row>
    <row r="1484">
      <c r="A1484" s="17" t="inlineStr">
        <is>
          <t>GRO4671</t>
        </is>
      </c>
      <c r="B1484" s="17" t="inlineStr">
        <is>
          <t>Secret Jardin vízgyűjtő tálca 120x120x8 cm growboxhoz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az elmúlt 30 napban</t>
        </is>
      </c>
      <c r="G1484" s="17" t="inlineStr">
        <is>
          <t>Más főkategória terméke</t>
        </is>
      </c>
    </row>
    <row r="1485">
      <c r="A1485" s="17" t="inlineStr">
        <is>
          <t>GRO4672</t>
        </is>
      </c>
      <c r="B1485" s="17" t="inlineStr">
        <is>
          <t>Secret Jardin vízgyűjtő tálca 150x150x8 cm growboxhoz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30 napban</t>
        </is>
      </c>
      <c r="G1485" s="17" t="inlineStr">
        <is>
          <t>Más főkategória terméke</t>
        </is>
      </c>
    </row>
    <row r="1486">
      <c r="A1486" s="17" t="inlineStr">
        <is>
          <t>GRO4673</t>
        </is>
      </c>
      <c r="B1486" s="17" t="inlineStr">
        <is>
          <t>Secret Jardin vízgyűjtő tálca 120x60x8 cm growboxhoz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GRO4674</t>
        </is>
      </c>
      <c r="B1487" s="17" t="inlineStr">
        <is>
          <t>Secret Jardin vízgyűjtő tálca 240x120x8 cm growboxhoz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GRO4675</t>
        </is>
      </c>
      <c r="B1488" s="17" t="inlineStr">
        <is>
          <t>Jiffy-7 kókuszrost szaporítólap mikrozöldhöz, 400 vetőhely, 24x24,7 cm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az elmúlt 30 napban</t>
        </is>
      </c>
      <c r="G1488" s="17" t="inlineStr">
        <is>
          <t>Más főkategória terméke</t>
        </is>
      </c>
    </row>
    <row r="1489">
      <c r="A1489" s="17" t="inlineStr">
        <is>
          <t>GRO4676</t>
        </is>
      </c>
      <c r="B1489" s="17" t="inlineStr">
        <is>
          <t>Jiffy tőzegcserép kerek réselt 5,5x5,2 cm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az elmúlt 30 napban</t>
        </is>
      </c>
      <c r="G1489" s="17" t="inlineStr">
        <is>
          <t>Más főkategória terméke</t>
        </is>
      </c>
    </row>
    <row r="1490">
      <c r="A1490" s="17" t="inlineStr">
        <is>
          <t>GRO4684</t>
        </is>
      </c>
      <c r="B1490" s="17" t="inlineStr">
        <is>
          <t>Propagátor tálca 43x32,5 cm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az elmúlt 30 napban</t>
        </is>
      </c>
      <c r="G1490" s="17" t="inlineStr">
        <is>
          <t>Más főkategória terméke</t>
        </is>
      </c>
    </row>
    <row r="1491">
      <c r="A1491" s="17" t="inlineStr">
        <is>
          <t>GRO4686</t>
        </is>
      </c>
      <c r="B1491" s="17" t="inlineStr">
        <is>
          <t>Propagátor tálca 32,9x22,8 cm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GRO4687</t>
        </is>
      </c>
      <c r="B1492" s="17" t="inlineStr">
        <is>
          <t>Propagátor tető 31,3x21,3 cm, áttetsző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GRO4703</t>
        </is>
      </c>
      <c r="B1493" s="17" t="inlineStr">
        <is>
          <t>Aluflex flexibilis légcső 102 mm, 3 m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30 napban</t>
        </is>
      </c>
      <c r="G1493" s="17" t="inlineStr">
        <is>
          <t>Más főkategória terméke</t>
        </is>
      </c>
    </row>
    <row r="1494">
      <c r="A1494" s="17" t="inlineStr">
        <is>
          <t>GRO4704</t>
        </is>
      </c>
      <c r="B1494" s="17" t="inlineStr">
        <is>
          <t>Aluflex flexibilis légcső 127 mm átmérő, 3 m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az elmúlt 30 napban</t>
        </is>
      </c>
      <c r="G1494" s="17" t="inlineStr">
        <is>
          <t>Más főkategória terméke</t>
        </is>
      </c>
    </row>
    <row r="1495">
      <c r="A1495" s="17" t="inlineStr">
        <is>
          <t>GRO4705</t>
        </is>
      </c>
      <c r="B1495" s="17" t="inlineStr">
        <is>
          <t>Aluflex flexibilis légcső 152 mm, 3 m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az elmúlt 30 napban</t>
        </is>
      </c>
      <c r="G1495" s="17" t="inlineStr">
        <is>
          <t>Más főkategória terméke</t>
        </is>
      </c>
    </row>
    <row r="1496">
      <c r="A1496" s="17" t="inlineStr">
        <is>
          <t>GRO4706</t>
        </is>
      </c>
      <c r="B1496" s="17" t="inlineStr">
        <is>
          <t>Tápegység SANlight FLEX II 30 W adapterkábellel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az elmúlt 30 napban</t>
        </is>
      </c>
      <c r="G1496" s="17" t="inlineStr">
        <is>
          <t>Más főkategória terméke</t>
        </is>
      </c>
    </row>
    <row r="1497">
      <c r="A1497" s="17" t="inlineStr">
        <is>
          <t>GRO4707</t>
        </is>
      </c>
      <c r="B1497" s="17" t="inlineStr">
        <is>
          <t>LED növénylámpa Sanlight Stixx 2-60 47W teljes spektrumú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az elmúlt 30 napban</t>
        </is>
      </c>
      <c r="G1497" s="17" t="inlineStr">
        <is>
          <t>Más főkategória terméke</t>
        </is>
      </c>
    </row>
    <row r="1498">
      <c r="A1498" s="17" t="inlineStr">
        <is>
          <t>GRO4708</t>
        </is>
      </c>
      <c r="B1498" s="17" t="inlineStr">
        <is>
          <t>Sanlight Stixx 3-80 LED növénylámpa 70W, teljes spektrumú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az elmúlt 30 napban</t>
        </is>
      </c>
      <c r="G1498" s="17" t="inlineStr">
        <is>
          <t>Más főkategória terméke</t>
        </is>
      </c>
    </row>
    <row r="1499">
      <c r="A1499" s="17" t="inlineStr">
        <is>
          <t>GRO4709</t>
        </is>
      </c>
      <c r="B1499" s="17" t="inlineStr">
        <is>
          <t>Sanlight Stixx 4-100 LED növénylámpa 94 W, teljes spektrumú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30 napban</t>
        </is>
      </c>
      <c r="G1499" s="17" t="inlineStr">
        <is>
          <t>Más főkategória terméke</t>
        </is>
      </c>
    </row>
    <row r="1500">
      <c r="A1500" s="17" t="inlineStr">
        <is>
          <t>GRO4711</t>
        </is>
      </c>
      <c r="B1500" s="17" t="inlineStr">
        <is>
          <t>LED tápegység növénylámpához SANlight Driver Set STIXX 2, 160 W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GRO4712</t>
        </is>
      </c>
      <c r="B1501" s="17" t="inlineStr">
        <is>
          <t>LED tápegység SANlight STIXX 3/6 növénylámpához, 200 W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az elmúlt 30 napban</t>
        </is>
      </c>
      <c r="G1501" s="17" t="inlineStr">
        <is>
          <t>Más főkategória terméke</t>
        </is>
      </c>
    </row>
    <row r="1502">
      <c r="A1502" s="17" t="inlineStr">
        <is>
          <t>GRO4746</t>
        </is>
      </c>
      <c r="B1502" s="17" t="inlineStr">
        <is>
          <t>Kenderrost termesztőlap mikrozöldekhez, 56x28 cm, 400 g/m2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az elmúlt 30 napban</t>
        </is>
      </c>
      <c r="G1502" s="17" t="inlineStr">
        <is>
          <t>Más főkategória terméke</t>
        </is>
      </c>
    </row>
    <row r="1503">
      <c r="A1503" s="17" t="inlineStr">
        <is>
          <t>GRO4751</t>
        </is>
      </c>
      <c r="B1503" s="17" t="inlineStr">
        <is>
          <t>Agra-Wool Speedgrow Kőzetgyapot palántázó kocka 7,5x7,5x6,5 cm, 38x35 mm lyukkal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30 napban</t>
        </is>
      </c>
      <c r="G1503" s="17" t="inlineStr">
        <is>
          <t>Más főkategória terméke</t>
        </is>
      </c>
    </row>
    <row r="1504">
      <c r="A1504" s="17" t="inlineStr">
        <is>
          <t>GRO4752</t>
        </is>
      </c>
      <c r="B1504" s="17" t="inlineStr">
        <is>
          <t>Agra-Wool Speedgrow Kőzetgyapot kocka 10x10x6,5 cm, 38x35 mm lyukkal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GRO4753</t>
        </is>
      </c>
      <c r="B1505" s="17" t="inlineStr">
        <is>
          <t>Agra-Wool Speedgrow kőzetgyapot tábla 100x15x7,5 cm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GRO4754</t>
        </is>
      </c>
      <c r="B1506" s="17" t="inlineStr">
        <is>
          <t>Agra-Wool Speedgrow BASIC kőzetgyapot szaporítókocka 38x40 mm, 84 db tálcán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30 napban</t>
        </is>
      </c>
      <c r="G1506" s="17" t="inlineStr">
        <is>
          <t>Más főkategória terméke</t>
        </is>
      </c>
    </row>
    <row r="1507">
      <c r="A1507" s="17" t="inlineStr">
        <is>
          <t>GRO4755</t>
        </is>
      </c>
      <c r="B1507" s="17" t="inlineStr">
        <is>
          <t>Agra-Wool Speedgrow BASIC kőzetgyapot szaporítókocka 28x40 mm, 126 db tálcán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az elmúlt 30 napban</t>
        </is>
      </c>
      <c r="G1507" s="17" t="inlineStr">
        <is>
          <t>Más főkategória terméke</t>
        </is>
      </c>
    </row>
    <row r="1508">
      <c r="A1508" s="17" t="inlineStr">
        <is>
          <t>GRO4757</t>
        </is>
      </c>
      <c r="B1508" s="17" t="inlineStr">
        <is>
          <t>Agra-Wool Big Block kőzetgyapot kocka 15x15x15 cm, 38x35 mm ültetőlyukkal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GYSZ0005V</t>
        </is>
      </c>
      <c r="B1509" s="17" t="inlineStr">
        <is>
          <t>Növénynevelő lámpa szett 250W HPS izzó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GYSZ0006V</t>
        </is>
      </c>
      <c r="B1510" s="17" t="inlineStr">
        <is>
          <t>Növénynevelő lámpa szett 400W HPS izzó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GYSZ0007V</t>
        </is>
      </c>
      <c r="B1511" s="17" t="inlineStr">
        <is>
          <t>Növénynevelő lámpa szett 600W HPS izzó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30 napban</t>
        </is>
      </c>
      <c r="G1511" s="17" t="inlineStr">
        <is>
          <t>Más főkategória terméke</t>
        </is>
      </c>
    </row>
    <row r="1512">
      <c r="A1512" s="17" t="inlineStr">
        <is>
          <t>GYSZ0013V</t>
        </is>
      </c>
      <c r="B1512" s="17" t="inlineStr">
        <is>
          <t>Kezdő HPS Grow Box szett 250W / 80x80x178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az elmúlt 30 napban</t>
        </is>
      </c>
      <c r="G1512" s="17" t="inlineStr">
        <is>
          <t>Más főkategória terméke</t>
        </is>
      </c>
    </row>
    <row r="1513">
      <c r="A1513" s="17" t="inlineStr">
        <is>
          <t>GYSZ0015V</t>
        </is>
      </c>
      <c r="B1513" s="17" t="inlineStr">
        <is>
          <t>Kezdő HPS Grow Box szett 400W / 100x100x200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GYSZ0016V</t>
        </is>
      </c>
      <c r="B1514" s="17" t="inlineStr">
        <is>
          <t>Kezdő HPS Grow Box szett 600W / 120x120x200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az elmúlt 30 napban</t>
        </is>
      </c>
      <c r="G1514" s="17" t="inlineStr">
        <is>
          <t>Más főkategória terméke</t>
        </is>
      </c>
    </row>
    <row r="1515">
      <c r="A1515" s="17" t="inlineStr">
        <is>
          <t>GYSZ0018V</t>
        </is>
      </c>
      <c r="B1515" s="17" t="inlineStr">
        <is>
          <t>Haladó HPS Grow Box szett 600W / 120x120x200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az elmúlt 30 napban</t>
        </is>
      </c>
      <c r="G1515" s="17" t="inlineStr">
        <is>
          <t>Más főkategória terméke</t>
        </is>
      </c>
    </row>
    <row r="1516">
      <c r="A1516" s="17" t="inlineStr">
        <is>
          <t>GYSZ0023V</t>
        </is>
      </c>
      <c r="B1516" s="17" t="inlineStr">
        <is>
          <t>Növénynevelő lámpa szett 600W HPS &amp; AAW &amp; Digitális trafó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az elmúlt 30 napban</t>
        </is>
      </c>
      <c r="G1516" s="17" t="inlineStr">
        <is>
          <t>Más főkategória terméke</t>
        </is>
      </c>
    </row>
    <row r="1517">
      <c r="A1517" s="17" t="inlineStr">
        <is>
          <t>GYSZ0024V</t>
        </is>
      </c>
      <c r="B1517" s="17" t="inlineStr">
        <is>
          <t>Nutriculture X-Stream Heat fűthető propagátor Small + termosztát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30 napban</t>
        </is>
      </c>
      <c r="G1517" s="17" t="inlineStr">
        <is>
          <t>Más főkategória terméke</t>
        </is>
      </c>
    </row>
    <row r="1518">
      <c r="A1518" s="17" t="inlineStr">
        <is>
          <t>GYSZ0029V</t>
        </is>
      </c>
      <c r="B1518" s="17" t="inlineStr">
        <is>
          <t>Kezdő hidrocsomag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30 napban</t>
        </is>
      </c>
      <c r="G1518" s="17" t="inlineStr">
        <is>
          <t>Más főkategória terméke</t>
        </is>
      </c>
    </row>
    <row r="1519">
      <c r="A1519" s="17" t="inlineStr">
        <is>
          <t>GYSZ0034</t>
        </is>
      </c>
      <c r="B1519" s="17" t="inlineStr">
        <is>
          <t>Nutripot Vega DWC hidrorendszer 9 növényhez 83x83x35cm 110L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GYSZ0053V</t>
        </is>
      </c>
      <c r="B1520" s="17" t="inlineStr">
        <is>
          <t>Kiegészítő csomag sátorszettekhez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az elmúlt 30 napban</t>
        </is>
      </c>
      <c r="G1520" s="17" t="inlineStr">
        <is>
          <t>Más főkategória terméke</t>
        </is>
      </c>
    </row>
    <row r="1521">
      <c r="A1521" s="17" t="inlineStr">
        <is>
          <t>GYSZ0054V</t>
        </is>
      </c>
      <c r="B1521" s="17" t="inlineStr">
        <is>
          <t>Haladó LED Grow Box szett 200W / 80x80x178 cm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az elmúlt 30 napban</t>
        </is>
      </c>
      <c r="G1521" s="17" t="inlineStr">
        <is>
          <t>Más főkategória terméke</t>
        </is>
      </c>
    </row>
    <row r="1522">
      <c r="A1522" s="17" t="inlineStr">
        <is>
          <t>GYSZ0059V</t>
        </is>
      </c>
      <c r="B1522" s="17" t="inlineStr">
        <is>
          <t>Haladó LED Grow Box szett 100W / 60x60x160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GYSZ0060V</t>
        </is>
      </c>
      <c r="B1523" s="17" t="inlineStr">
        <is>
          <t>Haladó LED Grow Box szett 320W / 100x100x200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30 napban</t>
        </is>
      </c>
      <c r="G1523" s="17" t="inlineStr">
        <is>
          <t>Más főkategória terméke</t>
        </is>
      </c>
    </row>
    <row r="1524">
      <c r="A1524" s="17" t="inlineStr">
        <is>
          <t>GYSZ0062V</t>
        </is>
      </c>
      <c r="B1524" s="17" t="inlineStr">
        <is>
          <t>Kezdő LED Grow Box szett 120W / 60x60x160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az elmúlt 30 napban</t>
        </is>
      </c>
      <c r="G1524" s="17" t="inlineStr">
        <is>
          <t>Más főkategória terméke</t>
        </is>
      </c>
    </row>
    <row r="1525">
      <c r="A1525" s="17" t="inlineStr">
        <is>
          <t>GYSZ0063V</t>
        </is>
      </c>
      <c r="B1525" s="17" t="inlineStr">
        <is>
          <t>Kezdő LED Grow Box szett 240W / 80x80x178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az elmúlt 30 napban</t>
        </is>
      </c>
      <c r="G1525" s="17" t="inlineStr">
        <is>
          <t>Más főkategória terméke</t>
        </is>
      </c>
    </row>
    <row r="1526">
      <c r="A1526" s="17" t="inlineStr">
        <is>
          <t>GYSZ0064V</t>
        </is>
      </c>
      <c r="B1526" s="17" t="inlineStr">
        <is>
          <t>Kezdő LED Grow Box szett 360W / 100x100x200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az elmúlt 30 napban</t>
        </is>
      </c>
      <c r="G1526" s="17" t="inlineStr">
        <is>
          <t>Más főkategória terméke</t>
        </is>
      </c>
    </row>
    <row r="1527">
      <c r="A1527" s="17" t="inlineStr">
        <is>
          <t>GYSZ0065V</t>
        </is>
      </c>
      <c r="B1527" s="17" t="inlineStr">
        <is>
          <t>Haladó LED Grow Box szett 730W / 120x120x200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az elmúlt 30 napban</t>
        </is>
      </c>
      <c r="G1527" s="17" t="inlineStr">
        <is>
          <t>Más főkategória terméke</t>
        </is>
      </c>
    </row>
    <row r="1528">
      <c r="A1528" s="17" t="inlineStr">
        <is>
          <t>GYSZ0066V</t>
        </is>
      </c>
      <c r="B1528" s="17" t="inlineStr">
        <is>
          <t>Haladó LED Grow Box szett 730W / 150x150x200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az elmúlt 30 napban</t>
        </is>
      </c>
      <c r="G1528" s="17" t="inlineStr">
        <is>
          <t>Más főkategória terméke</t>
        </is>
      </c>
    </row>
    <row r="1529">
      <c r="A1529" s="17" t="inlineStr">
        <is>
          <t>GYSZ0067V</t>
        </is>
      </c>
      <c r="B1529" s="17" t="inlineStr">
        <is>
          <t>Haladó LED Grow Box szett 550W / 150x150x200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az elmúlt 30 napban</t>
        </is>
      </c>
      <c r="G1529" s="17" t="inlineStr">
        <is>
          <t>Más főkategória terméke</t>
        </is>
      </c>
    </row>
    <row r="1530">
      <c r="A1530" s="17" t="inlineStr">
        <is>
          <t>GYUJTO0319</t>
        </is>
      </c>
      <c r="B1530" s="17" t="inlineStr">
        <is>
          <t>Plagron Europebbles hidrogolyók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az elmúlt 30 napban</t>
        </is>
      </c>
      <c r="G1530" s="17" t="inlineStr">
        <is>
          <t>Más főkategória terméke</t>
        </is>
      </c>
    </row>
    <row r="1531">
      <c r="A1531" s="17" t="inlineStr">
        <is>
          <t>HED1022</t>
        </is>
      </c>
      <c r="B1531" s="17" t="inlineStr">
        <is>
          <t>Kalibráló súly digitális mérleghez 300 g</t>
        </is>
      </c>
      <c r="C1531" s="17" t="inlineStr">
        <is>
          <t>Digitális mérleg, zsebmérleg</t>
        </is>
      </c>
      <c r="D1531" s="17" t="inlineStr"/>
      <c r="E1531" s="17" t="inlineStr">
        <is>
          <t>Nem aktív</t>
        </is>
      </c>
      <c r="F1531" s="17" t="inlineStr">
        <is>
          <t>2024-10 – 2025-09 (lehet, hogy már nem aktív)</t>
        </is>
      </c>
      <c r="G1531" s="17" t="inlineStr">
        <is>
          <t>Nincs az élő kínálatban – Kalibráló súly</t>
        </is>
      </c>
    </row>
    <row r="1532">
      <c r="A1532" s="17" t="inlineStr">
        <is>
          <t>HED1701</t>
        </is>
      </c>
      <c r="B1532" s="17" t="inlineStr">
        <is>
          <t>Mérleg G Scale Biggy 500 g gramm mérleg (0,01 g pontosságú)</t>
        </is>
      </c>
      <c r="C1532" s="17" t="inlineStr">
        <is>
          <t>Digitális mérleg, zsebmérleg</t>
        </is>
      </c>
      <c r="D1532" s="17" t="inlineStr"/>
      <c r="E1532" s="17" t="inlineStr">
        <is>
          <t>Nem aktív</t>
        </is>
      </c>
      <c r="F1532" s="17" t="inlineStr">
        <is>
          <t>2024-10 – 2025-09 (lehet, hogy már nem aktív)</t>
        </is>
      </c>
      <c r="G1532" s="17" t="inlineStr">
        <is>
          <t>Nincs az élő kínálatban – Digitális zseb- / precíziós mérleg</t>
        </is>
      </c>
    </row>
    <row r="1533">
      <c r="A1533" s="17" t="inlineStr">
        <is>
          <t>HED2157</t>
        </is>
      </c>
      <c r="B1533" s="17" t="inlineStr">
        <is>
          <t>G-Scale Pro digitális zsebmérleg 500 g - 0.01 g</t>
        </is>
      </c>
      <c r="C1533" s="17" t="inlineStr">
        <is>
          <t>Digitális mérleg, zsebmérleg</t>
        </is>
      </c>
      <c r="D1533" s="17" t="inlineStr"/>
      <c r="E1533" s="17" t="inlineStr">
        <is>
          <t>Nem aktív</t>
        </is>
      </c>
      <c r="F1533" s="17" t="inlineStr">
        <is>
          <t>az elmúlt 6 hónapban</t>
        </is>
      </c>
      <c r="G1533" s="17" t="inlineStr">
        <is>
          <t>Nincs az élő kínálatban – Digitális zseb- / precíziós mérleg</t>
        </is>
      </c>
    </row>
    <row r="1534">
      <c r="A1534" s="17" t="inlineStr">
        <is>
          <t>GRO1253</t>
        </is>
      </c>
      <c r="B1534" s="17" t="inlineStr">
        <is>
          <t>Secret Icer hideg kivonatoló zsák Secret Icer 3 db</t>
        </is>
      </c>
      <c r="C1534" s="17" t="inlineStr">
        <is>
          <t>Kivonatolás: bubble bag, extraktor</t>
        </is>
      </c>
      <c r="D1534" s="17" t="inlineStr"/>
      <c r="E1534" s="17" t="inlineStr">
        <is>
          <t>Nem aktív</t>
        </is>
      </c>
      <c r="F1534" s="17" t="inlineStr">
        <is>
          <t>az elmúlt 6 hónapban</t>
        </is>
      </c>
      <c r="G1534" s="17" t="inlineStr">
        <is>
          <t>Nincs az élő kínálatban – Secret Icer / Secret Box / shaker</t>
        </is>
      </c>
    </row>
    <row r="1535">
      <c r="A1535" s="17" t="inlineStr">
        <is>
          <t>GRO4279</t>
        </is>
      </c>
      <c r="B1535" s="17" t="inlineStr">
        <is>
          <t>Gumikesztyű M kék 100 db</t>
        </is>
      </c>
      <c r="C1535" s="17" t="inlineStr">
        <is>
          <t>Munkaeszköz: kesztyű, nagyító, grow szemüveg</t>
        </is>
      </c>
      <c r="D1535" s="17" t="inlineStr">
        <is>
          <t>Munkaeszköz: kesztyű, nagyító, grow szemüveg</t>
        </is>
      </c>
      <c r="E1535" s="17" t="inlineStr">
        <is>
          <t>Nem aktív</t>
        </is>
      </c>
      <c r="F1535" s="17" t="inlineStr">
        <is>
          <t>2025-10 – 2026-04</t>
        </is>
      </c>
      <c r="G1535" s="17" t="inlineStr">
        <is>
          <t>Nincs az élő kínálatban – Egyszer használatos kesztyű</t>
        </is>
      </c>
    </row>
    <row r="1536">
      <c r="A1536" s="17" t="inlineStr">
        <is>
          <t>GRO4557</t>
        </is>
      </c>
      <c r="B1536" s="17" t="inlineStr">
        <is>
          <t>Gumikesztyű vinyl M méret, kék - 100 db</t>
        </is>
      </c>
      <c r="C1536" s="17" t="inlineStr">
        <is>
          <t>Munkaeszköz: kesztyű, nagyító, grow szemüveg</t>
        </is>
      </c>
      <c r="D1536" s="17" t="inlineStr">
        <is>
          <t>Munkaeszköz: kesztyű, nagyító, grow szemüveg</t>
        </is>
      </c>
      <c r="E1536" s="17" t="inlineStr">
        <is>
          <t>Nem aktív</t>
        </is>
      </c>
      <c r="F1536" s="17" t="inlineStr">
        <is>
          <t>az elmúlt 6 hónapban</t>
        </is>
      </c>
      <c r="G1536" s="17" t="inlineStr">
        <is>
          <t>Nincs az élő kínálatban – Egyszer használatos kesztyű</t>
        </is>
      </c>
    </row>
    <row r="1537">
      <c r="A1537" s="17" t="inlineStr">
        <is>
          <t>GRO4558</t>
        </is>
      </c>
      <c r="B1537" s="17" t="inlineStr">
        <is>
          <t>Gumikesztyű vinyl L méret, kék - 100 db</t>
        </is>
      </c>
      <c r="C1537" s="17" t="inlineStr">
        <is>
          <t>Munkaeszköz: kesztyű, nagyító, grow szemüveg</t>
        </is>
      </c>
      <c r="D1537" s="17" t="inlineStr">
        <is>
          <t>Munkaeszköz: kesztyű, nagyító, grow szemüveg</t>
        </is>
      </c>
      <c r="E1537" s="17" t="inlineStr">
        <is>
          <t>Nem aktív</t>
        </is>
      </c>
      <c r="F1537" s="17" t="inlineStr">
        <is>
          <t>az elmúlt 6 hónapban</t>
        </is>
      </c>
      <c r="G1537" s="17" t="inlineStr">
        <is>
          <t>Nincs az élő kínálatban – Egyszer használatos kesztyű</t>
        </is>
      </c>
    </row>
    <row r="1538">
      <c r="A1538" s="17" t="inlineStr">
        <is>
          <t>GRO4560</t>
        </is>
      </c>
      <c r="B1538" s="17" t="inlineStr">
        <is>
          <t>Gumikesztyű M méret, kék - 100 db</t>
        </is>
      </c>
      <c r="C1538" s="17" t="inlineStr">
        <is>
          <t>Munkaeszköz: kesztyű, nagyító, grow szemüveg</t>
        </is>
      </c>
      <c r="D1538" s="17" t="inlineStr">
        <is>
          <t>Munkaeszköz: kesztyű, nagyító, grow szemüveg</t>
        </is>
      </c>
      <c r="E1538" s="17" t="inlineStr">
        <is>
          <t>Nem aktív</t>
        </is>
      </c>
      <c r="F1538" s="17" t="inlineStr">
        <is>
          <t>az elmúlt 6 hónapban</t>
        </is>
      </c>
      <c r="G1538" s="17" t="inlineStr">
        <is>
          <t>Nincs az élő kínálatban – Egyszer használatos kesztyű</t>
        </is>
      </c>
    </row>
    <row r="1539">
      <c r="A1539" s="17" t="inlineStr">
        <is>
          <t>GRO4562</t>
        </is>
      </c>
      <c r="B1539" s="17" t="inlineStr">
        <is>
          <t>Gumikesztyű nitril XL méret, kék -100 db</t>
        </is>
      </c>
      <c r="C1539" s="17" t="inlineStr">
        <is>
          <t>Munkaeszköz: kesztyű, nagyító, grow szemüveg</t>
        </is>
      </c>
      <c r="D1539" s="17" t="inlineStr">
        <is>
          <t>Munkaeszköz: kesztyű, nagyító, grow szemüveg</t>
        </is>
      </c>
      <c r="E1539" s="17" t="inlineStr">
        <is>
          <t>Nem aktív</t>
        </is>
      </c>
      <c r="F1539" s="17" t="inlineStr">
        <is>
          <t>az elmúlt 6 hónapban</t>
        </is>
      </c>
      <c r="G1539" s="17" t="inlineStr">
        <is>
          <t>Nincs az élő kínálatban – Egyszer használatos kesztyű</t>
        </is>
      </c>
    </row>
    <row r="1540">
      <c r="A1540" s="17" t="inlineStr">
        <is>
          <t>HED1893</t>
        </is>
      </c>
      <c r="B1540" s="17" t="inlineStr">
        <is>
          <t>Boveda kétirányú páratartalmat biztosító csomag RH 58%, 67g, 132x89 mm</t>
        </is>
      </c>
      <c r="C1540" s="17" t="inlineStr">
        <is>
          <t>Páratartalom-szabályzó tasak</t>
        </is>
      </c>
      <c r="D1540" s="17" t="inlineStr">
        <is>
          <t>Vákuumzsák, simítózáras tasak</t>
        </is>
      </c>
      <c r="E1540" s="17" t="inlineStr">
        <is>
          <t>Nem aktív</t>
        </is>
      </c>
      <c r="F1540" s="17" t="inlineStr">
        <is>
          <t>az elmúlt 6 hónapban</t>
        </is>
      </c>
      <c r="G1540" s="17" t="inlineStr">
        <is>
          <t>Nincs az élő kínálatban – Boveda kétirányú páraszabályzó tasak</t>
        </is>
      </c>
    </row>
    <row r="1541">
      <c r="A1541" s="17" t="inlineStr">
        <is>
          <t>HED2199</t>
        </is>
      </c>
      <c r="B1541" s="17" t="inlineStr">
        <is>
          <t>Boveda páratartalom regulációs tasak (RH 58%; 8g)</t>
        </is>
      </c>
      <c r="C1541" s="17" t="inlineStr">
        <is>
          <t>Páratartalom-szabályzó tasak</t>
        </is>
      </c>
      <c r="D1541" s="17" t="inlineStr">
        <is>
          <t>Vákuumzsák, simítózáras tasak</t>
        </is>
      </c>
      <c r="E1541" s="17" t="inlineStr">
        <is>
          <t>Nem aktív</t>
        </is>
      </c>
      <c r="F1541" s="17" t="inlineStr">
        <is>
          <t>az elmúlt 6 hónapban</t>
        </is>
      </c>
      <c r="G1541" s="17" t="inlineStr">
        <is>
          <t>Nincs az élő kínálatban – Boveda kétirányú páraszabályzó tasak</t>
        </is>
      </c>
    </row>
    <row r="1542">
      <c r="A1542" s="17" t="inlineStr">
        <is>
          <t>HED2442</t>
        </is>
      </c>
      <c r="B1542" s="17" t="inlineStr">
        <is>
          <t>Boveda páratartalom regulációs tasak (RH 58%; 320g)</t>
        </is>
      </c>
      <c r="C1542" s="17" t="inlineStr">
        <is>
          <t>Páratartalom-szabályzó tasak</t>
        </is>
      </c>
      <c r="D1542" s="17" t="inlineStr">
        <is>
          <t>Vákuumzsák, simítózáras tasak</t>
        </is>
      </c>
      <c r="E1542" s="17" t="inlineStr">
        <is>
          <t>Nem aktív</t>
        </is>
      </c>
      <c r="F1542" s="17" t="inlineStr">
        <is>
          <t>2025-10 – 2026-04</t>
        </is>
      </c>
      <c r="G1542" s="17" t="inlineStr">
        <is>
          <t>Nincs az élő kínálatban – Boveda kétirányú páraszabályzó tasak</t>
        </is>
      </c>
    </row>
    <row r="1543">
      <c r="A1543" s="17" t="inlineStr">
        <is>
          <t>GRO4129</t>
        </is>
      </c>
      <c r="B1543" s="17" t="inlineStr">
        <is>
          <t>Garden Highpro szárítóháló (8 szintes)</t>
        </is>
      </c>
      <c r="C1543" s="17" t="inlineStr">
        <is>
          <t>Szárítóháló, növényszárító</t>
        </is>
      </c>
      <c r="D1543" s="17" t="inlineStr"/>
      <c r="E1543" s="17" t="inlineStr">
        <is>
          <t>Nem aktív</t>
        </is>
      </c>
      <c r="F1543" s="17" t="inlineStr">
        <is>
          <t>2025-10 – 2026-04</t>
        </is>
      </c>
      <c r="G1543" s="17" t="inlineStr">
        <is>
          <t>Nincs az élő kínálatban – Szárítóháló</t>
        </is>
      </c>
    </row>
    <row r="1544">
      <c r="A1544" s="17" t="inlineStr">
        <is>
          <t>GRO4130</t>
        </is>
      </c>
      <c r="B1544" s="17" t="inlineStr">
        <is>
          <t>Garden Highpro szárítóháló (6 szintes)</t>
        </is>
      </c>
      <c r="C1544" s="17" t="inlineStr">
        <is>
          <t>Szárítóháló, növényszárító</t>
        </is>
      </c>
      <c r="D1544" s="17" t="inlineStr"/>
      <c r="E1544" s="17" t="inlineStr">
        <is>
          <t>Nem aktív</t>
        </is>
      </c>
      <c r="F1544" s="17" t="inlineStr">
        <is>
          <t>2024-10 – 2025-09 (lehet, hogy már nem aktív)</t>
        </is>
      </c>
      <c r="G1544" s="17" t="inlineStr">
        <is>
          <t>Nincs az élő kínálatban – Szárítóháló</t>
        </is>
      </c>
    </row>
    <row r="1545">
      <c r="A1545" s="17" t="inlineStr">
        <is>
          <t>GRO4570</t>
        </is>
      </c>
      <c r="B1545" s="17" t="inlineStr">
        <is>
          <t>Szárító háló XL 5 szintes d: 60 cm H: 60 cm</t>
        </is>
      </c>
      <c r="C1545" s="17" t="inlineStr">
        <is>
          <t>Szárítóháló, növényszárító</t>
        </is>
      </c>
      <c r="D1545" s="17" t="inlineStr"/>
      <c r="E1545" s="17" t="inlineStr">
        <is>
          <t>Nem aktív</t>
        </is>
      </c>
      <c r="F1545" s="17" t="inlineStr">
        <is>
          <t>az elmúlt 6 hónapban</t>
        </is>
      </c>
      <c r="G1545" s="17" t="inlineStr">
        <is>
          <t>Nincs az élő kínálatban – Szárítóháló</t>
        </is>
      </c>
    </row>
    <row r="1546">
      <c r="A1546" s="17" t="inlineStr">
        <is>
          <t>GRO4571</t>
        </is>
      </c>
      <c r="B1546" s="17" t="inlineStr">
        <is>
          <t>Szárító háló szűrő normál 120 mm x 120 mm x 25 mm</t>
        </is>
      </c>
      <c r="C1546" s="17" t="inlineStr">
        <is>
          <t>Szárítóháló, növényszárító</t>
        </is>
      </c>
      <c r="D1546" s="17" t="inlineStr"/>
      <c r="E1546" s="17" t="inlineStr">
        <is>
          <t>Nem aktív</t>
        </is>
      </c>
      <c r="F1546" s="17" t="inlineStr">
        <is>
          <t>az elmúlt 6 hónapban</t>
        </is>
      </c>
      <c r="G1546" s="17" t="inlineStr">
        <is>
          <t>Nincs az élő kínálatban – Szárítóháló szűrő (tartozék)</t>
        </is>
      </c>
    </row>
    <row r="1547">
      <c r="A1547" s="17" t="inlineStr">
        <is>
          <t>GRO3929</t>
        </is>
      </c>
      <c r="B1547" s="17" t="inlineStr">
        <is>
          <t>Peladora Rapax secret smoke Trimmelőgép</t>
        </is>
      </c>
      <c r="C1547" s="17" t="inlineStr">
        <is>
          <t>Trimmelő gép, trimmelő tál</t>
        </is>
      </c>
      <c r="D1547" s="17" t="inlineStr"/>
      <c r="E1547" s="17" t="inlineStr">
        <is>
          <t>Nem aktív</t>
        </is>
      </c>
      <c r="F1547" s="17" t="inlineStr">
        <is>
          <t>az elmúlt 6 hónapban</t>
        </is>
      </c>
      <c r="G1547" s="17" t="inlineStr">
        <is>
          <t>Nincs az élő kínálatban – Trimmelő tál / gép / zsák</t>
        </is>
      </c>
    </row>
    <row r="1548">
      <c r="A1548" s="17" t="inlineStr">
        <is>
          <t>GRO4527</t>
        </is>
      </c>
      <c r="B1548" s="17" t="inlineStr">
        <is>
          <t>AC Infinity trimmelőgép tál manuális d: 48,3 cm</t>
        </is>
      </c>
      <c r="C1548" s="17" t="inlineStr">
        <is>
          <t>Trimmelő gép, trimmelő tál</t>
        </is>
      </c>
      <c r="D1548" s="17" t="inlineStr"/>
      <c r="E1548" s="17" t="inlineStr">
        <is>
          <t>Nem aktív</t>
        </is>
      </c>
      <c r="F1548" s="17" t="inlineStr">
        <is>
          <t>az elmúlt 6 hónapban</t>
        </is>
      </c>
      <c r="G1548" s="17" t="inlineStr">
        <is>
          <t>Nincs az élő kínálatban – Trimmelő tál / gép / zsák</t>
        </is>
      </c>
    </row>
    <row r="1549">
      <c r="A1549" s="17" t="inlineStr">
        <is>
          <t>GRO4146</t>
        </is>
      </c>
      <c r="B1549" s="17" t="inlineStr">
        <is>
          <t>Garden Highpro trimmelő olló</t>
        </is>
      </c>
      <c r="C1549" s="17" t="inlineStr">
        <is>
          <t>Trimmelő olló</t>
        </is>
      </c>
      <c r="D1549" s="17" t="inlineStr"/>
      <c r="E1549" s="17" t="inlineStr">
        <is>
          <t>Nem aktív</t>
        </is>
      </c>
      <c r="F1549" s="17" t="inlineStr">
        <is>
          <t>2024-10 – 2025-09 (lehet, hogy már nem aktív)</t>
        </is>
      </c>
      <c r="G1549" s="17" t="inlineStr">
        <is>
          <t>Nincs az élő kínálatban – Trimmelő olló</t>
        </is>
      </c>
    </row>
    <row r="1550">
      <c r="A1550" s="17" t="inlineStr">
        <is>
          <t>GRO4245</t>
        </is>
      </c>
      <c r="B1550" s="17" t="inlineStr">
        <is>
          <t>GF Trimmelő olló ívelt szögletes zöld 16,5 cm</t>
        </is>
      </c>
      <c r="C1550" s="17" t="inlineStr">
        <is>
          <t>Trimmelő olló</t>
        </is>
      </c>
      <c r="D1550" s="17" t="inlineStr"/>
      <c r="E1550" s="17" t="inlineStr">
        <is>
          <t>Nem aktív</t>
        </is>
      </c>
      <c r="F1550" s="17" t="inlineStr">
        <is>
          <t>az elmúlt 6 hónapban</t>
        </is>
      </c>
      <c r="G1550" s="17" t="inlineStr">
        <is>
          <t>Nincs az élő kínálatban – Trimmelő olló</t>
        </is>
      </c>
    </row>
    <row r="1551">
      <c r="A1551" s="17" t="inlineStr">
        <is>
          <t>GRO4246</t>
        </is>
      </c>
      <c r="B1551" s="17" t="inlineStr">
        <is>
          <t>GF Trimmelő olló ívelt bordázott markolat kék 16,7 cm</t>
        </is>
      </c>
      <c r="C1551" s="17" t="inlineStr">
        <is>
          <t>Trimmelő olló</t>
        </is>
      </c>
      <c r="D1551" s="17" t="inlineStr"/>
      <c r="E1551" s="17" t="inlineStr">
        <is>
          <t>Nem aktív</t>
        </is>
      </c>
      <c r="F1551" s="17" t="inlineStr">
        <is>
          <t>az elmúlt 6 hónapban</t>
        </is>
      </c>
      <c r="G1551" s="17" t="inlineStr">
        <is>
          <t>Nincs az élő kínálatban – Trimmelő olló</t>
        </is>
      </c>
    </row>
    <row r="1552">
      <c r="A1552" s="17" t="inlineStr">
        <is>
          <t>GRO4278</t>
        </is>
      </c>
      <c r="B1552" s="17" t="inlineStr">
        <is>
          <t>GF Trimmelő olló metszőolló zöld-fekete 20,5 cm</t>
        </is>
      </c>
      <c r="C1552" s="17" t="inlineStr">
        <is>
          <t>Trimmelő olló</t>
        </is>
      </c>
      <c r="D1552" s="17" t="inlineStr"/>
      <c r="E1552" s="17" t="inlineStr">
        <is>
          <t>Nem aktív</t>
        </is>
      </c>
      <c r="F1552" s="17" t="inlineStr">
        <is>
          <t>az elmúlt 6 hónapban</t>
        </is>
      </c>
      <c r="G1552" s="17" t="inlineStr">
        <is>
          <t>Nincs az élő kínálatban – Trimmelő olló</t>
        </is>
      </c>
    </row>
    <row r="1553">
      <c r="A1553" s="17" t="inlineStr">
        <is>
          <t>GRO2822</t>
        </is>
      </c>
      <c r="B1553" s="17" t="inlineStr">
        <is>
          <t>Vasalható vákuum zsák 15 x 25 cm</t>
        </is>
      </c>
      <c r="C1553" s="17" t="inlineStr">
        <is>
          <t>Vákuumzsák, simítózáras tasak</t>
        </is>
      </c>
      <c r="D1553" s="17" t="inlineStr"/>
      <c r="E1553" s="17" t="inlineStr">
        <is>
          <t>Nem aktív</t>
        </is>
      </c>
      <c r="F1553" s="17" t="inlineStr">
        <is>
          <t>2025-10 – 2026-04</t>
        </is>
      </c>
      <c r="G1553" s="17" t="inlineStr">
        <is>
          <t>Nincs az élő kínálatban – Vasalható vákuumzsák / ziplock tasak</t>
        </is>
      </c>
    </row>
    <row r="1554">
      <c r="A1554" s="17" t="inlineStr">
        <is>
          <t>GRO3264</t>
        </is>
      </c>
      <c r="B1554" s="17" t="inlineStr">
        <is>
          <t>Vasalható vákuum zsák 50 x 55 cm</t>
        </is>
      </c>
      <c r="C1554" s="17" t="inlineStr">
        <is>
          <t>Vákuumzsák, simítózáras tasak</t>
        </is>
      </c>
      <c r="D1554" s="17" t="inlineStr"/>
      <c r="E1554" s="17" t="inlineStr">
        <is>
          <t>Nem aktív</t>
        </is>
      </c>
      <c r="F1554" s="17" t="inlineStr">
        <is>
          <t>2024-10 – 2025-09 (lehet, hogy már nem aktív)</t>
        </is>
      </c>
      <c r="G1554" s="17" t="inlineStr">
        <is>
          <t>Nincs az élő kínálatban – Vasalható vákuumzsák / ziplock tasak</t>
        </is>
      </c>
    </row>
  </sheetData>
  <autoFilter ref="A5:G15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Kapcsolódó területek (Kulcsszótervező, HU, 12 hó átlag)</t>
        </is>
      </c>
    </row>
    <row r="2">
      <c r="A2" s="2" t="inlineStr">
        <is>
          <t>Bővítési lehetőségek és nem célzott témák.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Befőttesüveg, csatos üveg (érlelés üvegben)</t>
        </is>
      </c>
      <c r="B5" s="2" t="inlineStr">
        <is>
          <t>Nagy kereslet (befőttesüveg 4400) – a légmentes üveg az érlelés klasszikus eszköze; kínálatbővítési lehetőség az Érlelés és tárolás alá</t>
        </is>
      </c>
      <c r="C5" s="20">
        <f>SUMIFS(C14:C29,A14:A29,A5,E14:E29,"&lt;&gt;Nem")</f>
        <v/>
      </c>
    </row>
    <row r="6">
      <c r="A6" s="2" t="inlineStr">
        <is>
          <t>Rosin / hőprés</t>
        </is>
      </c>
      <c r="B6" s="2" t="inlineStr">
        <is>
          <t>Kivonatolás bővítése (hőprés 390, de jórészt textilnyomó) – csak kínálatbővítés esetén</t>
        </is>
      </c>
      <c r="C6" s="20">
        <f>SUMIFS(C14:C29,A14:A29,A6,E14:E29,"&lt;&gt;Nem")</f>
        <v/>
      </c>
    </row>
    <row r="7">
      <c r="A7" s="2" t="inlineStr">
        <is>
          <t>Aszalógép, gyümölcsaszaló</t>
        </is>
      </c>
      <c r="B7" s="2" t="inlineStr">
        <is>
          <t>Csak kínálatbővítés esetén – nincs ilyen termék</t>
        </is>
      </c>
      <c r="C7" s="20">
        <f>SUMIFS(C14:C29,A14:A29,A7,E14:E29,"&lt;&gt;Nem")</f>
        <v/>
      </c>
    </row>
    <row r="8">
      <c r="A8" s="2" t="inlineStr">
        <is>
          <t>Fóliahegesztő, vákuumozó gép</t>
        </is>
      </c>
      <c r="B8" s="2" t="inlineStr">
        <is>
          <t>Csak kínálatbővítés esetén – a vákuumzsákok mellé jó kiegészítő lenne</t>
        </is>
      </c>
      <c r="C8" s="20">
        <f>SUMIFS(C14:C29,A14:A29,A8,E14:E29,"&lt;&gt;Nem")</f>
        <v/>
      </c>
    </row>
    <row r="9">
      <c r="A9" s="2" t="inlineStr">
        <is>
          <t>Fermentálás (élelmiszer)</t>
        </is>
      </c>
      <c r="B9" s="2" t="inlineStr">
        <is>
          <t>Nem growshop-téma – blogtéma vagy kihagyás</t>
        </is>
      </c>
      <c r="C9" s="20">
        <f>SUMIFS(C14:C29,A14:A29,A9,E14:E29,"&lt;&gt;Nem")</f>
        <v/>
      </c>
    </row>
    <row r="10">
      <c r="A10" s="2" t="inlineStr">
        <is>
          <t>Humidor, szivartárolás</t>
        </is>
      </c>
      <c r="B10" s="2" t="inlineStr">
        <is>
          <t>Laza kapcsolat a Boveda-tasakokon keresztül – legfeljebb említés</t>
        </is>
      </c>
      <c r="C10" s="20">
        <f>SUMIFS(C14:C29,A14:A29,A10,E14:E29,"&lt;&gt;Nem")</f>
        <v/>
      </c>
    </row>
    <row r="13">
      <c r="A13" s="3" t="inlineStr">
        <is>
          <t>Terület</t>
        </is>
      </c>
      <c r="B13" s="3" t="inlineStr">
        <is>
          <t>Kulcsszó</t>
        </is>
      </c>
      <c r="C13" s="3" t="inlineStr">
        <is>
          <t>Havi keresés</t>
        </is>
      </c>
      <c r="D13" s="3" t="inlineStr">
        <is>
          <t>Kötődés a webshophoz</t>
        </is>
      </c>
      <c r="E13" s="3" t="inlineStr">
        <is>
          <t>Érdemes rá oldal?</t>
        </is>
      </c>
      <c r="F13" s="3" t="inlineStr">
        <is>
          <t>Javasolt felhasználás</t>
        </is>
      </c>
    </row>
    <row r="14">
      <c r="A14" s="7" t="inlineStr">
        <is>
          <t>Befőttesüveg, csatos üveg (érlelés üvegben)</t>
        </is>
      </c>
      <c r="B14" s="7" t="inlineStr">
        <is>
          <t>befőttesüveg</t>
        </is>
      </c>
      <c r="C14" s="8" t="n">
        <v>4400</v>
      </c>
      <c r="D14" s="7" t="inlineStr">
        <is>
          <t>Laza</t>
        </is>
      </c>
      <c r="E14" s="7" t="inlineStr">
        <is>
          <t>Igen</t>
        </is>
      </c>
      <c r="F14" s="7" t="inlineStr">
        <is>
          <t>Nagy kereslet (befőttesüveg 4400) – a légmentes üveg az érlelés klasszikus eszköze; kínálatbővítési lehetőség az Érlelés és tárolás alá</t>
        </is>
      </c>
    </row>
    <row r="15">
      <c r="A15" s="7" t="inlineStr">
        <is>
          <t>Befőttesüveg, csatos üveg (érlelés üvegben)</t>
        </is>
      </c>
      <c r="B15" s="7" t="inlineStr">
        <is>
          <t>befőttes üveg</t>
        </is>
      </c>
      <c r="C15" s="8" t="n">
        <v>4400</v>
      </c>
      <c r="D15" s="7" t="inlineStr">
        <is>
          <t>Laza</t>
        </is>
      </c>
      <c r="E15" s="7" t="inlineStr">
        <is>
          <t>Igen</t>
        </is>
      </c>
      <c r="F15" s="7" t="inlineStr">
        <is>
          <t>Nagy kereslet (befőttesüveg 4400) – a légmentes üveg az érlelés klasszikus eszköze; kínálatbővítési lehetőség az Érlelés és tárolás alá</t>
        </is>
      </c>
    </row>
    <row r="16">
      <c r="A16" s="7" t="inlineStr">
        <is>
          <t>Befőttesüveg, csatos üveg (érlelés üvegben)</t>
        </is>
      </c>
      <c r="B16" s="7" t="inlineStr">
        <is>
          <t>csatos befőttes üveg</t>
        </is>
      </c>
      <c r="C16" s="8" t="n">
        <v>320</v>
      </c>
      <c r="D16" s="7" t="inlineStr">
        <is>
          <t>Laza</t>
        </is>
      </c>
      <c r="E16" s="7" t="inlineStr">
        <is>
          <t>Igen</t>
        </is>
      </c>
      <c r="F16" s="7" t="inlineStr">
        <is>
          <t>Nagy kereslet (befőttesüveg 4400) – a légmentes üveg az érlelés klasszikus eszköze; kínálatbővítési lehetőség az Érlelés és tárolás alá</t>
        </is>
      </c>
    </row>
    <row r="17">
      <c r="A17" s="7" t="inlineStr">
        <is>
          <t>Rosin / hőprés</t>
        </is>
      </c>
      <c r="B17" s="7" t="inlineStr">
        <is>
          <t>hőprés</t>
        </is>
      </c>
      <c r="C17" s="8" t="n">
        <v>390</v>
      </c>
      <c r="D17" s="7" t="inlineStr">
        <is>
          <t>Laza</t>
        </is>
      </c>
      <c r="E17" s="7" t="inlineStr">
        <is>
          <t>Igen</t>
        </is>
      </c>
      <c r="F17" s="7" t="inlineStr">
        <is>
          <t>Kivonatolás bővítése (hőprés 390, de jórészt textilnyomó) – csak kínálatbővítés esetén</t>
        </is>
      </c>
    </row>
    <row r="18">
      <c r="A18" s="7" t="inlineStr">
        <is>
          <t>Rosin / hőprés</t>
        </is>
      </c>
      <c r="B18" s="7" t="inlineStr">
        <is>
          <t>hőprés gép</t>
        </is>
      </c>
      <c r="C18" s="8" t="n">
        <v>170</v>
      </c>
      <c r="D18" s="7" t="inlineStr">
        <is>
          <t>Laza</t>
        </is>
      </c>
      <c r="E18" s="7" t="inlineStr">
        <is>
          <t>Igen</t>
        </is>
      </c>
      <c r="F18" s="7" t="inlineStr">
        <is>
          <t>Kivonatolás bővítése (hőprés 390, de jórészt textilnyomó) – csak kínálatbővítés esetén</t>
        </is>
      </c>
    </row>
    <row r="19">
      <c r="A19" s="7" t="inlineStr">
        <is>
          <t>Aszalógép, gyümölcsaszaló</t>
        </is>
      </c>
      <c r="B19" s="7" t="inlineStr">
        <is>
          <t>aszalógép</t>
        </is>
      </c>
      <c r="C19" s="8" t="n">
        <v>2900</v>
      </c>
      <c r="D19" s="7" t="inlineStr">
        <is>
          <t>Laza</t>
        </is>
      </c>
      <c r="E19" s="7" t="inlineStr">
        <is>
          <t>Igen</t>
        </is>
      </c>
      <c r="F19" s="7" t="inlineStr">
        <is>
          <t>Csak kínálatbővítés esetén – nincs ilyen termék</t>
        </is>
      </c>
    </row>
    <row r="20">
      <c r="A20" s="7" t="inlineStr">
        <is>
          <t>Aszalógép, gyümölcsaszaló</t>
        </is>
      </c>
      <c r="B20" s="7" t="inlineStr">
        <is>
          <t>gyümölcs aszalógép</t>
        </is>
      </c>
      <c r="C20" s="8" t="n">
        <v>260</v>
      </c>
      <c r="D20" s="7" t="inlineStr">
        <is>
          <t>Laza</t>
        </is>
      </c>
      <c r="E20" s="7" t="inlineStr">
        <is>
          <t>Igen</t>
        </is>
      </c>
      <c r="F20" s="7" t="inlineStr">
        <is>
          <t>Csak kínálatbővítés esetén – nincs ilyen termék</t>
        </is>
      </c>
    </row>
    <row r="21">
      <c r="A21" s="7" t="inlineStr">
        <is>
          <t>Fóliahegesztő, vákuumozó gép</t>
        </is>
      </c>
      <c r="B21" s="7" t="inlineStr">
        <is>
          <t>fóliahegesztő</t>
        </is>
      </c>
      <c r="C21" s="8" t="n">
        <v>720</v>
      </c>
      <c r="D21" s="7" t="inlineStr">
        <is>
          <t>Laza</t>
        </is>
      </c>
      <c r="E21" s="7" t="inlineStr">
        <is>
          <t>Igen</t>
        </is>
      </c>
      <c r="F21" s="7" t="inlineStr">
        <is>
          <t>Csak kínálatbővítés esetén – a vákuumzsákok mellé jó kiegészítő lenne</t>
        </is>
      </c>
    </row>
    <row r="22">
      <c r="A22" s="7" t="inlineStr">
        <is>
          <t>Fóliahegesztő, vákuumozó gép</t>
        </is>
      </c>
      <c r="B22" s="7" t="inlineStr">
        <is>
          <t>vákuumos fóliahegesztő</t>
        </is>
      </c>
      <c r="C22" s="8" t="n">
        <v>390</v>
      </c>
      <c r="D22" s="7" t="inlineStr">
        <is>
          <t>Laza</t>
        </is>
      </c>
      <c r="E22" s="7" t="inlineStr">
        <is>
          <t>Igen</t>
        </is>
      </c>
      <c r="F22" s="7" t="inlineStr">
        <is>
          <t>Csak kínálatbővítés esetén – a vákuumzsákok mellé jó kiegészítő lenne</t>
        </is>
      </c>
    </row>
    <row r="23">
      <c r="A23" s="12" t="inlineStr">
        <is>
          <t>Fóliahegesztő, vákuumozó gép</t>
        </is>
      </c>
      <c r="B23" s="12" t="inlineStr">
        <is>
          <t>lidl vákuumozó gép</t>
        </is>
      </c>
      <c r="C23" s="21" t="n">
        <v>390</v>
      </c>
      <c r="D23" s="12" t="inlineStr">
        <is>
          <t>Nincs (áruházi / nem vásárlási szándék)</t>
        </is>
      </c>
      <c r="E23" s="12" t="inlineStr">
        <is>
          <t>Nem – kizárandó</t>
        </is>
      </c>
      <c r="F23" s="12" t="inlineStr">
        <is>
          <t>Csak kínálatbővítés esetén – a vákuumzsákok mellé jó kiegészítő lenne</t>
        </is>
      </c>
    </row>
    <row r="24">
      <c r="A24" s="11" t="inlineStr">
        <is>
          <t>Fermentálás (élelmiszer)</t>
        </is>
      </c>
      <c r="B24" s="11" t="inlineStr">
        <is>
          <t>fermentálás</t>
        </is>
      </c>
      <c r="C24" s="22" t="n">
        <v>6600</v>
      </c>
      <c r="D24" s="11" t="inlineStr">
        <is>
          <t>Laza</t>
        </is>
      </c>
      <c r="E24" s="11" t="inlineStr">
        <is>
          <t>Nem</t>
        </is>
      </c>
      <c r="F24" s="11" t="inlineStr">
        <is>
          <t>Nem growshop-téma – blogtéma vagy kihagyás</t>
        </is>
      </c>
    </row>
    <row r="25">
      <c r="A25" s="11" t="inlineStr">
        <is>
          <t>Fermentálás (élelmiszer)</t>
        </is>
      </c>
      <c r="B25" s="11" t="inlineStr">
        <is>
          <t>fermentált káposztalé</t>
        </is>
      </c>
      <c r="C25" s="22" t="n">
        <v>1600</v>
      </c>
      <c r="D25" s="11" t="inlineStr">
        <is>
          <t>Laza</t>
        </is>
      </c>
      <c r="E25" s="11" t="inlineStr">
        <is>
          <t>Nem</t>
        </is>
      </c>
      <c r="F25" s="11" t="inlineStr">
        <is>
          <t>Nem growshop-téma – blogtéma vagy kihagyás</t>
        </is>
      </c>
    </row>
    <row r="26">
      <c r="A26" s="11" t="inlineStr">
        <is>
          <t>Fermentálás (élelmiszer)</t>
        </is>
      </c>
      <c r="B26" s="11" t="inlineStr">
        <is>
          <t>fermentáló üveg</t>
        </is>
      </c>
      <c r="C26" s="22" t="n">
        <v>1300</v>
      </c>
      <c r="D26" s="11" t="inlineStr">
        <is>
          <t>Laza</t>
        </is>
      </c>
      <c r="E26" s="11" t="inlineStr">
        <is>
          <t>Nem</t>
        </is>
      </c>
      <c r="F26" s="11" t="inlineStr">
        <is>
          <t>Nem growshop-téma – blogtéma vagy kihagyás</t>
        </is>
      </c>
    </row>
    <row r="27">
      <c r="A27" s="11" t="inlineStr">
        <is>
          <t>Fermentálás (élelmiszer)</t>
        </is>
      </c>
      <c r="B27" s="11" t="inlineStr">
        <is>
          <t>fermentáló edény</t>
        </is>
      </c>
      <c r="C27" s="22" t="n">
        <v>480</v>
      </c>
      <c r="D27" s="11" t="inlineStr">
        <is>
          <t>Laza</t>
        </is>
      </c>
      <c r="E27" s="11" t="inlineStr">
        <is>
          <t>Nem</t>
        </is>
      </c>
      <c r="F27" s="11" t="inlineStr">
        <is>
          <t>Nem growshop-téma – blogtéma vagy kihagyás</t>
        </is>
      </c>
    </row>
    <row r="28">
      <c r="A28" s="12" t="inlineStr">
        <is>
          <t>Humidor, szivartárolás</t>
        </is>
      </c>
      <c r="B28" s="12" t="inlineStr">
        <is>
          <t>humidorshop</t>
        </is>
      </c>
      <c r="C28" s="21" t="n">
        <v>1000</v>
      </c>
      <c r="D28" s="12" t="inlineStr">
        <is>
          <t>Nincs (áruházi / nem vásárlási szándék)</t>
        </is>
      </c>
      <c r="E28" s="12" t="inlineStr">
        <is>
          <t>Nem – kizárandó</t>
        </is>
      </c>
      <c r="F28" s="12" t="inlineStr">
        <is>
          <t>Laza kapcsolat a Boveda-tasakokon keresztül – legfeljebb említés</t>
        </is>
      </c>
    </row>
    <row r="29">
      <c r="A29" s="7" t="inlineStr">
        <is>
          <t>Humidor, szivartárolás</t>
        </is>
      </c>
      <c r="B29" s="7" t="inlineStr">
        <is>
          <t>humidor</t>
        </is>
      </c>
      <c r="C29" s="8" t="n">
        <v>880</v>
      </c>
      <c r="D29" s="7" t="inlineStr">
        <is>
          <t>Laza</t>
        </is>
      </c>
      <c r="E29" s="7" t="inlineStr">
        <is>
          <t>Igen</t>
        </is>
      </c>
      <c r="F29" s="7" t="inlineStr">
        <is>
          <t>Laza kapcsolat a Boveda-tasakokon keresztül – legfeljebb említés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fő keresési szándékok és a hozzájuk javasolt kategória</t>
        </is>
      </c>
    </row>
    <row r="2">
      <c r="A2" s="2" t="inlineStr">
        <is>
          <t>Nem a jelenlegi menü, hanem a keresési szándékok csoportosítása a feldolgozás lépései szerint (Kulcsszótervező, HU, 12 hó átlag).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Főkategória-név</t>
        </is>
      </c>
      <c r="B5" s="17" t="inlineStr">
        <is>
          <t>Az „afterharvest” szóra nincs magyar keresés; „betakarítás” 50, „gyógynövény feldolgozás” 20. Javasolt menünév: „Növényfeldolgozás, szárítás, tárolás”; H1: „Növényfeldolgozás betakarítás után”.</t>
        </is>
      </c>
      <c r="C5" s="20">
        <f>SUMIFS(C15:C28,A15:A28,A5,E15:E28,"Igen")</f>
        <v/>
      </c>
    </row>
    <row r="6">
      <c r="A6" s="2" t="inlineStr">
        <is>
          <t>1. Szárítás</t>
        </is>
      </c>
      <c r="B6" s="17" t="inlineStr">
        <is>
          <t>→ Szárítóháló, növényszárító</t>
        </is>
      </c>
      <c r="C6" s="20">
        <f>SUMIFS(C15:C28,A15:A28,A6,E15:E28,"Igen")</f>
        <v/>
      </c>
    </row>
    <row r="7">
      <c r="A7" s="2" t="inlineStr">
        <is>
          <t>2. Trimmelés</t>
        </is>
      </c>
      <c r="B7" s="17" t="inlineStr">
        <is>
          <t>→ Trimmelő olló; Trimmelő gép</t>
        </is>
      </c>
      <c r="C7" s="20">
        <f>SUMIFS(C15:C28,A15:A28,A7,E15:E28,"Igen")</f>
        <v/>
      </c>
    </row>
    <row r="8">
      <c r="A8" s="2" t="inlineStr">
        <is>
          <t>3. Érlelés, tárolás</t>
        </is>
      </c>
      <c r="B8" s="17" t="inlineStr">
        <is>
          <t>→ Páraszabályzó tasak; Terpén tasak; Vákuumzsák</t>
        </is>
      </c>
      <c r="C8" s="20">
        <f>SUMIFS(C15:C28,A15:A28,A8,E15:E28,"Igen")</f>
        <v/>
      </c>
    </row>
    <row r="9">
      <c r="A9" s="2" t="inlineStr">
        <is>
          <t>4. Kivonatolás</t>
        </is>
      </c>
      <c r="B9" s="17" t="inlineStr">
        <is>
          <t>→ Kivonatolás</t>
        </is>
      </c>
      <c r="C9" s="20">
        <f>SUMIFS(C15:C28,A15:A28,A9,E15:E28,"Igen")</f>
        <v/>
      </c>
    </row>
    <row r="10">
      <c r="A10" s="2" t="inlineStr">
        <is>
          <t>Mérés</t>
        </is>
      </c>
      <c r="B10" s="17" t="inlineStr">
        <is>
          <t>→ Digitális mérleg</t>
        </is>
      </c>
      <c r="C10" s="20">
        <f>SUMIFS(C15:C28,A15:A28,A10,E15:E28,"Igen")</f>
        <v/>
      </c>
    </row>
    <row r="11">
      <c r="A11" s="2" t="inlineStr">
        <is>
          <t>Munkaeszköz</t>
        </is>
      </c>
      <c r="B11" s="17" t="inlineStr">
        <is>
          <t>→ Kesztyű, nagyító, szemüveg</t>
        </is>
      </c>
      <c r="C11" s="20">
        <f>SUMIFS(C15:C28,A15:A28,A11,E15:E28,"Igen")</f>
        <v/>
      </c>
    </row>
    <row r="14">
      <c r="A14" s="3" t="inlineStr">
        <is>
          <t>Régi kategória</t>
        </is>
      </c>
      <c r="B14" s="3" t="inlineStr">
        <is>
          <t>Kulcsszó</t>
        </is>
      </c>
      <c r="C14" s="3" t="inlineStr">
        <is>
          <t>Havi keresés</t>
        </is>
      </c>
      <c r="D14" s="3" t="inlineStr">
        <is>
          <t>Kötődés a webshophoz</t>
        </is>
      </c>
      <c r="E14" s="3" t="inlineStr">
        <is>
          <t>Érdemes rá oldal?</t>
        </is>
      </c>
      <c r="F14" s="3" t="inlineStr">
        <is>
          <t>Javasolt felhasználás</t>
        </is>
      </c>
    </row>
    <row r="15">
      <c r="A15" s="7" t="inlineStr">
        <is>
          <t>Főkategória-név</t>
        </is>
      </c>
      <c r="B15" s="7" t="inlineStr">
        <is>
          <t>betakarítás</t>
        </is>
      </c>
      <c r="C15" s="8" t="n">
        <v>50</v>
      </c>
      <c r="D15" s="7" t="inlineStr">
        <is>
          <t>Laza</t>
        </is>
      </c>
      <c r="E15" s="7" t="inlineStr">
        <is>
          <t>Igen</t>
        </is>
      </c>
      <c r="F15" s="7" t="inlineStr">
        <is>
          <t>Az új kategória leírásában / átirányítás (301) a régi URL-ről</t>
        </is>
      </c>
    </row>
    <row r="16">
      <c r="A16" s="7" t="inlineStr">
        <is>
          <t>Főkategória-név</t>
        </is>
      </c>
      <c r="B16" s="7" t="inlineStr">
        <is>
          <t>gyógynövény feldolgozás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Az új kategória leírásában / átirányítás (301) a régi URL-ről</t>
        </is>
      </c>
    </row>
    <row r="17">
      <c r="A17" s="4" t="inlineStr">
        <is>
          <t>1. Szárítás</t>
        </is>
      </c>
      <c r="B17" s="4" t="inlineStr">
        <is>
          <t>szárítóháló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1. Szárítás</t>
        </is>
      </c>
      <c r="B18" s="4" t="inlineStr">
        <is>
          <t>növényszárító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7" t="inlineStr">
        <is>
          <t>2. Trimmelés</t>
        </is>
      </c>
      <c r="B19" s="7" t="inlineStr">
        <is>
          <t>trimmelő gép</t>
        </is>
      </c>
      <c r="C19" s="8" t="n">
        <v>320</v>
      </c>
      <c r="D19" s="7" t="inlineStr">
        <is>
          <t>Laza</t>
        </is>
      </c>
      <c r="E19" s="7" t="inlineStr">
        <is>
          <t>Igen</t>
        </is>
      </c>
      <c r="F19" s="7" t="inlineStr">
        <is>
          <t>Az új kategória leírásában / átirányítás (301) a régi URL-ről</t>
        </is>
      </c>
    </row>
    <row r="20">
      <c r="A20" s="4" t="inlineStr">
        <is>
          <t>2. Trimmelés</t>
        </is>
      </c>
      <c r="B20" s="4" t="inlineStr">
        <is>
          <t>trimmelő olló</t>
        </is>
      </c>
      <c r="C20" s="5" t="n">
        <v>30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3. Érlelés, tárolás</t>
        </is>
      </c>
      <c r="B21" s="4" t="inlineStr">
        <is>
          <t>simítózáras tasak</t>
        </is>
      </c>
      <c r="C21" s="5" t="n">
        <v>720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3. Érlelés, tárolás</t>
        </is>
      </c>
      <c r="B22" s="4" t="inlineStr">
        <is>
          <t>boveda</t>
        </is>
      </c>
      <c r="C22" s="5" t="n">
        <v>210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7" t="inlineStr">
        <is>
          <t>3. Érlelés, tárolás</t>
        </is>
      </c>
      <c r="B23" s="7" t="inlineStr">
        <is>
          <t>terpén</t>
        </is>
      </c>
      <c r="C23" s="8" t="n">
        <v>90</v>
      </c>
      <c r="D23" s="7" t="inlineStr">
        <is>
          <t>Laza</t>
        </is>
      </c>
      <c r="E23" s="7" t="inlineStr">
        <is>
          <t>Igen</t>
        </is>
      </c>
      <c r="F23" s="7" t="inlineStr">
        <is>
          <t>Az új kategória leírásában / átirányítás (301) a régi URL-ről</t>
        </is>
      </c>
    </row>
    <row r="24">
      <c r="A24" s="7" t="inlineStr">
        <is>
          <t>4. Kivonatolás</t>
        </is>
      </c>
      <c r="B24" s="7" t="inlineStr">
        <is>
          <t>kivonatolás</t>
        </is>
      </c>
      <c r="C24" s="8" t="n">
        <v>20</v>
      </c>
      <c r="D24" s="7" t="inlineStr">
        <is>
          <t>Laza</t>
        </is>
      </c>
      <c r="E24" s="7" t="inlineStr">
        <is>
          <t>Igen</t>
        </is>
      </c>
      <c r="F24" s="7" t="inlineStr">
        <is>
          <t>Az új kategória leírásában / átirányítás (301) a régi URL-ről</t>
        </is>
      </c>
    </row>
    <row r="25">
      <c r="A25" s="4" t="inlineStr">
        <is>
          <t>4. Kivonatolás</t>
        </is>
      </c>
      <c r="B25" s="4" t="inlineStr">
        <is>
          <t>bubble bag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Mérés</t>
        </is>
      </c>
      <c r="B26" s="4" t="inlineStr">
        <is>
          <t>digitális mérleg</t>
        </is>
      </c>
      <c r="C26" s="5" t="n">
        <v>1600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7" t="inlineStr">
        <is>
          <t>Munkaeszköz</t>
        </is>
      </c>
      <c r="B27" s="7" t="inlineStr">
        <is>
          <t>nitril kesztyű</t>
        </is>
      </c>
      <c r="C27" s="8" t="n">
        <v>1000</v>
      </c>
      <c r="D27" s="7" t="inlineStr">
        <is>
          <t>Laza</t>
        </is>
      </c>
      <c r="E27" s="7" t="inlineStr">
        <is>
          <t>Igen</t>
        </is>
      </c>
      <c r="F27" s="7" t="inlineStr">
        <is>
          <t>Az új kategória leírásában / átirányítás (301) a régi URL-ről</t>
        </is>
      </c>
    </row>
    <row r="28">
      <c r="A28" s="4" t="inlineStr">
        <is>
          <t>Munkaeszköz</t>
        </is>
      </c>
      <c r="B28" s="4" t="inlineStr">
        <is>
          <t>zsebmikroszkóp</t>
        </is>
      </c>
      <c r="C28" s="5" t="n">
        <v>110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11" t="inlineStr">
        <is>
          <t>Páratartalom-szabályzó tasak</t>
        </is>
      </c>
      <c r="B2" s="11" t="n">
        <v>2</v>
      </c>
      <c r="C2" s="11" t="inlineStr">
        <is>
          <t>fermentálás</t>
        </is>
      </c>
      <c r="D2" s="11" t="n"/>
      <c r="E2" s="22" t="n">
        <v>6600</v>
      </c>
      <c r="F2" s="11" t="inlineStr">
        <is>
          <t>Laza</t>
        </is>
      </c>
      <c r="G2" s="11" t="inlineStr">
        <is>
          <t>Nem</t>
        </is>
      </c>
      <c r="H2" s="11" t="inlineStr">
        <is>
          <t>Kétirányú páratartalom-szabályzó tasak (Boveda, Integra Boost) az érleléshez és tároláshoz</t>
        </is>
      </c>
      <c r="I2" s="11" t="inlineStr">
        <is>
          <t>Nem célozni külön oldallal (max. említés)</t>
        </is>
      </c>
    </row>
    <row r="3">
      <c r="A3" s="11" t="inlineStr">
        <is>
          <t>Munkaeszköz: kesztyű, nagyító, grow szemüveg</t>
        </is>
      </c>
      <c r="B3" s="11" t="n">
        <v>2</v>
      </c>
      <c r="C3" s="11" t="inlineStr">
        <is>
          <t>mikroszkóp</t>
        </is>
      </c>
      <c r="D3" s="11" t="n"/>
      <c r="E3" s="22" t="n">
        <v>3600</v>
      </c>
      <c r="F3" s="11" t="inlineStr">
        <is>
          <t>Laza</t>
        </is>
      </c>
      <c r="G3" s="11" t="inlineStr">
        <is>
          <t>Nem</t>
        </is>
      </c>
      <c r="H3" s="11" t="inlineStr">
        <is>
          <t>Feldolgozás közbeni munkaeszköz: nitril / vinyl kesztyű, LED-es nagyító, zsebmikroszkóp (trichóma-vizsgálat), grow / védőszemüveg</t>
        </is>
      </c>
      <c r="I3" s="11" t="inlineStr">
        <is>
          <t>Nem célozni külön oldallal (max. említés)</t>
        </is>
      </c>
    </row>
    <row r="4">
      <c r="A4" s="11" t="inlineStr">
        <is>
          <t>Szárítóháló, növényszárító</t>
        </is>
      </c>
      <c r="B4" s="11" t="n">
        <v>2</v>
      </c>
      <c r="C4" s="11" t="inlineStr">
        <is>
          <t>aszalógép</t>
        </is>
      </c>
      <c r="D4" s="11" t="n"/>
      <c r="E4" s="22" t="n">
        <v>2900</v>
      </c>
      <c r="F4" s="11" t="inlineStr">
        <is>
          <t>Laza</t>
        </is>
      </c>
      <c r="G4" s="11" t="inlineStr">
        <is>
          <t>Nem</t>
        </is>
      </c>
      <c r="H4" s="11" t="inlineStr">
        <is>
          <t>1. lépés – szárítás: függő szárítóháló (több szintes), szárítóháló-szűrő</t>
        </is>
      </c>
      <c r="I4" s="11" t="inlineStr">
        <is>
          <t>Nem célozni külön oldallal (max. említés)</t>
        </is>
      </c>
    </row>
    <row r="5">
      <c r="A5" s="11" t="inlineStr">
        <is>
          <t>Trimmelő olló</t>
        </is>
      </c>
      <c r="B5" s="11" t="n">
        <v>2</v>
      </c>
      <c r="C5" s="11" t="inlineStr">
        <is>
          <t>metszőolló</t>
        </is>
      </c>
      <c r="D5" s="11" t="n"/>
      <c r="E5" s="22" t="n">
        <v>2900</v>
      </c>
      <c r="F5" s="11" t="inlineStr">
        <is>
          <t>Laza</t>
        </is>
      </c>
      <c r="G5" s="11" t="inlineStr">
        <is>
          <t>Nem</t>
        </is>
      </c>
      <c r="H5" s="11" t="inlineStr">
        <is>
          <t>Kézi trimmelő olló (egyenes / ívelt, rugós, Saboten, AC Infinity), ollóélező</t>
        </is>
      </c>
      <c r="I5" s="11" t="inlineStr">
        <is>
          <t>Nem célozni külön oldallal (max. említés)</t>
        </is>
      </c>
    </row>
    <row r="6">
      <c r="A6" s="7" t="inlineStr">
        <is>
          <t>Munkaeszköz: kesztyű, nagyító, grow szemüveg</t>
        </is>
      </c>
      <c r="B6" s="7" t="n">
        <v>3</v>
      </c>
      <c r="C6" s="7" t="inlineStr">
        <is>
          <t>gumikesztyű</t>
        </is>
      </c>
      <c r="D6" s="7" t="n"/>
      <c r="E6" s="8" t="n">
        <v>2900</v>
      </c>
      <c r="F6" s="7" t="inlineStr">
        <is>
          <t>Laza</t>
        </is>
      </c>
      <c r="G6" s="7" t="inlineStr">
        <is>
          <t>Igen</t>
        </is>
      </c>
      <c r="H6" s="7" t="inlineStr">
        <is>
          <t>Feldolgozás közbeni munkaeszköz: nitril / vinyl kesztyű, LED-es nagyító, zsebmikroszkóp (trichóma-vizsgálat), grow / védőszemüveg</t>
        </is>
      </c>
      <c r="I6" s="7" t="inlineStr">
        <is>
          <t>SEO title / H1 / bevezető (másodlagos)</t>
        </is>
      </c>
    </row>
    <row r="7">
      <c r="A7" s="11" t="inlineStr">
        <is>
          <t>Munkaeszköz: kesztyű, nagyító, grow szemüveg</t>
        </is>
      </c>
      <c r="B7" s="11" t="n">
        <v>4</v>
      </c>
      <c r="C7" s="11" t="inlineStr">
        <is>
          <t>nagyító</t>
        </is>
      </c>
      <c r="D7" s="11" t="n"/>
      <c r="E7" s="22" t="n">
        <v>2900</v>
      </c>
      <c r="F7" s="11" t="inlineStr">
        <is>
          <t>Laza</t>
        </is>
      </c>
      <c r="G7" s="11" t="inlineStr">
        <is>
          <t>Nem</t>
        </is>
      </c>
      <c r="H7" s="11" t="inlineStr">
        <is>
          <t>Feldolgozás közbeni munkaeszköz: nitril / vinyl kesztyű, LED-es nagyító, zsebmikroszkóp (trichóma-vizsgálat), grow / védőszemüveg</t>
        </is>
      </c>
      <c r="I7" s="11" t="inlineStr">
        <is>
          <t>Nem célozni külön oldallal (max. említés)</t>
        </is>
      </c>
    </row>
    <row r="8">
      <c r="A8" s="11" t="inlineStr">
        <is>
          <t>Trimmelő olló</t>
        </is>
      </c>
      <c r="B8" s="11" t="n">
        <v>3</v>
      </c>
      <c r="C8" s="11" t="inlineStr">
        <is>
          <t>trimmelő</t>
        </is>
      </c>
      <c r="D8" s="11" t="n"/>
      <c r="E8" s="22" t="n">
        <v>1600</v>
      </c>
      <c r="F8" s="11" t="inlineStr">
        <is>
          <t>Laza</t>
        </is>
      </c>
      <c r="G8" s="11" t="inlineStr">
        <is>
          <t>Nem</t>
        </is>
      </c>
      <c r="H8" s="11" t="inlineStr">
        <is>
          <t>Kézi trimmelő olló (egyenes / ívelt, rugós, Saboten, AC Infinity), ollóélező</t>
        </is>
      </c>
      <c r="I8" s="11" t="inlineStr">
        <is>
          <t>Nem célozni külön oldallal (max. említés)</t>
        </is>
      </c>
    </row>
    <row r="9">
      <c r="A9" s="4" t="inlineStr">
        <is>
          <t>Digitális mérleg, zsebmérleg</t>
        </is>
      </c>
      <c r="B9" s="4" t="n">
        <v>1</v>
      </c>
      <c r="C9" s="4" t="inlineStr">
        <is>
          <t>digitális mérleg</t>
        </is>
      </c>
      <c r="D9" s="4" t="n"/>
      <c r="E9" s="5" t="n">
        <v>1600</v>
      </c>
      <c r="F9" s="4" t="inlineStr">
        <is>
          <t>Szoros</t>
        </is>
      </c>
      <c r="G9" s="4" t="inlineStr">
        <is>
          <t>Igen</t>
        </is>
      </c>
      <c r="H9" s="4" t="inlineStr">
        <is>
          <t>Digitális zseb- és precíziós mérleg (0,01 / 0,001 g), kalibráló súly</t>
        </is>
      </c>
      <c r="I9" s="4" t="inlineStr">
        <is>
          <t>Kategórianév + H1 + SEO title (fő kulcsszó)</t>
        </is>
      </c>
    </row>
    <row r="10">
      <c r="A10" s="11" t="inlineStr">
        <is>
          <t>Páratartalom-szabályzó tasak</t>
        </is>
      </c>
      <c r="B10" s="11" t="n">
        <v>3</v>
      </c>
      <c r="C10" s="11" t="inlineStr">
        <is>
          <t>fermentáló üveg</t>
        </is>
      </c>
      <c r="D10" s="11" t="n"/>
      <c r="E10" s="22" t="n">
        <v>1300</v>
      </c>
      <c r="F10" s="11" t="inlineStr">
        <is>
          <t>Laza</t>
        </is>
      </c>
      <c r="G10" s="11" t="inlineStr">
        <is>
          <t>Nem</t>
        </is>
      </c>
      <c r="H10" s="11" t="inlineStr">
        <is>
          <t>Kétirányú páratartalom-szabályzó tasak (Boveda, Integra Boost) az érleléshez és tároláshoz</t>
        </is>
      </c>
      <c r="I10" s="11" t="inlineStr">
        <is>
          <t>Nem célozni külön oldallal (max. említés)</t>
        </is>
      </c>
    </row>
    <row r="11">
      <c r="A11" s="11" t="inlineStr">
        <is>
          <t>Munkaeszköz: kesztyű, nagyító, grow szemüveg</t>
        </is>
      </c>
      <c r="B11" s="11" t="n">
        <v>5</v>
      </c>
      <c r="C11" s="11" t="inlineStr">
        <is>
          <t>munkavédelmi kesztyű</t>
        </is>
      </c>
      <c r="D11" s="11" t="n"/>
      <c r="E11" s="22" t="n">
        <v>1300</v>
      </c>
      <c r="F11" s="11" t="inlineStr">
        <is>
          <t>Laza</t>
        </is>
      </c>
      <c r="G11" s="11" t="inlineStr">
        <is>
          <t>Nem</t>
        </is>
      </c>
      <c r="H11" s="11" t="inlineStr">
        <is>
          <t>Feldolgozás közbeni munkaeszköz: nitril / vinyl kesztyű, LED-es nagyító, zsebmikroszkóp (trichóma-vizsgálat), grow / védőszemüveg</t>
        </is>
      </c>
      <c r="I11" s="11" t="inlineStr">
        <is>
          <t>Nem célozni külön oldallal (max. említés)</t>
        </is>
      </c>
    </row>
    <row r="12">
      <c r="A12" s="12" t="inlineStr">
        <is>
          <t>Páratartalom-szabályzó tasak</t>
        </is>
      </c>
      <c r="B12" s="12" t="n">
        <v>4</v>
      </c>
      <c r="C12" s="12" t="inlineStr">
        <is>
          <t>humidorshop</t>
        </is>
      </c>
      <c r="D12" s="12" t="n"/>
      <c r="E12" s="21" t="n">
        <v>1000</v>
      </c>
      <c r="F12" s="12" t="inlineStr">
        <is>
          <t>Nincs (áruházi / nem vásárlási szándék)</t>
        </is>
      </c>
      <c r="G12" s="12" t="inlineStr">
        <is>
          <t>Nem – kizárandó</t>
        </is>
      </c>
      <c r="H12" s="12" t="inlineStr">
        <is>
          <t>Kétirányú páratartalom-szabályzó tasak (Boveda, Integra Boost) az érleléshez és tároláshoz</t>
        </is>
      </c>
      <c r="I12" s="12" t="inlineStr">
        <is>
          <t>Nem használni (áruházi/nem vásárlási szándék)</t>
        </is>
      </c>
    </row>
    <row r="13">
      <c r="A13" s="7" t="inlineStr">
        <is>
          <t>Munkaeszköz: kesztyű, nagyító, grow szemüveg</t>
        </is>
      </c>
      <c r="B13" s="7" t="n">
        <v>1</v>
      </c>
      <c r="C13" s="7" t="inlineStr">
        <is>
          <t>nitril kesztyű</t>
        </is>
      </c>
      <c r="D13" s="7" t="n"/>
      <c r="E13" s="8" t="n">
        <v>1000</v>
      </c>
      <c r="F13" s="7" t="inlineStr">
        <is>
          <t>Laza</t>
        </is>
      </c>
      <c r="G13" s="7" t="inlineStr">
        <is>
          <t>Igen</t>
        </is>
      </c>
      <c r="H13" s="7" t="inlineStr">
        <is>
          <t>Feldolgozás közbeni munkaeszköz: nitril / vinyl kesztyű, LED-es nagyító, zsebmikroszkóp (trichóma-vizsgálat), grow / védőszemüveg</t>
        </is>
      </c>
      <c r="I13" s="7" t="inlineStr">
        <is>
          <t>Kategórianév + H1 + SEO title (fő kulcsszó)</t>
        </is>
      </c>
    </row>
    <row r="14">
      <c r="A14" s="11" t="inlineStr">
        <is>
          <t>Trimmelő gép, trimmelő tál</t>
        </is>
      </c>
      <c r="B14" s="11" t="n">
        <v>2</v>
      </c>
      <c r="C14" s="11" t="inlineStr">
        <is>
          <t>trimmer</t>
        </is>
      </c>
      <c r="D14" s="11" t="n"/>
      <c r="E14" s="22" t="n">
        <v>880</v>
      </c>
      <c r="F14" s="11" t="inlineStr">
        <is>
          <t>Laza</t>
        </is>
      </c>
      <c r="G14" s="11" t="inlineStr">
        <is>
          <t>Nem</t>
        </is>
      </c>
      <c r="H14" s="11" t="inlineStr">
        <is>
          <t>Kézi és motoros trimmelő tál / gép, trimmelő asztal, trimmelő zsák</t>
        </is>
      </c>
      <c r="I14" s="11" t="inlineStr">
        <is>
          <t>Nem célozni külön oldallal (max. említés)</t>
        </is>
      </c>
    </row>
    <row r="15">
      <c r="A15" s="7" t="inlineStr">
        <is>
          <t>Páratartalom-szabályzó tasak</t>
        </is>
      </c>
      <c r="B15" s="7" t="n">
        <v>5</v>
      </c>
      <c r="C15" s="7" t="inlineStr">
        <is>
          <t>humidor</t>
        </is>
      </c>
      <c r="D15" s="7" t="n"/>
      <c r="E15" s="8" t="n">
        <v>880</v>
      </c>
      <c r="F15" s="7" t="inlineStr">
        <is>
          <t>Laza</t>
        </is>
      </c>
      <c r="G15" s="7" t="inlineStr">
        <is>
          <t>Igen</t>
        </is>
      </c>
      <c r="H15" s="7" t="inlineStr">
        <is>
          <t>Kétirányú páratartalom-szabályzó tasak (Boveda, Integra Boost) az érleléshez és tároláshoz</t>
        </is>
      </c>
      <c r="I15" s="7" t="inlineStr">
        <is>
          <t>SEO title / H1 / bevezető (másodlagos)</t>
        </is>
      </c>
    </row>
    <row r="16">
      <c r="A16" s="11" t="inlineStr">
        <is>
          <t>Digitális mérleg, zsebmérleg</t>
        </is>
      </c>
      <c r="B16" s="11" t="n">
        <v>2</v>
      </c>
      <c r="C16" s="11" t="inlineStr">
        <is>
          <t>digitális konyhai mérleg</t>
        </is>
      </c>
      <c r="D16" s="11" t="n"/>
      <c r="E16" s="22" t="n">
        <v>880</v>
      </c>
      <c r="F16" s="11" t="inlineStr">
        <is>
          <t>Laza</t>
        </is>
      </c>
      <c r="G16" s="11" t="inlineStr">
        <is>
          <t>Nem</t>
        </is>
      </c>
      <c r="H16" s="11" t="inlineStr">
        <is>
          <t>Digitális zseb- és precíziós mérleg (0,01 / 0,001 g), kalibráló súly</t>
        </is>
      </c>
      <c r="I16" s="11" t="inlineStr">
        <is>
          <t>Nem célozni külön oldallal (max. említés)</t>
        </is>
      </c>
    </row>
    <row r="17">
      <c r="A17" s="11" t="inlineStr">
        <is>
          <t>Munkaeszköz: kesztyű, nagyító, grow szemüveg</t>
        </is>
      </c>
      <c r="B17" s="11" t="n">
        <v>6</v>
      </c>
      <c r="C17" s="11" t="inlineStr">
        <is>
          <t>nagyítós lámpa</t>
        </is>
      </c>
      <c r="D17" s="11" t="n"/>
      <c r="E17" s="22" t="n">
        <v>880</v>
      </c>
      <c r="F17" s="11" t="inlineStr">
        <is>
          <t>Laza</t>
        </is>
      </c>
      <c r="G17" s="11" t="inlineStr">
        <is>
          <t>Nem</t>
        </is>
      </c>
      <c r="H17" s="11" t="inlineStr">
        <is>
          <t>Feldolgozás közbeni munkaeszköz: nitril / vinyl kesztyű, LED-es nagyító, zsebmikroszkóp (trichóma-vizsgálat), grow / védőszemüveg</t>
        </is>
      </c>
      <c r="I17" s="11" t="inlineStr">
        <is>
          <t>Nem célozni külön oldallal (max. említés)</t>
        </is>
      </c>
    </row>
    <row r="18">
      <c r="A18" s="7" t="inlineStr">
        <is>
          <t>Munkaeszköz: kesztyű, nagyító, grow szemüveg</t>
        </is>
      </c>
      <c r="B18" s="7" t="n">
        <v>7</v>
      </c>
      <c r="C18" s="7" t="inlineStr">
        <is>
          <t>védőszemüveg</t>
        </is>
      </c>
      <c r="D18" s="7" t="n"/>
      <c r="E18" s="8" t="n">
        <v>880</v>
      </c>
      <c r="F18" s="7" t="inlineStr">
        <is>
          <t>Laza</t>
        </is>
      </c>
      <c r="G18" s="7" t="inlineStr">
        <is>
          <t>Igen</t>
        </is>
      </c>
      <c r="H18" s="7" t="inlineStr">
        <is>
          <t>Feldolgozás közbeni munkaeszköz: nitril / vinyl kesztyű, LED-es nagyító, zsebmikroszkóp (trichóma-vizsgálat), grow / védőszemüveg</t>
        </is>
      </c>
      <c r="I18" s="7" t="inlineStr">
        <is>
          <t>Kategórialeírás (természetes említés)</t>
        </is>
      </c>
    </row>
    <row r="19">
      <c r="A19" s="4" t="inlineStr">
        <is>
          <t>Vákuumzsák, simítózáras tasak</t>
        </is>
      </c>
      <c r="B19" s="4" t="n">
        <v>1</v>
      </c>
      <c r="C19" s="4" t="inlineStr">
        <is>
          <t>simítózáras tasak</t>
        </is>
      </c>
      <c r="D19" s="4" t="n"/>
      <c r="E19" s="5" t="n">
        <v>720</v>
      </c>
      <c r="F19" s="4" t="inlineStr">
        <is>
          <t>Szoros</t>
        </is>
      </c>
      <c r="G19" s="4" t="inlineStr">
        <is>
          <t>Igen</t>
        </is>
      </c>
      <c r="H19" s="4" t="inlineStr">
        <is>
          <t>Fényálló, vasalható vákuumzsák, simítózáras (ziplock) tasak – szagzáró tárolás</t>
        </is>
      </c>
      <c r="I19" s="4" t="inlineStr">
        <is>
          <t>Kategórianév + H1 + SEO title (fő kulcsszó)</t>
        </is>
      </c>
    </row>
    <row r="20">
      <c r="A20" s="11" t="inlineStr">
        <is>
          <t>Vákuumzsák, simítózáras tasak</t>
        </is>
      </c>
      <c r="B20" s="11" t="n">
        <v>2</v>
      </c>
      <c r="C20" s="11" t="inlineStr">
        <is>
          <t>fóliahegesztő</t>
        </is>
      </c>
      <c r="D20" s="11" t="n"/>
      <c r="E20" s="22" t="n">
        <v>720</v>
      </c>
      <c r="F20" s="11" t="inlineStr">
        <is>
          <t>Laza</t>
        </is>
      </c>
      <c r="G20" s="11" t="inlineStr">
        <is>
          <t>Nem</t>
        </is>
      </c>
      <c r="H20" s="11" t="inlineStr">
        <is>
          <t>Fényálló, vasalható vákuumzsák, simítózáras (ziplock) tasak – szagzáró tárolás</t>
        </is>
      </c>
      <c r="I20" s="11" t="inlineStr">
        <is>
          <t>Nem célozni külön oldallal (max. említés)</t>
        </is>
      </c>
    </row>
    <row r="21">
      <c r="A21" s="11" t="inlineStr">
        <is>
          <t>Kivonatolás: bubble bag, extraktor</t>
        </is>
      </c>
      <c r="B21" s="11" t="n">
        <v>2</v>
      </c>
      <c r="C21" s="11" t="inlineStr">
        <is>
          <t>szita</t>
        </is>
      </c>
      <c r="D21" s="11" t="n"/>
      <c r="E21" s="22" t="n">
        <v>720</v>
      </c>
      <c r="F21" s="11" t="inlineStr">
        <is>
          <t>Laza</t>
        </is>
      </c>
      <c r="G21" s="11" t="inlineStr">
        <is>
          <t>Nem</t>
        </is>
      </c>
      <c r="H21" s="11" t="inlineStr">
        <is>
          <t>Hideg kivonatolás: bubble bag (jeges kivonatoló zsák), gyantaszitáló extraktor (Secret Box), shaker</t>
        </is>
      </c>
      <c r="I21" s="11" t="inlineStr">
        <is>
          <t>Nem célozni külön oldallal (max. említés)</t>
        </is>
      </c>
    </row>
    <row r="22">
      <c r="A22" s="4" t="inlineStr">
        <is>
          <t>Digitális mérleg, zsebmérleg</t>
        </is>
      </c>
      <c r="B22" s="4" t="n">
        <v>3</v>
      </c>
      <c r="C22" s="4" t="inlineStr">
        <is>
          <t>gramm mérleg</t>
        </is>
      </c>
      <c r="D22" s="4" t="n"/>
      <c r="E22" s="5" t="n">
        <v>720</v>
      </c>
      <c r="F22" s="4" t="inlineStr">
        <is>
          <t>Szoros</t>
        </is>
      </c>
      <c r="G22" s="4" t="inlineStr">
        <is>
          <t>Igen</t>
        </is>
      </c>
      <c r="H22" s="4" t="inlineStr">
        <is>
          <t>Digitális zseb- és precíziós mérleg (0,01 / 0,001 g), kalibráló súly</t>
        </is>
      </c>
      <c r="I22" s="4" t="inlineStr">
        <is>
          <t>SEO title / H1 / bevezető (másodlagos)</t>
        </is>
      </c>
    </row>
    <row r="23">
      <c r="A23" s="7" t="inlineStr">
        <is>
          <t>Munkaeszköz: kesztyű, nagyító, grow szemüveg</t>
        </is>
      </c>
      <c r="B23" s="7" t="n">
        <v>8</v>
      </c>
      <c r="C23" s="7" t="inlineStr">
        <is>
          <t>gumikesztyű 100 db</t>
        </is>
      </c>
      <c r="D23" s="7" t="n"/>
      <c r="E23" s="8" t="n">
        <v>720</v>
      </c>
      <c r="F23" s="7" t="inlineStr">
        <is>
          <t>Laza</t>
        </is>
      </c>
      <c r="G23" s="7" t="inlineStr">
        <is>
          <t>Igen</t>
        </is>
      </c>
      <c r="H23" s="7" t="inlineStr">
        <is>
          <t>Feldolgozás közbeni munkaeszköz: nitril / vinyl kesztyű, LED-es nagyító, zsebmikroszkóp (trichóma-vizsgálat), grow / védőszemüveg</t>
        </is>
      </c>
      <c r="I23" s="7" t="inlineStr">
        <is>
          <t>SEO title / H1 / bevezető (másodlagos)</t>
        </is>
      </c>
    </row>
    <row r="24">
      <c r="A24" s="11" t="inlineStr">
        <is>
          <t>Szárítóháló, növényszárító</t>
        </is>
      </c>
      <c r="B24" s="11" t="n">
        <v>3</v>
      </c>
      <c r="C24" s="11" t="inlineStr">
        <is>
          <t>szárító állvány</t>
        </is>
      </c>
      <c r="D24" s="11" t="n"/>
      <c r="E24" s="22" t="n">
        <v>480</v>
      </c>
      <c r="F24" s="11" t="inlineStr">
        <is>
          <t>Laza</t>
        </is>
      </c>
      <c r="G24" s="11" t="inlineStr">
        <is>
          <t>Nem</t>
        </is>
      </c>
      <c r="H24" s="11" t="inlineStr">
        <is>
          <t>1. lépés – szárítás: függő szárítóháló (több szintes), szárítóháló-szűrő</t>
        </is>
      </c>
      <c r="I24" s="11" t="inlineStr">
        <is>
          <t>Nem célozni külön oldallal (max. említés)</t>
        </is>
      </c>
    </row>
    <row r="25">
      <c r="A25" s="4" t="inlineStr">
        <is>
          <t>Digitális mérleg, zsebmérleg</t>
        </is>
      </c>
      <c r="B25" s="4" t="n">
        <v>4</v>
      </c>
      <c r="C25" s="4" t="inlineStr">
        <is>
          <t>ékszermérleg</t>
        </is>
      </c>
      <c r="D25" s="4" t="n"/>
      <c r="E25" s="5" t="n">
        <v>480</v>
      </c>
      <c r="F25" s="4" t="inlineStr">
        <is>
          <t>Szoros</t>
        </is>
      </c>
      <c r="G25" s="4" t="inlineStr">
        <is>
          <t>Igen</t>
        </is>
      </c>
      <c r="H25" s="4" t="inlineStr">
        <is>
          <t>Digitális zseb- és precíziós mérleg (0,01 / 0,001 g), kalibráló súly</t>
        </is>
      </c>
      <c r="I25" s="4" t="inlineStr">
        <is>
          <t>SEO title / H1 / bevezető (másodlagos)</t>
        </is>
      </c>
    </row>
    <row r="26">
      <c r="A26" s="4" t="inlineStr">
        <is>
          <t>Digitális mérleg, zsebmérleg</t>
        </is>
      </c>
      <c r="B26" s="4" t="n">
        <v>5</v>
      </c>
      <c r="C26" s="4" t="inlineStr">
        <is>
          <t>ékszer mérleg</t>
        </is>
      </c>
      <c r="D26" s="4" t="n"/>
      <c r="E26" s="5" t="n">
        <v>480</v>
      </c>
      <c r="F26" s="4" t="inlineStr">
        <is>
          <t>Szoros</t>
        </is>
      </c>
      <c r="G26" s="4" t="inlineStr">
        <is>
          <t>Igen</t>
        </is>
      </c>
      <c r="H26" s="4" t="inlineStr">
        <is>
          <t>Digitális zseb- és precíziós mérleg (0,01 / 0,001 g), kalibráló súly</t>
        </is>
      </c>
      <c r="I26" s="4" t="inlineStr">
        <is>
          <t>Kategórialeírás (természetes említés)</t>
        </is>
      </c>
    </row>
    <row r="27">
      <c r="A27" s="4" t="inlineStr">
        <is>
          <t>Digitális mérleg, zsebmérleg</t>
        </is>
      </c>
      <c r="B27" s="4" t="n">
        <v>6</v>
      </c>
      <c r="C27" s="4" t="inlineStr">
        <is>
          <t>ékszerész mérleg</t>
        </is>
      </c>
      <c r="D27" s="4" t="n"/>
      <c r="E27" s="5" t="n">
        <v>480</v>
      </c>
      <c r="F27" s="4" t="inlineStr">
        <is>
          <t>Szoros</t>
        </is>
      </c>
      <c r="G27" s="4" t="inlineStr">
        <is>
          <t>Igen</t>
        </is>
      </c>
      <c r="H27" s="4" t="inlineStr">
        <is>
          <t>Digitális zseb- és precíziós mérleg (0,01 / 0,001 g), kalibráló súly</t>
        </is>
      </c>
      <c r="I27" s="4" t="inlineStr">
        <is>
          <t>Kategórialeírás (természetes említés)</t>
        </is>
      </c>
    </row>
    <row r="28">
      <c r="A28" s="7" t="inlineStr">
        <is>
          <t>Trimmelő olló</t>
        </is>
      </c>
      <c r="B28" s="7" t="n">
        <v>4</v>
      </c>
      <c r="C28" s="7" t="inlineStr">
        <is>
          <t>trimmelés</t>
        </is>
      </c>
      <c r="D28" s="7" t="n"/>
      <c r="E28" s="8" t="n">
        <v>390</v>
      </c>
      <c r="F28" s="7" t="inlineStr">
        <is>
          <t>Laza</t>
        </is>
      </c>
      <c r="G28" s="7" t="inlineStr">
        <is>
          <t>Igen</t>
        </is>
      </c>
      <c r="H28" s="7" t="inlineStr">
        <is>
          <t>Kézi trimmelő olló (egyenes / ívelt, rugós, Saboten, AC Infinity), ollóélező</t>
        </is>
      </c>
      <c r="I28" s="7" t="inlineStr">
        <is>
          <t>Leírás alsó része, GYIK vagy blog</t>
        </is>
      </c>
    </row>
    <row r="29">
      <c r="A29" s="11" t="inlineStr">
        <is>
          <t>Páratartalom-szabályzó tasak</t>
        </is>
      </c>
      <c r="B29" s="11" t="n">
        <v>6</v>
      </c>
      <c r="C29" s="11" t="inlineStr">
        <is>
          <t>fermentálás házilag</t>
        </is>
      </c>
      <c r="D29" s="11" t="n"/>
      <c r="E29" s="22" t="n">
        <v>390</v>
      </c>
      <c r="F29" s="11" t="inlineStr">
        <is>
          <t>Laza</t>
        </is>
      </c>
      <c r="G29" s="11" t="inlineStr">
        <is>
          <t>Nem</t>
        </is>
      </c>
      <c r="H29" s="11" t="inlineStr">
        <is>
          <t>Kétirányú páratartalom-szabályzó tasak (Boveda, Integra Boost) az érleléshez és tároláshoz</t>
        </is>
      </c>
      <c r="I29" s="11" t="inlineStr">
        <is>
          <t>Nem célozni külön oldallal (max. említés)</t>
        </is>
      </c>
    </row>
    <row r="30">
      <c r="A30" s="11" t="inlineStr">
        <is>
          <t>Kivonatolás: bubble bag, extraktor</t>
        </is>
      </c>
      <c r="B30" s="11" t="n">
        <v>3</v>
      </c>
      <c r="C30" s="11" t="inlineStr">
        <is>
          <t>hőprés</t>
        </is>
      </c>
      <c r="D30" s="11" t="n"/>
      <c r="E30" s="22" t="n">
        <v>390</v>
      </c>
      <c r="F30" s="11" t="inlineStr">
        <is>
          <t>Laza</t>
        </is>
      </c>
      <c r="G30" s="11" t="inlineStr">
        <is>
          <t>Nem</t>
        </is>
      </c>
      <c r="H30" s="11" t="inlineStr">
        <is>
          <t>Hideg kivonatolás: bubble bag (jeges kivonatoló zsák), gyantaszitáló extraktor (Secret Box), shaker</t>
        </is>
      </c>
      <c r="I30" s="11" t="inlineStr">
        <is>
          <t>Nem célozni külön oldallal (max. említés)</t>
        </is>
      </c>
    </row>
    <row r="31">
      <c r="A31" s="7" t="inlineStr">
        <is>
          <t>Munkaeszköz: kesztyű, nagyító, grow szemüveg</t>
        </is>
      </c>
      <c r="B31" s="7" t="n">
        <v>9</v>
      </c>
      <c r="C31" s="7" t="inlineStr">
        <is>
          <t>kézi nagyító</t>
        </is>
      </c>
      <c r="D31" s="7" t="n"/>
      <c r="E31" s="8" t="n">
        <v>390</v>
      </c>
      <c r="F31" s="7" t="inlineStr">
        <is>
          <t>Laza</t>
        </is>
      </c>
      <c r="G31" s="7" t="inlineStr">
        <is>
          <t>Igen</t>
        </is>
      </c>
      <c r="H31" s="7" t="inlineStr">
        <is>
          <t>Feldolgozás közbeni munkaeszköz: nitril / vinyl kesztyű, LED-es nagyító, zsebmikroszkóp (trichóma-vizsgálat), grow / védőszemüveg</t>
        </is>
      </c>
      <c r="I31" s="7" t="inlineStr">
        <is>
          <t>SEO title / H1 / bevezető (másodlagos)</t>
        </is>
      </c>
    </row>
    <row r="32">
      <c r="A32" s="7" t="inlineStr">
        <is>
          <t>Trimmelő gép, trimmelő tál</t>
        </is>
      </c>
      <c r="B32" s="7" t="n">
        <v>1</v>
      </c>
      <c r="C32" s="7" t="inlineStr">
        <is>
          <t>trimmelő gép</t>
        </is>
      </c>
      <c r="D32" s="7" t="n"/>
      <c r="E32" s="8" t="n">
        <v>320</v>
      </c>
      <c r="F32" s="7" t="inlineStr">
        <is>
          <t>Laza</t>
        </is>
      </c>
      <c r="G32" s="7" t="inlineStr">
        <is>
          <t>Igen</t>
        </is>
      </c>
      <c r="H32" s="7" t="inlineStr">
        <is>
          <t>Kézi és motoros trimmelő tál / gép, trimmelő asztal, trimmelő zsák</t>
        </is>
      </c>
      <c r="I32" s="7" t="inlineStr">
        <is>
          <t>Kategórianév + H1 + SEO title (fő kulcsszó)</t>
        </is>
      </c>
    </row>
    <row r="33">
      <c r="A33" s="11" t="inlineStr">
        <is>
          <t>Vákuumzsák, simítózáras tasak</t>
        </is>
      </c>
      <c r="B33" s="11" t="n">
        <v>3</v>
      </c>
      <c r="C33" s="11" t="inlineStr">
        <is>
          <t>csomagoló zacskó</t>
        </is>
      </c>
      <c r="D33" s="11" t="n"/>
      <c r="E33" s="22" t="n">
        <v>320</v>
      </c>
      <c r="F33" s="11" t="inlineStr">
        <is>
          <t>Laza</t>
        </is>
      </c>
      <c r="G33" s="11" t="inlineStr">
        <is>
          <t>Nem</t>
        </is>
      </c>
      <c r="H33" s="11" t="inlineStr">
        <is>
          <t>Fényálló, vasalható vákuumzsák, simítózáras (ziplock) tasak – szagzáró tárolás</t>
        </is>
      </c>
      <c r="I33" s="11" t="inlineStr">
        <is>
          <t>Nem célozni külön oldallal (max. említés)</t>
        </is>
      </c>
    </row>
    <row r="34">
      <c r="A34" s="4" t="inlineStr">
        <is>
          <t>Digitális mérleg, zsebmérleg</t>
        </is>
      </c>
      <c r="B34" s="4" t="n">
        <v>7</v>
      </c>
      <c r="C34" s="4" t="inlineStr">
        <is>
          <t>precíziós mérleg</t>
        </is>
      </c>
      <c r="D34" s="4" t="n"/>
      <c r="E34" s="5" t="n">
        <v>320</v>
      </c>
      <c r="F34" s="4" t="inlineStr">
        <is>
          <t>Szoros</t>
        </is>
      </c>
      <c r="G34" s="4" t="inlineStr">
        <is>
          <t>Igen</t>
        </is>
      </c>
      <c r="H34" s="4" t="inlineStr">
        <is>
          <t>Digitális zseb- és precíziós mérleg (0,01 / 0,001 g), kalibráló súly</t>
        </is>
      </c>
      <c r="I34" s="4" t="inlineStr">
        <is>
          <t>SEO title / H1 / bevezető (másodlagos)</t>
        </is>
      </c>
    </row>
    <row r="35">
      <c r="A35" s="7" t="inlineStr">
        <is>
          <t>Munkaeszköz: kesztyű, nagyító, grow szemüveg</t>
        </is>
      </c>
      <c r="B35" s="7" t="n">
        <v>10</v>
      </c>
      <c r="C35" s="7" t="inlineStr">
        <is>
          <t>nitril gumikesztyű</t>
        </is>
      </c>
      <c r="D35" s="7" t="n"/>
      <c r="E35" s="8" t="n">
        <v>320</v>
      </c>
      <c r="F35" s="7" t="inlineStr">
        <is>
          <t>Laza</t>
        </is>
      </c>
      <c r="G35" s="7" t="inlineStr">
        <is>
          <t>Igen</t>
        </is>
      </c>
      <c r="H35" s="7" t="inlineStr">
        <is>
          <t>Feldolgozás közbeni munkaeszköz: nitril / vinyl kesztyű, LED-es nagyító, zsebmikroszkóp (trichóma-vizsgálat), grow / védőszemüveg</t>
        </is>
      </c>
      <c r="I35" s="7" t="inlineStr">
        <is>
          <t>SEO title / H1 / bevezető (másodlagos)</t>
        </is>
      </c>
    </row>
    <row r="36">
      <c r="A36" s="11" t="inlineStr">
        <is>
          <t>Páratartalom-szabályzó tasak</t>
        </is>
      </c>
      <c r="B36" s="11" t="n">
        <v>7</v>
      </c>
      <c r="C36" s="11" t="inlineStr">
        <is>
          <t>fermentáció</t>
        </is>
      </c>
      <c r="D36" s="11" t="n"/>
      <c r="E36" s="22" t="n">
        <v>260</v>
      </c>
      <c r="F36" s="11" t="inlineStr">
        <is>
          <t>Laza</t>
        </is>
      </c>
      <c r="G36" s="11" t="inlineStr">
        <is>
          <t>Nem</t>
        </is>
      </c>
      <c r="H36" s="11" t="inlineStr">
        <is>
          <t>Kétirányú páratartalom-szabályzó tasak (Boveda, Integra Boost) az érleléshez és tároláshoz</t>
        </is>
      </c>
      <c r="I36" s="11" t="inlineStr">
        <is>
          <t>Nem célozni külön oldallal (max. említés)</t>
        </is>
      </c>
    </row>
    <row r="37">
      <c r="A37" s="4" t="inlineStr">
        <is>
          <t>Páratartalom-szabályzó tasak</t>
        </is>
      </c>
      <c r="B37" s="4" t="n">
        <v>1</v>
      </c>
      <c r="C37" s="4" t="inlineStr">
        <is>
          <t>boveda</t>
        </is>
      </c>
      <c r="D37" s="4" t="n"/>
      <c r="E37" s="5" t="n">
        <v>210</v>
      </c>
      <c r="F37" s="4" t="inlineStr">
        <is>
          <t>Szoros</t>
        </is>
      </c>
      <c r="G37" s="4" t="inlineStr">
        <is>
          <t>Igen</t>
        </is>
      </c>
      <c r="H37" s="4" t="inlineStr">
        <is>
          <t>Kétirányú páratartalom-szabályzó tasak (Boveda, Integra Boost) az érleléshez és tároláshoz</t>
        </is>
      </c>
      <c r="I37" s="4" t="inlineStr">
        <is>
          <t>Kategórianév + H1 + SEO title (fő kulcsszó)</t>
        </is>
      </c>
    </row>
    <row r="38">
      <c r="A38" s="11" t="inlineStr">
        <is>
          <t>Vákuumzsák, simítózáras tasak</t>
        </is>
      </c>
      <c r="B38" s="11" t="n">
        <v>4</v>
      </c>
      <c r="C38" s="11" t="inlineStr">
        <is>
          <t>vákuum zsák utazáshoz</t>
        </is>
      </c>
      <c r="D38" s="11" t="n"/>
      <c r="E38" s="22" t="n">
        <v>210</v>
      </c>
      <c r="F38" s="11" t="inlineStr">
        <is>
          <t>Laza</t>
        </is>
      </c>
      <c r="G38" s="11" t="inlineStr">
        <is>
          <t>Nem</t>
        </is>
      </c>
      <c r="H38" s="11" t="inlineStr">
        <is>
          <t>Fényálló, vasalható vákuumzsák, simítózáras (ziplock) tasak – szagzáró tárolás</t>
        </is>
      </c>
      <c r="I38" s="11" t="inlineStr">
        <is>
          <t>Nem célozni külön oldallal (max. említés)</t>
        </is>
      </c>
    </row>
    <row r="39">
      <c r="A39" s="11" t="inlineStr">
        <is>
          <t>Vákuumzsák, simítózáras tasak</t>
        </is>
      </c>
      <c r="B39" s="11" t="n">
        <v>5</v>
      </c>
      <c r="C39" s="11" t="inlineStr">
        <is>
          <t>vákuum ruhazsák</t>
        </is>
      </c>
      <c r="D39" s="11" t="n"/>
      <c r="E39" s="22" t="n">
        <v>210</v>
      </c>
      <c r="F39" s="11" t="inlineStr">
        <is>
          <t>Laza</t>
        </is>
      </c>
      <c r="G39" s="11" t="inlineStr">
        <is>
          <t>Nem</t>
        </is>
      </c>
      <c r="H39" s="11" t="inlineStr">
        <is>
          <t>Fényálló, vasalható vákuumzsák, simítózáras (ziplock) tasak – szagzáró tárolás</t>
        </is>
      </c>
      <c r="I39" s="11" t="inlineStr">
        <is>
          <t>Nem célozni külön oldallal (max. említés)</t>
        </is>
      </c>
    </row>
    <row r="40">
      <c r="A40" s="11" t="inlineStr">
        <is>
          <t>Kivonatolás: bubble bag, extraktor</t>
        </is>
      </c>
      <c r="B40" s="11" t="n">
        <v>4</v>
      </c>
      <c r="C40" s="11" t="inlineStr">
        <is>
          <t>rosin</t>
        </is>
      </c>
      <c r="D40" s="11" t="n"/>
      <c r="E40" s="22" t="n">
        <v>210</v>
      </c>
      <c r="F40" s="11" t="inlineStr">
        <is>
          <t>Laza</t>
        </is>
      </c>
      <c r="G40" s="11" t="inlineStr">
        <is>
          <t>Nem</t>
        </is>
      </c>
      <c r="H40" s="11" t="inlineStr">
        <is>
          <t>Hideg kivonatolás: bubble bag (jeges kivonatoló zsák), gyantaszitáló extraktor (Secret Box), shaker</t>
        </is>
      </c>
      <c r="I40" s="11" t="inlineStr">
        <is>
          <t>Nem célozni külön oldallal (max. említés)</t>
        </is>
      </c>
    </row>
    <row r="41">
      <c r="A41" s="4" t="inlineStr">
        <is>
          <t>Digitális mérleg, zsebmérleg</t>
        </is>
      </c>
      <c r="B41" s="4" t="n">
        <v>8</v>
      </c>
      <c r="C41" s="4" t="inlineStr">
        <is>
          <t>digitalis merleg</t>
        </is>
      </c>
      <c r="D41" s="4" t="n"/>
      <c r="E41" s="5" t="n">
        <v>210</v>
      </c>
      <c r="F41" s="4" t="inlineStr">
        <is>
          <t>Szoros</t>
        </is>
      </c>
      <c r="G41" s="4" t="inlineStr">
        <is>
          <t>Igen</t>
        </is>
      </c>
      <c r="H41" s="4" t="inlineStr">
        <is>
          <t>Digitális zseb- és precíziós mérleg (0,01 / 0,001 g), kalibráló súly</t>
        </is>
      </c>
      <c r="I41" s="4" t="inlineStr">
        <is>
          <t>Kategórialeírás (természetes említés)</t>
        </is>
      </c>
    </row>
    <row r="42">
      <c r="A42" s="11" t="inlineStr">
        <is>
          <t>Kivonatolás: bubble bag, extraktor</t>
        </is>
      </c>
      <c r="B42" s="11" t="n">
        <v>5</v>
      </c>
      <c r="C42" s="11" t="inlineStr">
        <is>
          <t>extrakció</t>
        </is>
      </c>
      <c r="D42" s="11" t="n"/>
      <c r="E42" s="22" t="n">
        <v>170</v>
      </c>
      <c r="F42" s="11" t="inlineStr">
        <is>
          <t>Laza</t>
        </is>
      </c>
      <c r="G42" s="11" t="inlineStr">
        <is>
          <t>Nem</t>
        </is>
      </c>
      <c r="H42" s="11" t="inlineStr">
        <is>
          <t>Hideg kivonatolás: bubble bag (jeges kivonatoló zsák), gyantaszitáló extraktor (Secret Box), shaker</t>
        </is>
      </c>
      <c r="I42" s="11" t="inlineStr">
        <is>
          <t>Nem célozni külön oldallal (max. említés)</t>
        </is>
      </c>
    </row>
    <row r="43">
      <c r="A43" s="11" t="inlineStr">
        <is>
          <t>Kivonatolás: bubble bag, extraktor</t>
        </is>
      </c>
      <c r="B43" s="11" t="n">
        <v>6</v>
      </c>
      <c r="C43" s="11" t="inlineStr">
        <is>
          <t>1 mikronos szűrőzsák</t>
        </is>
      </c>
      <c r="D43" s="11" t="n"/>
      <c r="E43" s="22" t="n">
        <v>170</v>
      </c>
      <c r="F43" s="11" t="inlineStr">
        <is>
          <t>Laza</t>
        </is>
      </c>
      <c r="G43" s="11" t="inlineStr">
        <is>
          <t>Nem</t>
        </is>
      </c>
      <c r="H43" s="11" t="inlineStr">
        <is>
          <t>Hideg kivonatolás: bubble bag (jeges kivonatoló zsák), gyantaszitáló extraktor (Secret Box), shaker</t>
        </is>
      </c>
      <c r="I43" s="11" t="inlineStr">
        <is>
          <t>Nem célozni külön oldallal (max. említés)</t>
        </is>
      </c>
    </row>
    <row r="44">
      <c r="A44" s="7" t="inlineStr">
        <is>
          <t>Digitális mérleg, zsebmérleg</t>
        </is>
      </c>
      <c r="B44" s="7" t="n">
        <v>9</v>
      </c>
      <c r="C44" s="7" t="inlineStr">
        <is>
          <t>analitikai mérleg</t>
        </is>
      </c>
      <c r="D44" s="7" t="n"/>
      <c r="E44" s="8" t="n">
        <v>170</v>
      </c>
      <c r="F44" s="7" t="inlineStr">
        <is>
          <t>Laza</t>
        </is>
      </c>
      <c r="G44" s="7" t="inlineStr">
        <is>
          <t>Igen</t>
        </is>
      </c>
      <c r="H44" s="7" t="inlineStr">
        <is>
          <t>Digitális zseb- és precíziós mérleg (0,01 / 0,001 g), kalibráló súly</t>
        </is>
      </c>
      <c r="I44" s="7" t="inlineStr">
        <is>
          <t>Kategórialeírás (természetes említés)</t>
        </is>
      </c>
    </row>
    <row r="45">
      <c r="A45" s="4" t="inlineStr">
        <is>
          <t>Szárítóháló, növényszárító</t>
        </is>
      </c>
      <c r="B45" s="4" t="n">
        <v>1</v>
      </c>
      <c r="C45" s="4" t="inlineStr">
        <is>
          <t>szárítóháló</t>
        </is>
      </c>
      <c r="D45" s="4" t="n"/>
      <c r="E45" s="5" t="n">
        <v>140</v>
      </c>
      <c r="F45" s="4" t="inlineStr">
        <is>
          <t>Szoros</t>
        </is>
      </c>
      <c r="G45" s="4" t="inlineStr">
        <is>
          <t>Igen</t>
        </is>
      </c>
      <c r="H45" s="4" t="inlineStr">
        <is>
          <t>1. lépés – szárítás: függő szárítóháló (több szintes), szárítóháló-szűrő</t>
        </is>
      </c>
      <c r="I45" s="4" t="inlineStr">
        <is>
          <t>Kategórianév + H1 + SEO title (fő kulcsszó)</t>
        </is>
      </c>
    </row>
    <row r="46">
      <c r="A46" s="7" t="inlineStr">
        <is>
          <t>Szárítóháló, növényszárító</t>
        </is>
      </c>
      <c r="B46" s="7" t="n">
        <v>4</v>
      </c>
      <c r="C46" s="7" t="inlineStr">
        <is>
          <t>levendula szárítása</t>
        </is>
      </c>
      <c r="D46" s="7" t="n"/>
      <c r="E46" s="8" t="n">
        <v>140</v>
      </c>
      <c r="F46" s="7" t="inlineStr">
        <is>
          <t>Laza</t>
        </is>
      </c>
      <c r="G46" s="7" t="inlineStr">
        <is>
          <t>Igen</t>
        </is>
      </c>
      <c r="H46" s="7" t="inlineStr">
        <is>
          <t>1. lépés – szárítás: függő szárítóháló (több szintes), szárítóháló-szűrő</t>
        </is>
      </c>
      <c r="I46" s="7" t="inlineStr">
        <is>
          <t>Leírás alsó része, GYIK vagy blog</t>
        </is>
      </c>
    </row>
    <row r="47">
      <c r="A47" s="7" t="inlineStr">
        <is>
          <t>Trimmelő olló</t>
        </is>
      </c>
      <c r="B47" s="7" t="n">
        <v>5</v>
      </c>
      <c r="C47" s="7" t="inlineStr">
        <is>
          <t>olló élező</t>
        </is>
      </c>
      <c r="D47" s="7" t="n"/>
      <c r="E47" s="8" t="n">
        <v>140</v>
      </c>
      <c r="F47" s="7" t="inlineStr">
        <is>
          <t>Laza</t>
        </is>
      </c>
      <c r="G47" s="7" t="inlineStr">
        <is>
          <t>Igen</t>
        </is>
      </c>
      <c r="H47" s="7" t="inlineStr">
        <is>
          <t>Kézi trimmelő olló (egyenes / ívelt, rugós, Saboten, AC Infinity), ollóélező</t>
        </is>
      </c>
      <c r="I47" s="7" t="inlineStr">
        <is>
          <t>Kategórialeírás (természetes említés)</t>
        </is>
      </c>
    </row>
    <row r="48">
      <c r="A48" s="7" t="inlineStr">
        <is>
          <t>Terpén aromatasak</t>
        </is>
      </c>
      <c r="B48" s="7" t="n">
        <v>2</v>
      </c>
      <c r="C48" s="7" t="inlineStr">
        <is>
          <t>terpének</t>
        </is>
      </c>
      <c r="D48" s="7" t="n"/>
      <c r="E48" s="8" t="n">
        <v>140</v>
      </c>
      <c r="F48" s="7" t="inlineStr">
        <is>
          <t>Laza</t>
        </is>
      </c>
      <c r="G48" s="7" t="inlineStr">
        <is>
          <t>Igen</t>
        </is>
      </c>
      <c r="H48" s="7" t="inlineStr">
        <is>
          <t>Terpén- / aromatasak (Integra Boost terpén, Neu Bag) – aroma megőrzése tároláskor</t>
        </is>
      </c>
      <c r="I48" s="7" t="inlineStr">
        <is>
          <t>Leírás alsó része, GYIK vagy blog</t>
        </is>
      </c>
    </row>
    <row r="49">
      <c r="A49" s="4" t="inlineStr">
        <is>
          <t>Vákuumzsák, simítózáras tasak</t>
        </is>
      </c>
      <c r="B49" s="4" t="n">
        <v>6</v>
      </c>
      <c r="C49" s="4" t="inlineStr">
        <is>
          <t>mylar tasak</t>
        </is>
      </c>
      <c r="D49" s="4" t="n"/>
      <c r="E49" s="5" t="n">
        <v>140</v>
      </c>
      <c r="F49" s="4" t="inlineStr">
        <is>
          <t>Szoros</t>
        </is>
      </c>
      <c r="G49" s="4" t="inlineStr">
        <is>
          <t>Igen</t>
        </is>
      </c>
      <c r="H49" s="4" t="inlineStr">
        <is>
          <t>Fényálló, vasalható vákuumzsák, simítózáras (ziplock) tasak – szagzáró tárolás</t>
        </is>
      </c>
      <c r="I49" s="4" t="inlineStr">
        <is>
          <t>SEO title / H1 / bevezető (másodlagos)</t>
        </is>
      </c>
    </row>
    <row r="50">
      <c r="A50" s="7" t="inlineStr">
        <is>
          <t>Munkaeszköz: kesztyű, nagyító, grow szemüveg</t>
        </is>
      </c>
      <c r="B50" s="7" t="n">
        <v>11</v>
      </c>
      <c r="C50" s="7" t="inlineStr">
        <is>
          <t>ékszerész nagyító</t>
        </is>
      </c>
      <c r="D50" s="7" t="n"/>
      <c r="E50" s="8" t="n">
        <v>140</v>
      </c>
      <c r="F50" s="7" t="inlineStr">
        <is>
          <t>Laza</t>
        </is>
      </c>
      <c r="G50" s="7" t="inlineStr">
        <is>
          <t>Igen</t>
        </is>
      </c>
      <c r="H50" s="7" t="inlineStr">
        <is>
          <t>Feldolgozás közbeni munkaeszköz: nitril / vinyl kesztyű, LED-es nagyító, zsebmikroszkóp (trichóma-vizsgálat), grow / védőszemüveg</t>
        </is>
      </c>
      <c r="I50" s="7" t="inlineStr">
        <is>
          <t>SEO title / H1 / bevezető (másodlagos)</t>
        </is>
      </c>
    </row>
    <row r="51">
      <c r="A51" s="7" t="inlineStr">
        <is>
          <t>Trimmelő olló</t>
        </is>
      </c>
      <c r="B51" s="7" t="n">
        <v>6</v>
      </c>
      <c r="C51" s="7" t="inlineStr">
        <is>
          <t>bonsai olló</t>
        </is>
      </c>
      <c r="D51" s="7" t="n"/>
      <c r="E51" s="8" t="n">
        <v>110</v>
      </c>
      <c r="F51" s="7" t="inlineStr">
        <is>
          <t>Laza</t>
        </is>
      </c>
      <c r="G51" s="7" t="inlineStr">
        <is>
          <t>Igen</t>
        </is>
      </c>
      <c r="H51" s="7" t="inlineStr">
        <is>
          <t>Kézi trimmelő olló (egyenes / ívelt, rugós, Saboten, AC Infinity), ollóélező</t>
        </is>
      </c>
      <c r="I51" s="7" t="inlineStr">
        <is>
          <t>Kategórialeírás (természetes említés)</t>
        </is>
      </c>
    </row>
    <row r="52">
      <c r="A52" s="7" t="inlineStr">
        <is>
          <t>Trimmelő olló</t>
        </is>
      </c>
      <c r="B52" s="7" t="n">
        <v>7</v>
      </c>
      <c r="C52" s="7" t="inlineStr">
        <is>
          <t>szüretelő olló</t>
        </is>
      </c>
      <c r="D52" s="7" t="n"/>
      <c r="E52" s="8" t="n">
        <v>110</v>
      </c>
      <c r="F52" s="7" t="inlineStr">
        <is>
          <t>Laza</t>
        </is>
      </c>
      <c r="G52" s="7" t="inlineStr">
        <is>
          <t>Igen</t>
        </is>
      </c>
      <c r="H52" s="7" t="inlineStr">
        <is>
          <t>Kézi trimmelő olló (egyenes / ívelt, rugós, Saboten, AC Infinity), ollóélező</t>
        </is>
      </c>
      <c r="I52" s="7" t="inlineStr">
        <is>
          <t>Kategórialeírás (természetes említés)</t>
        </is>
      </c>
    </row>
    <row r="53">
      <c r="A53" s="7" t="inlineStr">
        <is>
          <t>Vákuumzsák, simítózáras tasak</t>
        </is>
      </c>
      <c r="B53" s="7" t="n">
        <v>7</v>
      </c>
      <c r="C53" s="7" t="inlineStr">
        <is>
          <t>csomagoló tasak</t>
        </is>
      </c>
      <c r="D53" s="7" t="n"/>
      <c r="E53" s="8" t="n">
        <v>110</v>
      </c>
      <c r="F53" s="7" t="inlineStr">
        <is>
          <t>Laza</t>
        </is>
      </c>
      <c r="G53" s="7" t="inlineStr">
        <is>
          <t>Igen</t>
        </is>
      </c>
      <c r="H53" s="7" t="inlineStr">
        <is>
          <t>Fényálló, vasalható vákuumzsák, simítózáras (ziplock) tasak – szagzáró tárolás</t>
        </is>
      </c>
      <c r="I53" s="7" t="inlineStr">
        <is>
          <t>Kategórialeírás (természetes említés)</t>
        </is>
      </c>
    </row>
    <row r="54">
      <c r="A54" s="4" t="inlineStr">
        <is>
          <t>Digitális mérleg, zsebmérleg</t>
        </is>
      </c>
      <c r="B54" s="4" t="n">
        <v>10</v>
      </c>
      <c r="C54" s="4" t="inlineStr">
        <is>
          <t>zsebmérleg</t>
        </is>
      </c>
      <c r="D54" s="4" t="n"/>
      <c r="E54" s="5" t="n">
        <v>110</v>
      </c>
      <c r="F54" s="4" t="inlineStr">
        <is>
          <t>Szoros</t>
        </is>
      </c>
      <c r="G54" s="4" t="inlineStr">
        <is>
          <t>Igen</t>
        </is>
      </c>
      <c r="H54" s="4" t="inlineStr">
        <is>
          <t>Digitális zseb- és precíziós mérleg (0,01 / 0,001 g), kalibráló súly</t>
        </is>
      </c>
      <c r="I54" s="4" t="inlineStr">
        <is>
          <t>SEO title / H1 / bevezető (másodlagos)</t>
        </is>
      </c>
    </row>
    <row r="55">
      <c r="A55" s="12" t="inlineStr">
        <is>
          <t>Digitális mérleg, zsebmérleg</t>
        </is>
      </c>
      <c r="B55" s="12" t="n">
        <v>11</v>
      </c>
      <c r="C55" s="12" t="inlineStr">
        <is>
          <t>ékszer mérleg euronics</t>
        </is>
      </c>
      <c r="D55" s="12" t="n"/>
      <c r="E55" s="21" t="n">
        <v>110</v>
      </c>
      <c r="F55" s="12" t="inlineStr">
        <is>
          <t>Nincs (áruházi / nem vásárlási szándék)</t>
        </is>
      </c>
      <c r="G55" s="12" t="inlineStr">
        <is>
          <t>Nem – kizárandó</t>
        </is>
      </c>
      <c r="H55" s="12" t="inlineStr">
        <is>
          <t>Digitális zseb- és precíziós mérleg (0,01 / 0,001 g), kalibráló súly</t>
        </is>
      </c>
      <c r="I55" s="12" t="inlineStr">
        <is>
          <t>Nem használni (áruházi/nem vásárlási szándék)</t>
        </is>
      </c>
    </row>
    <row r="56">
      <c r="A56" s="7" t="inlineStr">
        <is>
          <t>Munkaeszköz: kesztyű, nagyító, grow szemüveg</t>
        </is>
      </c>
      <c r="B56" s="7" t="n">
        <v>12</v>
      </c>
      <c r="C56" s="7" t="inlineStr">
        <is>
          <t>vinyl kesztyű</t>
        </is>
      </c>
      <c r="D56" s="7" t="n"/>
      <c r="E56" s="8" t="n">
        <v>110</v>
      </c>
      <c r="F56" s="7" t="inlineStr">
        <is>
          <t>Laza</t>
        </is>
      </c>
      <c r="G56" s="7" t="inlineStr">
        <is>
          <t>Igen</t>
        </is>
      </c>
      <c r="H56" s="7" t="inlineStr">
        <is>
          <t>Feldolgozás közbeni munkaeszköz: nitril / vinyl kesztyű, LED-es nagyító, zsebmikroszkóp (trichóma-vizsgálat), grow / védőszemüveg</t>
        </is>
      </c>
      <c r="I56" s="7" t="inlineStr">
        <is>
          <t>Kategórialeírás (természetes említés)</t>
        </is>
      </c>
    </row>
    <row r="57">
      <c r="A57" s="4" t="inlineStr">
        <is>
          <t>Munkaeszköz: kesztyű, nagyító, grow szemüveg</t>
        </is>
      </c>
      <c r="B57" s="4" t="n">
        <v>13</v>
      </c>
      <c r="C57" s="4" t="inlineStr">
        <is>
          <t>zsebmikroszkóp</t>
        </is>
      </c>
      <c r="D57" s="4" t="n"/>
      <c r="E57" s="5" t="n">
        <v>110</v>
      </c>
      <c r="F57" s="4" t="inlineStr">
        <is>
          <t>Szoros</t>
        </is>
      </c>
      <c r="G57" s="4" t="inlineStr">
        <is>
          <t>Igen</t>
        </is>
      </c>
      <c r="H57" s="4" t="inlineStr">
        <is>
          <t>Feldolgozás közbeni munkaeszköz: nitril / vinyl kesztyű, LED-es nagyító, zsebmikroszkóp (trichóma-vizsgálat), grow / védőszemüveg</t>
        </is>
      </c>
      <c r="I57" s="4" t="inlineStr">
        <is>
          <t>SEO title / H1 / bevezető (másodlagos)</t>
        </is>
      </c>
    </row>
    <row r="58">
      <c r="A58" s="7" t="inlineStr">
        <is>
          <t>Trimmelő olló</t>
        </is>
      </c>
      <c r="B58" s="7" t="n">
        <v>8</v>
      </c>
      <c r="C58" s="7" t="inlineStr">
        <is>
          <t>trimmeles</t>
        </is>
      </c>
      <c r="D58" s="7" t="n"/>
      <c r="E58" s="8" t="n">
        <v>90</v>
      </c>
      <c r="F58" s="7" t="inlineStr">
        <is>
          <t>Laza</t>
        </is>
      </c>
      <c r="G58" s="7" t="inlineStr">
        <is>
          <t>Igen</t>
        </is>
      </c>
      <c r="H58" s="7" t="inlineStr">
        <is>
          <t>Kézi trimmelő olló (egyenes / ívelt, rugós, Saboten, AC Infinity), ollóélező</t>
        </is>
      </c>
      <c r="I58" s="7" t="inlineStr">
        <is>
          <t>Leírás alsó része, GYIK vagy blog</t>
        </is>
      </c>
    </row>
    <row r="59">
      <c r="A59" s="7" t="inlineStr">
        <is>
          <t>Páratartalom-szabályzó tasak</t>
        </is>
      </c>
      <c r="B59" s="7" t="n">
        <v>8</v>
      </c>
      <c r="C59" s="7" t="inlineStr">
        <is>
          <t>száraz fermentálás</t>
        </is>
      </c>
      <c r="D59" s="7" t="n"/>
      <c r="E59" s="8" t="n">
        <v>90</v>
      </c>
      <c r="F59" s="7" t="inlineStr">
        <is>
          <t>Laza</t>
        </is>
      </c>
      <c r="G59" s="7" t="inlineStr">
        <is>
          <t>Igen</t>
        </is>
      </c>
      <c r="H59" s="7" t="inlineStr">
        <is>
          <t>Kétirányú páratartalom-szabályzó tasak (Boveda, Integra Boost) az érleléshez és tároláshoz</t>
        </is>
      </c>
      <c r="I59" s="7" t="inlineStr">
        <is>
          <t>Leírás alsó része, GYIK vagy blog</t>
        </is>
      </c>
    </row>
    <row r="60">
      <c r="A60" s="7" t="inlineStr">
        <is>
          <t>Terpén aromatasak</t>
        </is>
      </c>
      <c r="B60" s="7" t="n">
        <v>1</v>
      </c>
      <c r="C60" s="7" t="inlineStr">
        <is>
          <t>terpén</t>
        </is>
      </c>
      <c r="D60" s="7" t="n"/>
      <c r="E60" s="8" t="n">
        <v>90</v>
      </c>
      <c r="F60" s="7" t="inlineStr">
        <is>
          <t>Laza</t>
        </is>
      </c>
      <c r="G60" s="7" t="inlineStr">
        <is>
          <t>Igen</t>
        </is>
      </c>
      <c r="H60" s="7" t="inlineStr">
        <is>
          <t>Terpén- / aromatasak (Integra Boost terpén, Neu Bag) – aroma megőrzése tároláskor</t>
        </is>
      </c>
      <c r="I60" s="7" t="inlineStr">
        <is>
          <t>Kategórianév + H1 + SEO title (fő kulcsszó)</t>
        </is>
      </c>
    </row>
    <row r="61">
      <c r="A61" s="4" t="inlineStr">
        <is>
          <t>Vákuumzsák, simítózáras tasak</t>
        </is>
      </c>
      <c r="B61" s="4" t="n">
        <v>8</v>
      </c>
      <c r="C61" s="4" t="inlineStr">
        <is>
          <t>vákuum zsák</t>
        </is>
      </c>
      <c r="D61" s="4" t="n"/>
      <c r="E61" s="5" t="n">
        <v>90</v>
      </c>
      <c r="F61" s="4" t="inlineStr">
        <is>
          <t>Szoros</t>
        </is>
      </c>
      <c r="G61" s="4" t="inlineStr">
        <is>
          <t>Igen</t>
        </is>
      </c>
      <c r="H61" s="4" t="inlineStr">
        <is>
          <t>Fényálló, vasalható vákuumzsák, simítózáras (ziplock) tasak – szagzáró tárolás</t>
        </is>
      </c>
      <c r="I61" s="4" t="inlineStr">
        <is>
          <t>SEO title / H1 / bevezető (másodlagos)</t>
        </is>
      </c>
    </row>
    <row r="62">
      <c r="A62" s="4" t="inlineStr">
        <is>
          <t>Vákuumzsák, simítózáras tasak</t>
        </is>
      </c>
      <c r="B62" s="4" t="n">
        <v>9</v>
      </c>
      <c r="C62" s="4" t="inlineStr">
        <is>
          <t>simítózáras zacskó</t>
        </is>
      </c>
      <c r="D62" s="4" t="n"/>
      <c r="E62" s="5" t="n">
        <v>90</v>
      </c>
      <c r="F62" s="4" t="inlineStr">
        <is>
          <t>Szoros</t>
        </is>
      </c>
      <c r="G62" s="4" t="inlineStr">
        <is>
          <t>Igen</t>
        </is>
      </c>
      <c r="H62" s="4" t="inlineStr">
        <is>
          <t>Fényálló, vasalható vákuumzsák, simítózáras (ziplock) tasak – szagzáró tárolás</t>
        </is>
      </c>
      <c r="I62" s="4" t="inlineStr">
        <is>
          <t>SEO title / H1 / bevezető (másodlagos)</t>
        </is>
      </c>
    </row>
    <row r="63">
      <c r="A63" s="4" t="inlineStr">
        <is>
          <t>Vákuumzsák, simítózáras tasak</t>
        </is>
      </c>
      <c r="B63" s="4" t="n">
        <v>10</v>
      </c>
      <c r="C63" s="4" t="inlineStr">
        <is>
          <t>önzáró tasakok</t>
        </is>
      </c>
      <c r="D63" s="4" t="n"/>
      <c r="E63" s="5" t="n">
        <v>90</v>
      </c>
      <c r="F63" s="4" t="inlineStr">
        <is>
          <t>Szoros</t>
        </is>
      </c>
      <c r="G63" s="4" t="inlineStr">
        <is>
          <t>Igen</t>
        </is>
      </c>
      <c r="H63" s="4" t="inlineStr">
        <is>
          <t>Fényálló, vasalható vákuumzsák, simítózáras (ziplock) tasak – szagzáró tárolás</t>
        </is>
      </c>
      <c r="I63" s="4" t="inlineStr">
        <is>
          <t>Kategórialeírás (természetes említés)</t>
        </is>
      </c>
    </row>
    <row r="64">
      <c r="A64" s="7" t="inlineStr">
        <is>
          <t>Vákuumzsák, simítózáras tasak</t>
        </is>
      </c>
      <c r="B64" s="7" t="n">
        <v>11</v>
      </c>
      <c r="C64" s="7" t="inlineStr">
        <is>
          <t>légmentes tároló doboz</t>
        </is>
      </c>
      <c r="D64" s="7" t="n"/>
      <c r="E64" s="8" t="n">
        <v>90</v>
      </c>
      <c r="F64" s="7" t="inlineStr">
        <is>
          <t>Laza</t>
        </is>
      </c>
      <c r="G64" s="7" t="inlineStr">
        <is>
          <t>Igen</t>
        </is>
      </c>
      <c r="H64" s="7" t="inlineStr">
        <is>
          <t>Fényálló, vasalható vákuumzsák, simítózáras (ziplock) tasak – szagzáró tárolás</t>
        </is>
      </c>
      <c r="I64" s="7" t="inlineStr">
        <is>
          <t>Kategórialeírás (természetes említés)</t>
        </is>
      </c>
    </row>
    <row r="65">
      <c r="A65" s="7" t="inlineStr">
        <is>
          <t>Munkaeszköz: kesztyű, nagyító, grow szemüveg</t>
        </is>
      </c>
      <c r="B65" s="7" t="n">
        <v>14</v>
      </c>
      <c r="C65" s="7" t="inlineStr">
        <is>
          <t>egyszer használatos gumikesztyű</t>
        </is>
      </c>
      <c r="D65" s="7" t="n"/>
      <c r="E65" s="8" t="n">
        <v>90</v>
      </c>
      <c r="F65" s="7" t="inlineStr">
        <is>
          <t>Laza</t>
        </is>
      </c>
      <c r="G65" s="7" t="inlineStr">
        <is>
          <t>Igen</t>
        </is>
      </c>
      <c r="H65" s="7" t="inlineStr">
        <is>
          <t>Feldolgozás közbeni munkaeszköz: nitril / vinyl kesztyű, LED-es nagyító, zsebmikroszkóp (trichóma-vizsgálat), grow / védőszemüveg</t>
        </is>
      </c>
      <c r="I65" s="7" t="inlineStr">
        <is>
          <t>Kategórialeírás (természetes említés)</t>
        </is>
      </c>
    </row>
    <row r="66">
      <c r="A66" s="7" t="inlineStr">
        <is>
          <t>Munkaeszköz: kesztyű, nagyító, grow szemüveg</t>
        </is>
      </c>
      <c r="B66" s="7" t="n">
        <v>15</v>
      </c>
      <c r="C66" s="7" t="inlineStr">
        <is>
          <t>latex gumikesztyű</t>
        </is>
      </c>
      <c r="D66" s="7" t="n"/>
      <c r="E66" s="8" t="n">
        <v>90</v>
      </c>
      <c r="F66" s="7" t="inlineStr">
        <is>
          <t>Laza</t>
        </is>
      </c>
      <c r="G66" s="7" t="inlineStr">
        <is>
          <t>Igen</t>
        </is>
      </c>
      <c r="H66" s="7" t="inlineStr">
        <is>
          <t>Feldolgozás közbeni munkaeszköz: nitril / vinyl kesztyű, LED-es nagyító, zsebmikroszkóp (trichóma-vizsgálat), grow / védőszemüveg</t>
        </is>
      </c>
      <c r="I66" s="7" t="inlineStr">
        <is>
          <t>Kategórialeírás (természetes említés)</t>
        </is>
      </c>
    </row>
    <row r="67">
      <c r="A67" s="7" t="inlineStr">
        <is>
          <t>Munkaeszköz: kesztyű, nagyító, grow szemüveg</t>
        </is>
      </c>
      <c r="B67" s="7" t="n">
        <v>16</v>
      </c>
      <c r="C67" s="7" t="inlineStr">
        <is>
          <t>kézi nagyító 40x</t>
        </is>
      </c>
      <c r="D67" s="7" t="n"/>
      <c r="E67" s="8" t="n">
        <v>90</v>
      </c>
      <c r="F67" s="7" t="inlineStr">
        <is>
          <t>Laza</t>
        </is>
      </c>
      <c r="G67" s="7" t="inlineStr">
        <is>
          <t>Igen</t>
        </is>
      </c>
      <c r="H67" s="7" t="inlineStr">
        <is>
          <t>Feldolgozás közbeni munkaeszköz: nitril / vinyl kesztyű, LED-es nagyító, zsebmikroszkóp (trichóma-vizsgálat), grow / védőszemüveg</t>
        </is>
      </c>
      <c r="I67" s="7" t="inlineStr">
        <is>
          <t>Kategórialeírás (természetes említés)</t>
        </is>
      </c>
    </row>
    <row r="68">
      <c r="A68" s="4" t="inlineStr">
        <is>
          <t>Szárítóháló, növényszárító</t>
        </is>
      </c>
      <c r="B68" s="4" t="n">
        <v>5</v>
      </c>
      <c r="C68" s="4" t="inlineStr">
        <is>
          <t>szárító háló</t>
        </is>
      </c>
      <c r="D68" s="4" t="n"/>
      <c r="E68" s="5" t="n">
        <v>70</v>
      </c>
      <c r="F68" s="4" t="inlineStr">
        <is>
          <t>Szoros</t>
        </is>
      </c>
      <c r="G68" s="4" t="inlineStr">
        <is>
          <t>Igen</t>
        </is>
      </c>
      <c r="H68" s="4" t="inlineStr">
        <is>
          <t>1. lépés – szárítás: függő szárítóháló (több szintes), szárítóháló-szűrő</t>
        </is>
      </c>
      <c r="I68" s="4" t="inlineStr">
        <is>
          <t>SEO title / H1 / bevezető (másodlagos)</t>
        </is>
      </c>
    </row>
    <row r="69">
      <c r="A69" s="4" t="inlineStr">
        <is>
          <t>Szárítóháló, növényszárító</t>
        </is>
      </c>
      <c r="B69" s="4" t="n">
        <v>6</v>
      </c>
      <c r="C69" s="4" t="inlineStr">
        <is>
          <t>növényszárító háló</t>
        </is>
      </c>
      <c r="D69" s="4" t="n"/>
      <c r="E69" s="5" t="n">
        <v>70</v>
      </c>
      <c r="F69" s="4" t="inlineStr">
        <is>
          <t>Szoros</t>
        </is>
      </c>
      <c r="G69" s="4" t="inlineStr">
        <is>
          <t>Igen</t>
        </is>
      </c>
      <c r="H69" s="4" t="inlineStr">
        <is>
          <t>1. lépés – szárítás: függő szárítóháló (több szintes), szárítóháló-szűrő</t>
        </is>
      </c>
      <c r="I69" s="4" t="inlineStr">
        <is>
          <t>SEO title / H1 / bevezető (másodlagos)</t>
        </is>
      </c>
    </row>
    <row r="70">
      <c r="A70" s="7" t="inlineStr">
        <is>
          <t>Trimmelő gép, trimmelő tál</t>
        </is>
      </c>
      <c r="B70" s="7" t="n">
        <v>3</v>
      </c>
      <c r="C70" s="7" t="inlineStr">
        <is>
          <t>trimmer gép</t>
        </is>
      </c>
      <c r="D70" s="7" t="n"/>
      <c r="E70" s="8" t="n">
        <v>70</v>
      </c>
      <c r="F70" s="7" t="inlineStr">
        <is>
          <t>Laza</t>
        </is>
      </c>
      <c r="G70" s="7" t="inlineStr">
        <is>
          <t>Igen</t>
        </is>
      </c>
      <c r="H70" s="7" t="inlineStr">
        <is>
          <t>Kézi és motoros trimmelő tál / gép, trimmelő asztal, trimmelő zsák</t>
        </is>
      </c>
      <c r="I70" s="7" t="inlineStr">
        <is>
          <t>SEO title / H1 / bevezető (másodlagos)</t>
        </is>
      </c>
    </row>
    <row r="71">
      <c r="A71" s="4" t="inlineStr">
        <is>
          <t>Vákuumzsák, simítózáras tasak</t>
        </is>
      </c>
      <c r="B71" s="4" t="n">
        <v>12</v>
      </c>
      <c r="C71" s="4" t="inlineStr">
        <is>
          <t>ziplock zacskó</t>
        </is>
      </c>
      <c r="D71" s="4" t="n"/>
      <c r="E71" s="5" t="n">
        <v>70</v>
      </c>
      <c r="F71" s="4" t="inlineStr">
        <is>
          <t>Szoros</t>
        </is>
      </c>
      <c r="G71" s="4" t="inlineStr">
        <is>
          <t>Igen</t>
        </is>
      </c>
      <c r="H71" s="4" t="inlineStr">
        <is>
          <t>Fényálló, vasalható vákuumzsák, simítózáras (ziplock) tasak – szagzáró tárolás</t>
        </is>
      </c>
      <c r="I71" s="4" t="inlineStr">
        <is>
          <t>Kategórialeírás (természetes említés)</t>
        </is>
      </c>
    </row>
    <row r="72">
      <c r="A72" s="4" t="inlineStr">
        <is>
          <t>Vákuumzsák, simítózáras tasak</t>
        </is>
      </c>
      <c r="B72" s="4" t="n">
        <v>13</v>
      </c>
      <c r="C72" s="4" t="inlineStr">
        <is>
          <t>cipzáras tasak</t>
        </is>
      </c>
      <c r="D72" s="4" t="n"/>
      <c r="E72" s="5" t="n">
        <v>70</v>
      </c>
      <c r="F72" s="4" t="inlineStr">
        <is>
          <t>Szoros</t>
        </is>
      </c>
      <c r="G72" s="4" t="inlineStr">
        <is>
          <t>Igen</t>
        </is>
      </c>
      <c r="H72" s="4" t="inlineStr">
        <is>
          <t>Fényálló, vasalható vákuumzsák, simítózáras (ziplock) tasak – szagzáró tárolás</t>
        </is>
      </c>
      <c r="I72" s="4" t="inlineStr">
        <is>
          <t>Kategórialeírás (természetes említés)</t>
        </is>
      </c>
    </row>
    <row r="73">
      <c r="A73" s="12" t="inlineStr">
        <is>
          <t>Vákuumzsák, simítózáras tasak</t>
        </is>
      </c>
      <c r="B73" s="12" t="n">
        <v>14</v>
      </c>
      <c r="C73" s="12" t="inlineStr">
        <is>
          <t>simítózáras tasak rossmann</t>
        </is>
      </c>
      <c r="D73" s="12" t="n"/>
      <c r="E73" s="21" t="n">
        <v>70</v>
      </c>
      <c r="F73" s="12" t="inlineStr">
        <is>
          <t>Nincs (áruházi / nem vásárlási szándék)</t>
        </is>
      </c>
      <c r="G73" s="12" t="inlineStr">
        <is>
          <t>Nem – kizárandó</t>
        </is>
      </c>
      <c r="H73" s="12" t="inlineStr">
        <is>
          <t>Fényálló, vasalható vákuumzsák, simítózáras (ziplock) tasak – szagzáró tárolás</t>
        </is>
      </c>
      <c r="I73" s="12" t="inlineStr">
        <is>
          <t>Nem használni (áruházi/nem vásárlási szándék)</t>
        </is>
      </c>
    </row>
    <row r="74">
      <c r="A74" s="7" t="inlineStr">
        <is>
          <t>Kivonatolás: bubble bag, extraktor</t>
        </is>
      </c>
      <c r="B74" s="7" t="n">
        <v>7</v>
      </c>
      <c r="C74" s="7" t="inlineStr">
        <is>
          <t>tinktúra készítés</t>
        </is>
      </c>
      <c r="D74" s="7" t="n"/>
      <c r="E74" s="8" t="n">
        <v>70</v>
      </c>
      <c r="F74" s="7" t="inlineStr">
        <is>
          <t>Laza</t>
        </is>
      </c>
      <c r="G74" s="7" t="inlineStr">
        <is>
          <t>Igen</t>
        </is>
      </c>
      <c r="H74" s="7" t="inlineStr">
        <is>
          <t>Hideg kivonatolás: bubble bag (jeges kivonatoló zsák), gyantaszitáló extraktor (Secret Box), shaker</t>
        </is>
      </c>
      <c r="I74" s="7" t="inlineStr">
        <is>
          <t>Leírás alsó része, GYIK vagy blog</t>
        </is>
      </c>
    </row>
    <row r="75">
      <c r="A75" s="4" t="inlineStr">
        <is>
          <t>Munkaeszköz: kesztyű, nagyító, grow szemüveg</t>
        </is>
      </c>
      <c r="B75" s="4" t="n">
        <v>17</v>
      </c>
      <c r="C75" s="4" t="inlineStr">
        <is>
          <t>kézi mikroszkóp</t>
        </is>
      </c>
      <c r="D75" s="4" t="n"/>
      <c r="E75" s="5" t="n">
        <v>70</v>
      </c>
      <c r="F75" s="4" t="inlineStr">
        <is>
          <t>Szoros</t>
        </is>
      </c>
      <c r="G75" s="4" t="inlineStr">
        <is>
          <t>Igen</t>
        </is>
      </c>
      <c r="H75" s="4" t="inlineStr">
        <is>
          <t>Feldolgozás közbeni munkaeszköz: nitril / vinyl kesztyű, LED-es nagyító, zsebmikroszkóp (trichóma-vizsgálat), grow / védőszemüveg</t>
        </is>
      </c>
      <c r="I75" s="4" t="inlineStr">
        <is>
          <t>Kategórialeírás (természetes említés)</t>
        </is>
      </c>
    </row>
    <row r="76">
      <c r="A76" s="4" t="inlineStr">
        <is>
          <t>Szárítóháló, növényszárító</t>
        </is>
      </c>
      <c r="B76" s="4" t="n">
        <v>7</v>
      </c>
      <c r="C76" s="4" t="inlineStr">
        <is>
          <t>növényszárító</t>
        </is>
      </c>
      <c r="D76" s="4" t="n"/>
      <c r="E76" s="5" t="n">
        <v>50</v>
      </c>
      <c r="F76" s="4" t="inlineStr">
        <is>
          <t>Szoros</t>
        </is>
      </c>
      <c r="G76" s="4" t="inlineStr">
        <is>
          <t>Igen</t>
        </is>
      </c>
      <c r="H76" s="4" t="inlineStr">
        <is>
          <t>1. lépés – szárítás: függő szárítóháló (több szintes), szárítóháló-szűrő</t>
        </is>
      </c>
      <c r="I76" s="4" t="inlineStr">
        <is>
          <t>SEO title / H1 / bevezető (másodlagos)</t>
        </is>
      </c>
    </row>
    <row r="77">
      <c r="A77" s="4" t="inlineStr">
        <is>
          <t>Szárítóháló, növényszárító</t>
        </is>
      </c>
      <c r="B77" s="4" t="n">
        <v>8</v>
      </c>
      <c r="C77" s="4" t="inlineStr">
        <is>
          <t>gyógynövény szárító</t>
        </is>
      </c>
      <c r="D77" s="4" t="n"/>
      <c r="E77" s="5" t="n">
        <v>50</v>
      </c>
      <c r="F77" s="4" t="inlineStr">
        <is>
          <t>Szoros</t>
        </is>
      </c>
      <c r="G77" s="4" t="inlineStr">
        <is>
          <t>Igen</t>
        </is>
      </c>
      <c r="H77" s="4" t="inlineStr">
        <is>
          <t>1. lépés – szárítás: függő szárítóháló (több szintes), szárítóháló-szűrő</t>
        </is>
      </c>
      <c r="I77" s="4" t="inlineStr">
        <is>
          <t>Kategórialeírás (természetes említés)</t>
        </is>
      </c>
    </row>
    <row r="78">
      <c r="A78" s="7" t="inlineStr">
        <is>
          <t>Szárítóháló, növényszárító</t>
        </is>
      </c>
      <c r="B78" s="7" t="n">
        <v>9</v>
      </c>
      <c r="C78" s="7" t="inlineStr">
        <is>
          <t>fűszer szárító</t>
        </is>
      </c>
      <c r="D78" s="7" t="n"/>
      <c r="E78" s="8" t="n">
        <v>50</v>
      </c>
      <c r="F78" s="7" t="inlineStr">
        <is>
          <t>Laza</t>
        </is>
      </c>
      <c r="G78" s="7" t="inlineStr">
        <is>
          <t>Igen</t>
        </is>
      </c>
      <c r="H78" s="7" t="inlineStr">
        <is>
          <t>1. lépés – szárítás: függő szárítóháló (több szintes), szárítóháló-szűrő</t>
        </is>
      </c>
      <c r="I78" s="7" t="inlineStr">
        <is>
          <t>Kategórialeírás (természetes említés)</t>
        </is>
      </c>
    </row>
    <row r="79">
      <c r="A79" s="7" t="inlineStr">
        <is>
          <t>Szárítóháló, növényszárító</t>
        </is>
      </c>
      <c r="B79" s="7" t="n">
        <v>10</v>
      </c>
      <c r="C79" s="7" t="inlineStr">
        <is>
          <t>fűszernövény szárítás</t>
        </is>
      </c>
      <c r="D79" s="7" t="n"/>
      <c r="E79" s="8" t="n">
        <v>50</v>
      </c>
      <c r="F79" s="7" t="inlineStr">
        <is>
          <t>Laza</t>
        </is>
      </c>
      <c r="G79" s="7" t="inlineStr">
        <is>
          <t>Igen</t>
        </is>
      </c>
      <c r="H79" s="7" t="inlineStr">
        <is>
          <t>1. lépés – szárítás: függő szárítóháló (több szintes), szárítóháló-szűrő</t>
        </is>
      </c>
      <c r="I79" s="7" t="inlineStr">
        <is>
          <t>Leírás alsó része, GYIK vagy blog</t>
        </is>
      </c>
    </row>
    <row r="80">
      <c r="A80" s="7" t="inlineStr">
        <is>
          <t>Szárítóháló, növényszárító</t>
        </is>
      </c>
      <c r="B80" s="7" t="n">
        <v>11</v>
      </c>
      <c r="C80" s="7" t="inlineStr">
        <is>
          <t>fűszer szárítás</t>
        </is>
      </c>
      <c r="D80" s="7" t="n"/>
      <c r="E80" s="8" t="n">
        <v>50</v>
      </c>
      <c r="F80" s="7" t="inlineStr">
        <is>
          <t>Laza</t>
        </is>
      </c>
      <c r="G80" s="7" t="inlineStr">
        <is>
          <t>Igen</t>
        </is>
      </c>
      <c r="H80" s="7" t="inlineStr">
        <is>
          <t>1. lépés – szárítás: függő szárítóháló (több szintes), szárítóháló-szűrő</t>
        </is>
      </c>
      <c r="I80" s="7" t="inlineStr">
        <is>
          <t>Leírás alsó része, GYIK vagy blog</t>
        </is>
      </c>
    </row>
    <row r="81">
      <c r="A81" s="7" t="inlineStr">
        <is>
          <t>Szárítóháló, növényszárító</t>
        </is>
      </c>
      <c r="B81" s="7" t="n">
        <v>12</v>
      </c>
      <c r="C81" s="7" t="inlineStr">
        <is>
          <t>gomba szárítása</t>
        </is>
      </c>
      <c r="D81" s="7" t="n"/>
      <c r="E81" s="8" t="n">
        <v>50</v>
      </c>
      <c r="F81" s="7" t="inlineStr">
        <is>
          <t>Laza</t>
        </is>
      </c>
      <c r="G81" s="7" t="inlineStr">
        <is>
          <t>Igen</t>
        </is>
      </c>
      <c r="H81" s="7" t="inlineStr">
        <is>
          <t>1. lépés – szárítás: függő szárítóháló (több szintes), szárítóháló-szűrő</t>
        </is>
      </c>
      <c r="I81" s="7" t="inlineStr">
        <is>
          <t>Leírás alsó része, GYIK vagy blog</t>
        </is>
      </c>
    </row>
    <row r="82">
      <c r="A82" s="4" t="inlineStr">
        <is>
          <t>Vákuumzsák, simítózáras tasak</t>
        </is>
      </c>
      <c r="B82" s="4" t="n">
        <v>15</v>
      </c>
      <c r="C82" s="4" t="inlineStr">
        <is>
          <t>mylar zacskó</t>
        </is>
      </c>
      <c r="D82" s="4" t="n"/>
      <c r="E82" s="5" t="n">
        <v>50</v>
      </c>
      <c r="F82" s="4" t="inlineStr">
        <is>
          <t>Szoros</t>
        </is>
      </c>
      <c r="G82" s="4" t="inlineStr">
        <is>
          <t>Igen</t>
        </is>
      </c>
      <c r="H82" s="4" t="inlineStr">
        <is>
          <t>Fényálló, vasalható vákuumzsák, simítózáras (ziplock) tasak – szagzáró tárolás</t>
        </is>
      </c>
      <c r="I82" s="4" t="inlineStr">
        <is>
          <t>Kategórialeírás (természetes említés)</t>
        </is>
      </c>
    </row>
    <row r="83">
      <c r="A83" s="4" t="inlineStr">
        <is>
          <t>Vákuumzsák, simítózáras tasak</t>
        </is>
      </c>
      <c r="B83" s="4" t="n">
        <v>16</v>
      </c>
      <c r="C83" s="4" t="inlineStr">
        <is>
          <t>vákuumozható zsák</t>
        </is>
      </c>
      <c r="D83" s="4" t="n"/>
      <c r="E83" s="5" t="n">
        <v>50</v>
      </c>
      <c r="F83" s="4" t="inlineStr">
        <is>
          <t>Szoros</t>
        </is>
      </c>
      <c r="G83" s="4" t="inlineStr">
        <is>
          <t>Igen</t>
        </is>
      </c>
      <c r="H83" s="4" t="inlineStr">
        <is>
          <t>Fényálló, vasalható vákuumzsák, simítózáras (ziplock) tasak – szagzáró tárolás</t>
        </is>
      </c>
      <c r="I83" s="4" t="inlineStr">
        <is>
          <t>Kategórialeírás (természetes említés)</t>
        </is>
      </c>
    </row>
    <row r="84">
      <c r="A84" s="4" t="inlineStr">
        <is>
          <t>Vákuumzsák, simítózáras tasak</t>
        </is>
      </c>
      <c r="B84" s="4" t="n">
        <v>17</v>
      </c>
      <c r="C84" s="4" t="inlineStr">
        <is>
          <t>simitózáras tasak</t>
        </is>
      </c>
      <c r="D84" s="4" t="n"/>
      <c r="E84" s="5" t="n">
        <v>50</v>
      </c>
      <c r="F84" s="4" t="inlineStr">
        <is>
          <t>Szoros</t>
        </is>
      </c>
      <c r="G84" s="4" t="inlineStr">
        <is>
          <t>Igen</t>
        </is>
      </c>
      <c r="H84" s="4" t="inlineStr">
        <is>
          <t>Fényálló, vasalható vákuumzsák, simítózáras (ziplock) tasak – szagzáró tárolás</t>
        </is>
      </c>
      <c r="I84" s="4" t="inlineStr">
        <is>
          <t>Kategórialeírás (természetes említés)</t>
        </is>
      </c>
    </row>
    <row r="85">
      <c r="A85" s="4" t="inlineStr">
        <is>
          <t>Vákuumzsák, simítózáras tasak</t>
        </is>
      </c>
      <c r="B85" s="4" t="n">
        <v>18</v>
      </c>
      <c r="C85" s="4" t="inlineStr">
        <is>
          <t>simitozaras tasak</t>
        </is>
      </c>
      <c r="D85" s="4" t="n"/>
      <c r="E85" s="5" t="n">
        <v>50</v>
      </c>
      <c r="F85" s="4" t="inlineStr">
        <is>
          <t>Szoros</t>
        </is>
      </c>
      <c r="G85" s="4" t="inlineStr">
        <is>
          <t>Igen</t>
        </is>
      </c>
      <c r="H85" s="4" t="inlineStr">
        <is>
          <t>Fényálló, vasalható vákuumzsák, simítózáras (ziplock) tasak – szagzáró tárolás</t>
        </is>
      </c>
      <c r="I85" s="4" t="inlineStr">
        <is>
          <t>Kategórialeírás (természetes említés)</t>
        </is>
      </c>
    </row>
    <row r="86">
      <c r="A86" s="4" t="inlineStr">
        <is>
          <t>Vákuumzsák, simítózáras tasak</t>
        </is>
      </c>
      <c r="B86" s="4" t="n">
        <v>19</v>
      </c>
      <c r="C86" s="4" t="inlineStr">
        <is>
          <t>talpas simítózáras tasak</t>
        </is>
      </c>
      <c r="D86" s="4" t="n"/>
      <c r="E86" s="5" t="n">
        <v>50</v>
      </c>
      <c r="F86" s="4" t="inlineStr">
        <is>
          <t>Szoros</t>
        </is>
      </c>
      <c r="G86" s="4" t="inlineStr">
        <is>
          <t>Igen</t>
        </is>
      </c>
      <c r="H86" s="4" t="inlineStr">
        <is>
          <t>Fényálló, vasalható vákuumzsák, simítózáras (ziplock) tasak – szagzáró tárolás</t>
        </is>
      </c>
      <c r="I86" s="4" t="inlineStr">
        <is>
          <t>Kategórialeírás (természetes említés)</t>
        </is>
      </c>
    </row>
    <row r="87">
      <c r="A87" s="4" t="inlineStr">
        <is>
          <t>Digitális mérleg, zsebmérleg</t>
        </is>
      </c>
      <c r="B87" s="4" t="n">
        <v>12</v>
      </c>
      <c r="C87" s="4" t="inlineStr">
        <is>
          <t>digitális gramm mérleg</t>
        </is>
      </c>
      <c r="D87" s="4" t="n"/>
      <c r="E87" s="5" t="n">
        <v>50</v>
      </c>
      <c r="F87" s="4" t="inlineStr">
        <is>
          <t>Szoros</t>
        </is>
      </c>
      <c r="G87" s="4" t="inlineStr">
        <is>
          <t>Igen</t>
        </is>
      </c>
      <c r="H87" s="4" t="inlineStr">
        <is>
          <t>Digitális zseb- és precíziós mérleg (0,01 / 0,001 g), kalibráló súly</t>
        </is>
      </c>
      <c r="I87" s="4" t="inlineStr">
        <is>
          <t>Kategórialeírás (természetes említés)</t>
        </is>
      </c>
    </row>
    <row r="88">
      <c r="A88" s="4" t="inlineStr">
        <is>
          <t>Digitális mérleg, zsebmérleg</t>
        </is>
      </c>
      <c r="B88" s="4" t="n">
        <v>13</v>
      </c>
      <c r="C88" s="4" t="inlineStr">
        <is>
          <t>mérleg grammos</t>
        </is>
      </c>
      <c r="D88" s="4" t="n"/>
      <c r="E88" s="5" t="n">
        <v>50</v>
      </c>
      <c r="F88" s="4" t="inlineStr">
        <is>
          <t>Szoros</t>
        </is>
      </c>
      <c r="G88" s="4" t="inlineStr">
        <is>
          <t>Igen</t>
        </is>
      </c>
      <c r="H88" s="4" t="inlineStr">
        <is>
          <t>Digitális zseb- és precíziós mérleg (0,01 / 0,001 g), kalibráló súly</t>
        </is>
      </c>
      <c r="I88" s="4" t="inlineStr">
        <is>
          <t>Kategórialeírás (természetes említés)</t>
        </is>
      </c>
    </row>
    <row r="89">
      <c r="A89" s="4" t="inlineStr">
        <is>
          <t>Digitális mérleg, zsebmérleg</t>
        </is>
      </c>
      <c r="B89" s="4" t="n">
        <v>14</v>
      </c>
      <c r="C89" s="4" t="inlineStr">
        <is>
          <t>mini mérleg</t>
        </is>
      </c>
      <c r="D89" s="4" t="n"/>
      <c r="E89" s="5" t="n">
        <v>50</v>
      </c>
      <c r="F89" s="4" t="inlineStr">
        <is>
          <t>Szoros</t>
        </is>
      </c>
      <c r="G89" s="4" t="inlineStr">
        <is>
          <t>Igen</t>
        </is>
      </c>
      <c r="H89" s="4" t="inlineStr">
        <is>
          <t>Digitális zseb- és precíziós mérleg (0,01 / 0,001 g), kalibráló súly</t>
        </is>
      </c>
      <c r="I89" s="4" t="inlineStr">
        <is>
          <t>Kategórialeírás (természetes említés)</t>
        </is>
      </c>
    </row>
    <row r="90">
      <c r="A90" s="4" t="inlineStr">
        <is>
          <t>Digitális mérleg, zsebmérleg</t>
        </is>
      </c>
      <c r="B90" s="4" t="n">
        <v>15</v>
      </c>
      <c r="C90" s="4" t="inlineStr">
        <is>
          <t>kis mérleg</t>
        </is>
      </c>
      <c r="D90" s="4" t="n"/>
      <c r="E90" s="5" t="n">
        <v>50</v>
      </c>
      <c r="F90" s="4" t="inlineStr">
        <is>
          <t>Szoros</t>
        </is>
      </c>
      <c r="G90" s="4" t="inlineStr">
        <is>
          <t>Igen</t>
        </is>
      </c>
      <c r="H90" s="4" t="inlineStr">
        <is>
          <t>Digitális zseb- és precíziós mérleg (0,01 / 0,001 g), kalibráló súly</t>
        </is>
      </c>
      <c r="I90" s="4" t="inlineStr">
        <is>
          <t>Kategórialeírás (természetes említés)</t>
        </is>
      </c>
    </row>
    <row r="91">
      <c r="A91" s="7" t="inlineStr">
        <is>
          <t>Munkaeszköz: kesztyű, nagyító, grow szemüveg</t>
        </is>
      </c>
      <c r="B91" s="7" t="n">
        <v>18</v>
      </c>
      <c r="C91" s="7" t="inlineStr">
        <is>
          <t>púdermentes nitril kesztyű</t>
        </is>
      </c>
      <c r="D91" s="7" t="n"/>
      <c r="E91" s="8" t="n">
        <v>50</v>
      </c>
      <c r="F91" s="7" t="inlineStr">
        <is>
          <t>Laza</t>
        </is>
      </c>
      <c r="G91" s="7" t="inlineStr">
        <is>
          <t>Igen</t>
        </is>
      </c>
      <c r="H91" s="7" t="inlineStr">
        <is>
          <t>Feldolgozás közbeni munkaeszköz: nitril / vinyl kesztyű, LED-es nagyító, zsebmikroszkóp (trichóma-vizsgálat), grow / védőszemüveg</t>
        </is>
      </c>
      <c r="I91" s="7" t="inlineStr">
        <is>
          <t>Kategórialeírás (természetes említés)</t>
        </is>
      </c>
    </row>
    <row r="92">
      <c r="A92" s="4" t="inlineStr">
        <is>
          <t>Munkaeszköz: kesztyű, nagyító, grow szemüveg</t>
        </is>
      </c>
      <c r="B92" s="4" t="n">
        <v>19</v>
      </c>
      <c r="C92" s="4" t="inlineStr">
        <is>
          <t>mini mikroszkóp</t>
        </is>
      </c>
      <c r="D92" s="4" t="n"/>
      <c r="E92" s="5" t="n">
        <v>50</v>
      </c>
      <c r="F92" s="4" t="inlineStr">
        <is>
          <t>Szoros</t>
        </is>
      </c>
      <c r="G92" s="4" t="inlineStr">
        <is>
          <t>Igen</t>
        </is>
      </c>
      <c r="H92" s="4" t="inlineStr">
        <is>
          <t>Feldolgozás közbeni munkaeszköz: nitril / vinyl kesztyű, LED-es nagyító, zsebmikroszkóp (trichóma-vizsgálat), grow / védőszemüveg</t>
        </is>
      </c>
      <c r="I92" s="4" t="inlineStr">
        <is>
          <t>Kategórialeírás (természetes említés)</t>
        </is>
      </c>
    </row>
    <row r="93">
      <c r="A93" s="7" t="inlineStr">
        <is>
          <t>Munkaeszköz: kesztyű, nagyító, grow szemüveg</t>
        </is>
      </c>
      <c r="B93" s="7" t="n">
        <v>20</v>
      </c>
      <c r="C93" s="7" t="inlineStr">
        <is>
          <t>világítós nagyító</t>
        </is>
      </c>
      <c r="D93" s="7" t="n"/>
      <c r="E93" s="8" t="n">
        <v>50</v>
      </c>
      <c r="F93" s="7" t="inlineStr">
        <is>
          <t>Laza</t>
        </is>
      </c>
      <c r="G93" s="7" t="inlineStr">
        <is>
          <t>Igen</t>
        </is>
      </c>
      <c r="H93" s="7" t="inlineStr">
        <is>
          <t>Feldolgozás közbeni munkaeszköz: nitril / vinyl kesztyű, LED-es nagyító, zsebmikroszkóp (trichóma-vizsgálat), grow / védőszemüveg</t>
        </is>
      </c>
      <c r="I93" s="7" t="inlineStr">
        <is>
          <t>Kategórialeírás (természetes említés)</t>
        </is>
      </c>
    </row>
    <row r="94">
      <c r="A94" s="7" t="inlineStr">
        <is>
          <t>Munkaeszköz: kesztyű, nagyító, grow szemüveg</t>
        </is>
      </c>
      <c r="B94" s="7" t="n">
        <v>21</v>
      </c>
      <c r="C94" s="7" t="inlineStr">
        <is>
          <t>nagyító szemüveg led világítással</t>
        </is>
      </c>
      <c r="D94" s="7" t="n"/>
      <c r="E94" s="8" t="n">
        <v>50</v>
      </c>
      <c r="F94" s="7" t="inlineStr">
        <is>
          <t>Laza</t>
        </is>
      </c>
      <c r="G94" s="7" t="inlineStr">
        <is>
          <t>Igen</t>
        </is>
      </c>
      <c r="H94" s="7" t="inlineStr">
        <is>
          <t>Feldolgozás közbeni munkaeszköz: nitril / vinyl kesztyű, LED-es nagyító, zsebmikroszkóp (trichóma-vizsgálat), grow / védőszemüveg</t>
        </is>
      </c>
      <c r="I94" s="7" t="inlineStr">
        <is>
          <t>Kategórialeírás (természetes említés)</t>
        </is>
      </c>
    </row>
    <row r="95">
      <c r="A95" s="7" t="inlineStr">
        <is>
          <t>Szárítóháló, növényszárító</t>
        </is>
      </c>
      <c r="B95" s="7" t="n">
        <v>13</v>
      </c>
      <c r="C95" s="7" t="inlineStr">
        <is>
          <t>fűszernövények szárítása</t>
        </is>
      </c>
      <c r="D95" s="7" t="n"/>
      <c r="E95" s="8" t="n">
        <v>40</v>
      </c>
      <c r="F95" s="7" t="inlineStr">
        <is>
          <t>Laza</t>
        </is>
      </c>
      <c r="G95" s="7" t="inlineStr">
        <is>
          <t>Igen</t>
        </is>
      </c>
      <c r="H95" s="7" t="inlineStr">
        <is>
          <t>1. lépés – szárítás: függő szárítóháló (több szintes), szárítóháló-szűrő</t>
        </is>
      </c>
      <c r="I95" s="7" t="inlineStr">
        <is>
          <t>Leírás alsó része, GYIK vagy blog</t>
        </is>
      </c>
    </row>
    <row r="96">
      <c r="A96" s="7" t="inlineStr">
        <is>
          <t>Trimmelő olló</t>
        </is>
      </c>
      <c r="B96" s="7" t="n">
        <v>9</v>
      </c>
      <c r="C96" s="7" t="inlineStr">
        <is>
          <t>kézi metszőolló</t>
        </is>
      </c>
      <c r="D96" s="7" t="n"/>
      <c r="E96" s="8" t="n">
        <v>40</v>
      </c>
      <c r="F96" s="7" t="inlineStr">
        <is>
          <t>Laza</t>
        </is>
      </c>
      <c r="G96" s="7" t="inlineStr">
        <is>
          <t>Igen</t>
        </is>
      </c>
      <c r="H96" s="7" t="inlineStr">
        <is>
          <t>Kézi trimmelő olló (egyenes / ívelt, rugós, Saboten, AC Infinity), ollóélező</t>
        </is>
      </c>
      <c r="I96" s="7" t="inlineStr">
        <is>
          <t>Kategórialeírás (természetes említés)</t>
        </is>
      </c>
    </row>
    <row r="97">
      <c r="A97" s="7" t="inlineStr">
        <is>
          <t>Trimmelő olló</t>
        </is>
      </c>
      <c r="B97" s="7" t="n">
        <v>10</v>
      </c>
      <c r="C97" s="7" t="inlineStr">
        <is>
          <t>olló élezése</t>
        </is>
      </c>
      <c r="D97" s="7" t="n"/>
      <c r="E97" s="8" t="n">
        <v>40</v>
      </c>
      <c r="F97" s="7" t="inlineStr">
        <is>
          <t>Laza</t>
        </is>
      </c>
      <c r="G97" s="7" t="inlineStr">
        <is>
          <t>Igen</t>
        </is>
      </c>
      <c r="H97" s="7" t="inlineStr">
        <is>
          <t>Kézi trimmelő olló (egyenes / ívelt, rugós, Saboten, AC Infinity), ollóélező</t>
        </is>
      </c>
      <c r="I97" s="7" t="inlineStr">
        <is>
          <t>Leírás alsó része, GYIK vagy blog</t>
        </is>
      </c>
    </row>
    <row r="98">
      <c r="A98" s="4" t="inlineStr">
        <is>
          <t>Vákuumzsák, simítózáras tasak</t>
        </is>
      </c>
      <c r="B98" s="4" t="n">
        <v>20</v>
      </c>
      <c r="C98" s="4" t="inlineStr">
        <is>
          <t>vakuum zsak</t>
        </is>
      </c>
      <c r="D98" s="4" t="n"/>
      <c r="E98" s="5" t="n">
        <v>40</v>
      </c>
      <c r="F98" s="4" t="inlineStr">
        <is>
          <t>Szoros</t>
        </is>
      </c>
      <c r="G98" s="4" t="inlineStr">
        <is>
          <t>Igen</t>
        </is>
      </c>
      <c r="H98" s="4" t="inlineStr">
        <is>
          <t>Fényálló, vasalható vákuumzsák, simítózáras (ziplock) tasak – szagzáró tárolás</t>
        </is>
      </c>
      <c r="I98" s="4" t="inlineStr">
        <is>
          <t>Kategórialeírás (természetes említés)</t>
        </is>
      </c>
    </row>
    <row r="99">
      <c r="A99" s="7" t="inlineStr">
        <is>
          <t>Kivonatolás: bubble bag, extraktor</t>
        </is>
      </c>
      <c r="B99" s="7" t="n">
        <v>8</v>
      </c>
      <c r="C99" s="7" t="inlineStr">
        <is>
          <t>tinktúra készítése házilag</t>
        </is>
      </c>
      <c r="D99" s="7" t="n"/>
      <c r="E99" s="8" t="n">
        <v>40</v>
      </c>
      <c r="F99" s="7" t="inlineStr">
        <is>
          <t>Laza</t>
        </is>
      </c>
      <c r="G99" s="7" t="inlineStr">
        <is>
          <t>Igen</t>
        </is>
      </c>
      <c r="H99" s="7" t="inlineStr">
        <is>
          <t>Hideg kivonatolás: bubble bag (jeges kivonatoló zsák), gyantaszitáló extraktor (Secret Box), shaker</t>
        </is>
      </c>
      <c r="I99" s="7" t="inlineStr">
        <is>
          <t>Leírás alsó része, GYIK vagy blog</t>
        </is>
      </c>
    </row>
    <row r="100">
      <c r="A100" s="4" t="inlineStr">
        <is>
          <t>Digitális mérleg, zsebmérleg</t>
        </is>
      </c>
      <c r="B100" s="4" t="n">
        <v>16</v>
      </c>
      <c r="C100" s="4" t="inlineStr">
        <is>
          <t>0.01 g mérleg</t>
        </is>
      </c>
      <c r="D100" s="4" t="n"/>
      <c r="E100" s="5" t="n">
        <v>40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Digitális zseb- és precíziós mérleg (0,01 / 0,001 g), kalibráló súly</t>
        </is>
      </c>
      <c r="I100" s="4" t="inlineStr">
        <is>
          <t>Kategórialeírás (természetes említés)</t>
        </is>
      </c>
    </row>
    <row r="101">
      <c r="A101" s="4" t="inlineStr">
        <is>
          <t>Digitális mérleg, zsebmérleg</t>
        </is>
      </c>
      <c r="B101" s="4" t="n">
        <v>17</v>
      </c>
      <c r="C101" s="4" t="inlineStr">
        <is>
          <t>precíziós mérleg 0 01g</t>
        </is>
      </c>
      <c r="D101" s="4" t="n"/>
      <c r="E101" s="5" t="n">
        <v>40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Digitális zseb- és precíziós mérleg (0,01 / 0,001 g), kalibráló súly</t>
        </is>
      </c>
      <c r="I101" s="4" t="inlineStr">
        <is>
          <t>Kategórialeírás (természetes említés)</t>
        </is>
      </c>
    </row>
    <row r="102">
      <c r="A102" s="4" t="inlineStr">
        <is>
          <t>Digitális mérleg, zsebmérleg</t>
        </is>
      </c>
      <c r="B102" s="4" t="n">
        <v>18</v>
      </c>
      <c r="C102" s="4" t="inlineStr">
        <is>
          <t>precizios merleg</t>
        </is>
      </c>
      <c r="D102" s="4" t="n"/>
      <c r="E102" s="5" t="n">
        <v>40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Digitális zseb- és precíziós mérleg (0,01 / 0,001 g), kalibráló súly</t>
        </is>
      </c>
      <c r="I102" s="4" t="inlineStr">
        <is>
          <t>Kategórialeírás (természetes említés)</t>
        </is>
      </c>
    </row>
    <row r="103">
      <c r="A103" s="4" t="inlineStr">
        <is>
          <t>Digitális mérleg, zsebmérleg</t>
        </is>
      </c>
      <c r="B103" s="4" t="n">
        <v>19</v>
      </c>
      <c r="C103" s="4" t="inlineStr">
        <is>
          <t>mérleg kalibrálás</t>
        </is>
      </c>
      <c r="D103" s="4" t="n"/>
      <c r="E103" s="5" t="n">
        <v>40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Digitális zseb- és precíziós mérleg (0,01 / 0,001 g), kalibráló súly</t>
        </is>
      </c>
      <c r="I103" s="4" t="inlineStr">
        <is>
          <t>Leírás alsó része, GYIK vagy blog</t>
        </is>
      </c>
    </row>
    <row r="104">
      <c r="A104" s="7" t="inlineStr">
        <is>
          <t>Munkaeszköz: kesztyű, nagyító, grow szemüveg</t>
        </is>
      </c>
      <c r="B104" s="7" t="n">
        <v>22</v>
      </c>
      <c r="C104" s="7" t="inlineStr">
        <is>
          <t>zsebnagyító</t>
        </is>
      </c>
      <c r="D104" s="7" t="n"/>
      <c r="E104" s="8" t="n">
        <v>40</v>
      </c>
      <c r="F104" s="7" t="inlineStr">
        <is>
          <t>Laza</t>
        </is>
      </c>
      <c r="G104" s="7" t="inlineStr">
        <is>
          <t>Igen</t>
        </is>
      </c>
      <c r="H104" s="7" t="inlineStr">
        <is>
          <t>Feldolgozás közbeni munkaeszköz: nitril / vinyl kesztyű, LED-es nagyító, zsebmikroszkóp (trichóma-vizsgálat), grow / védőszemüveg</t>
        </is>
      </c>
      <c r="I104" s="7" t="inlineStr">
        <is>
          <t>Kategórialeírás (természetes említés)</t>
        </is>
      </c>
    </row>
    <row r="105">
      <c r="A105" s="7" t="inlineStr">
        <is>
          <t>Munkaeszköz: kesztyű, nagyító, grow szemüveg</t>
        </is>
      </c>
      <c r="B105" s="7" t="n">
        <v>23</v>
      </c>
      <c r="C105" s="7" t="inlineStr">
        <is>
          <t>led szemüveg</t>
        </is>
      </c>
      <c r="D105" s="7" t="n"/>
      <c r="E105" s="8" t="n">
        <v>40</v>
      </c>
      <c r="F105" s="7" t="inlineStr">
        <is>
          <t>Laza</t>
        </is>
      </c>
      <c r="G105" s="7" t="inlineStr">
        <is>
          <t>Igen</t>
        </is>
      </c>
      <c r="H105" s="7" t="inlineStr">
        <is>
          <t>Feldolgozás közbeni munkaeszköz: nitril / vinyl kesztyű, LED-es nagyító, zsebmikroszkóp (trichóma-vizsgálat), grow / védőszemüveg</t>
        </is>
      </c>
      <c r="I105" s="7" t="inlineStr">
        <is>
          <t>Kategórialeírás (természetes említés)</t>
        </is>
      </c>
    </row>
    <row r="106">
      <c r="A106" s="4" t="inlineStr">
        <is>
          <t>Trimmelő olló</t>
        </is>
      </c>
      <c r="B106" s="4" t="n">
        <v>1</v>
      </c>
      <c r="C106" s="4" t="inlineStr">
        <is>
          <t>trimmelő olló</t>
        </is>
      </c>
      <c r="D106" s="4" t="n"/>
      <c r="E106" s="5" t="n">
        <v>30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Kézi trimmelő olló (egyenes / ívelt, rugós, Saboten, AC Infinity), ollóélező</t>
        </is>
      </c>
      <c r="I106" s="4" t="inlineStr">
        <is>
          <t>Kategórianév + H1 + SEO title (fő kulcsszó)</t>
        </is>
      </c>
    </row>
    <row r="107">
      <c r="A107" s="7" t="inlineStr">
        <is>
          <t>Trimmelő gép, trimmelő tál</t>
        </is>
      </c>
      <c r="B107" s="7" t="n">
        <v>4</v>
      </c>
      <c r="C107" s="7" t="inlineStr">
        <is>
          <t>trimmelők gep</t>
        </is>
      </c>
      <c r="D107" s="7" t="n"/>
      <c r="E107" s="8" t="n">
        <v>30</v>
      </c>
      <c r="F107" s="7" t="inlineStr">
        <is>
          <t>Laza</t>
        </is>
      </c>
      <c r="G107" s="7" t="inlineStr">
        <is>
          <t>Igen</t>
        </is>
      </c>
      <c r="H107" s="7" t="inlineStr">
        <is>
          <t>Kézi és motoros trimmelő tál / gép, trimmelő asztal, trimmelő zsák</t>
        </is>
      </c>
      <c r="I107" s="7" t="inlineStr">
        <is>
          <t>Kategórialeírás (természetes említés)</t>
        </is>
      </c>
    </row>
    <row r="108">
      <c r="A108" s="4" t="inlineStr">
        <is>
          <t>Vákuumzsák, simítózáras tasak</t>
        </is>
      </c>
      <c r="B108" s="4" t="n">
        <v>21</v>
      </c>
      <c r="C108" s="4" t="inlineStr">
        <is>
          <t>simítózáras műanyag tasak</t>
        </is>
      </c>
      <c r="D108" s="4" t="n"/>
      <c r="E108" s="5" t="n">
        <v>30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Fényálló, vasalható vákuumzsák, simítózáras (ziplock) tasak – szagzáró tárolás</t>
        </is>
      </c>
      <c r="I108" s="4" t="inlineStr">
        <is>
          <t>Kategórialeírás (természetes említés)</t>
        </is>
      </c>
    </row>
    <row r="109">
      <c r="A109" s="7" t="inlineStr">
        <is>
          <t>Vákuumzsák, simítózáras tasak</t>
        </is>
      </c>
      <c r="B109" s="7" t="n">
        <v>22</v>
      </c>
      <c r="C109" s="7" t="inlineStr">
        <is>
          <t>vákuum tároló zsák</t>
        </is>
      </c>
      <c r="D109" s="7" t="n"/>
      <c r="E109" s="8" t="n">
        <v>30</v>
      </c>
      <c r="F109" s="7" t="inlineStr">
        <is>
          <t>Laza</t>
        </is>
      </c>
      <c r="G109" s="7" t="inlineStr">
        <is>
          <t>Igen</t>
        </is>
      </c>
      <c r="H109" s="7" t="inlineStr">
        <is>
          <t>Fényálló, vasalható vákuumzsák, simítózáras (ziplock) tasak – szagzáró tárolás</t>
        </is>
      </c>
      <c r="I109" s="7" t="inlineStr">
        <is>
          <t>Kategórialeírás (természetes említés)</t>
        </is>
      </c>
    </row>
    <row r="110">
      <c r="A110" s="7" t="inlineStr">
        <is>
          <t>Digitális mérleg, zsebmérleg</t>
        </is>
      </c>
      <c r="B110" s="7" t="n">
        <v>20</v>
      </c>
      <c r="C110" s="7" t="inlineStr">
        <is>
          <t>aranymérleg</t>
        </is>
      </c>
      <c r="D110" s="7" t="n"/>
      <c r="E110" s="8" t="n">
        <v>30</v>
      </c>
      <c r="F110" s="7" t="inlineStr">
        <is>
          <t>Laza</t>
        </is>
      </c>
      <c r="G110" s="7" t="inlineStr">
        <is>
          <t>Igen</t>
        </is>
      </c>
      <c r="H110" s="7" t="inlineStr">
        <is>
          <t>Digitális zseb- és precíziós mérleg (0,01 / 0,001 g), kalibráló súly</t>
        </is>
      </c>
      <c r="I110" s="7" t="inlineStr">
        <is>
          <t>Kategórialeírás (természetes említés)</t>
        </is>
      </c>
    </row>
    <row r="111">
      <c r="A111" s="12" t="inlineStr">
        <is>
          <t>Digitális mérleg, zsebmérleg</t>
        </is>
      </c>
      <c r="B111" s="12" t="n">
        <v>21</v>
      </c>
      <c r="C111" s="12" t="inlineStr">
        <is>
          <t>tesco ékszermérleg</t>
        </is>
      </c>
      <c r="D111" s="12" t="n"/>
      <c r="E111" s="21" t="n">
        <v>30</v>
      </c>
      <c r="F111" s="12" t="inlineStr">
        <is>
          <t>Nincs (áruházi / nem vásárlási szándék)</t>
        </is>
      </c>
      <c r="G111" s="12" t="inlineStr">
        <is>
          <t>Nem – kizárandó</t>
        </is>
      </c>
      <c r="H111" s="12" t="inlineStr">
        <is>
          <t>Digitális zseb- és precíziós mérleg (0,01 / 0,001 g), kalibráló súly</t>
        </is>
      </c>
      <c r="I111" s="12" t="inlineStr">
        <is>
          <t>Nem használni (áruházi/nem vásárlási szándék)</t>
        </is>
      </c>
    </row>
    <row r="112">
      <c r="A112" s="7" t="inlineStr">
        <is>
          <t>Szárítóháló, növényszárító</t>
        </is>
      </c>
      <c r="B112" s="7" t="n">
        <v>14</v>
      </c>
      <c r="C112" s="7" t="inlineStr">
        <is>
          <t>gyógynövény szárítása</t>
        </is>
      </c>
      <c r="D112" s="7" t="n"/>
      <c r="E112" s="8" t="n">
        <v>20</v>
      </c>
      <c r="F112" s="7" t="inlineStr">
        <is>
          <t>Laza</t>
        </is>
      </c>
      <c r="G112" s="7" t="inlineStr">
        <is>
          <t>Igen</t>
        </is>
      </c>
      <c r="H112" s="7" t="inlineStr">
        <is>
          <t>1. lépés – szárítás: függő szárítóháló (több szintes), szárítóháló-szűrő</t>
        </is>
      </c>
      <c r="I112" s="7" t="inlineStr">
        <is>
          <t>Leírás alsó része, GYIK vagy blog</t>
        </is>
      </c>
    </row>
    <row r="113">
      <c r="A113" s="7" t="inlineStr">
        <is>
          <t>Trimmelő olló</t>
        </is>
      </c>
      <c r="B113" s="7" t="n">
        <v>11</v>
      </c>
      <c r="C113" s="7" t="inlineStr">
        <is>
          <t>bonsai metszőolló</t>
        </is>
      </c>
      <c r="D113" s="7" t="n"/>
      <c r="E113" s="8" t="n">
        <v>20</v>
      </c>
      <c r="F113" s="7" t="inlineStr">
        <is>
          <t>Laza</t>
        </is>
      </c>
      <c r="G113" s="7" t="inlineStr">
        <is>
          <t>Igen</t>
        </is>
      </c>
      <c r="H113" s="7" t="inlineStr">
        <is>
          <t>Kézi trimmelő olló (egyenes / ívelt, rugós, Saboten, AC Infinity), ollóélező</t>
        </is>
      </c>
      <c r="I113" s="7" t="inlineStr">
        <is>
          <t>Kategórialeírás (természetes említés)</t>
        </is>
      </c>
    </row>
    <row r="114">
      <c r="A114" s="7" t="inlineStr">
        <is>
          <t>Trimmelő olló</t>
        </is>
      </c>
      <c r="B114" s="7" t="n">
        <v>12</v>
      </c>
      <c r="C114" s="7" t="inlineStr">
        <is>
          <t>metszőolló tisztítása</t>
        </is>
      </c>
      <c r="D114" s="7" t="n"/>
      <c r="E114" s="8" t="n">
        <v>20</v>
      </c>
      <c r="F114" s="7" t="inlineStr">
        <is>
          <t>Laza</t>
        </is>
      </c>
      <c r="G114" s="7" t="inlineStr">
        <is>
          <t>Igen</t>
        </is>
      </c>
      <c r="H114" s="7" t="inlineStr">
        <is>
          <t>Kézi trimmelő olló (egyenes / ívelt, rugós, Saboten, AC Infinity), ollóélező</t>
        </is>
      </c>
      <c r="I114" s="7" t="inlineStr">
        <is>
          <t>Leírás alsó része, GYIK vagy blog</t>
        </is>
      </c>
    </row>
    <row r="115">
      <c r="A115" s="7" t="inlineStr">
        <is>
          <t>Páratartalom-szabályzó tasak</t>
        </is>
      </c>
      <c r="B115" s="7" t="n">
        <v>9</v>
      </c>
      <c r="C115" s="7" t="inlineStr">
        <is>
          <t>gyógynövény tároló</t>
        </is>
      </c>
      <c r="D115" s="7" t="n"/>
      <c r="E115" s="8" t="n">
        <v>20</v>
      </c>
      <c r="F115" s="7" t="inlineStr">
        <is>
          <t>Laza</t>
        </is>
      </c>
      <c r="G115" s="7" t="inlineStr">
        <is>
          <t>Igen</t>
        </is>
      </c>
      <c r="H115" s="7" t="inlineStr">
        <is>
          <t>Kétirányú páratartalom-szabályzó tasak (Boveda, Integra Boost) az érleléshez és tároláshoz</t>
        </is>
      </c>
      <c r="I115" s="7" t="inlineStr">
        <is>
          <t>Kategórialeírás (természetes említés)</t>
        </is>
      </c>
    </row>
    <row r="116">
      <c r="A116" s="11" t="inlineStr">
        <is>
          <t>Páratartalom-szabályzó tasak</t>
        </is>
      </c>
      <c r="B116" s="11" t="n">
        <v>10</v>
      </c>
      <c r="C116" s="11" t="inlineStr">
        <is>
          <t>érlelő tasak</t>
        </is>
      </c>
      <c r="D116" s="11" t="n"/>
      <c r="E116" s="22" t="n">
        <v>20</v>
      </c>
      <c r="F116" s="11" t="inlineStr">
        <is>
          <t>Laza</t>
        </is>
      </c>
      <c r="G116" s="11" t="inlineStr">
        <is>
          <t>Nem</t>
        </is>
      </c>
      <c r="H116" s="11" t="inlineStr">
        <is>
          <t>Kétirányú páratartalom-szabályzó tasak (Boveda, Integra Boost) az érleléshez és tároláshoz</t>
        </is>
      </c>
      <c r="I116" s="11" t="inlineStr">
        <is>
          <t>Nem célozni külön oldallal (max. említés)</t>
        </is>
      </c>
    </row>
    <row r="117">
      <c r="A117" s="4" t="inlineStr">
        <is>
          <t>Vákuumzsák, simítózáras tasak</t>
        </is>
      </c>
      <c r="B117" s="4" t="n">
        <v>23</v>
      </c>
      <c r="C117" s="4" t="inlineStr">
        <is>
          <t>cipzáras műanyag tasak</t>
        </is>
      </c>
      <c r="D117" s="4" t="n"/>
      <c r="E117" s="5" t="n">
        <v>20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Fényálló, vasalható vákuumzsák, simítózáras (ziplock) tasak – szagzáró tárolás</t>
        </is>
      </c>
      <c r="I117" s="4" t="inlineStr">
        <is>
          <t>Kategórialeírás (természetes említés)</t>
        </is>
      </c>
    </row>
    <row r="118">
      <c r="A118" s="4" t="inlineStr">
        <is>
          <t>Vákuumzsák, simítózáras tasak</t>
        </is>
      </c>
      <c r="B118" s="4" t="n">
        <v>24</v>
      </c>
      <c r="C118" s="4" t="inlineStr">
        <is>
          <t>zip zacskó</t>
        </is>
      </c>
      <c r="D118" s="4" t="n"/>
      <c r="E118" s="5" t="n">
        <v>20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Fényálló, vasalható vákuumzsák, simítózáras (ziplock) tasak – szagzáró tárolás</t>
        </is>
      </c>
      <c r="I118" s="4" t="inlineStr">
        <is>
          <t>Kategórialeírás (természetes említés)</t>
        </is>
      </c>
    </row>
    <row r="119">
      <c r="A119" s="7" t="inlineStr">
        <is>
          <t>Vákuumzsák, simítózáras tasak</t>
        </is>
      </c>
      <c r="B119" s="7" t="n">
        <v>25</v>
      </c>
      <c r="C119" s="7" t="inlineStr">
        <is>
          <t>légmentes tároló</t>
        </is>
      </c>
      <c r="D119" s="7" t="n"/>
      <c r="E119" s="8" t="n">
        <v>20</v>
      </c>
      <c r="F119" s="7" t="inlineStr">
        <is>
          <t>Laza</t>
        </is>
      </c>
      <c r="G119" s="7" t="inlineStr">
        <is>
          <t>Igen</t>
        </is>
      </c>
      <c r="H119" s="7" t="inlineStr">
        <is>
          <t>Fényálló, vasalható vákuumzsák, simítózáras (ziplock) tasak – szagzáró tárolás</t>
        </is>
      </c>
      <c r="I119" s="7" t="inlineStr">
        <is>
          <t>Kategórialeírás (természetes említés)</t>
        </is>
      </c>
    </row>
    <row r="120">
      <c r="A120" s="7" t="inlineStr">
        <is>
          <t>Kivonatolás: bubble bag, extraktor</t>
        </is>
      </c>
      <c r="B120" s="7" t="n">
        <v>1</v>
      </c>
      <c r="C120" s="7" t="inlineStr">
        <is>
          <t>kivonatolás</t>
        </is>
      </c>
      <c r="D120" s="7" t="n"/>
      <c r="E120" s="8" t="n">
        <v>20</v>
      </c>
      <c r="F120" s="7" t="inlineStr">
        <is>
          <t>Laza</t>
        </is>
      </c>
      <c r="G120" s="7" t="inlineStr">
        <is>
          <t>Igen</t>
        </is>
      </c>
      <c r="H120" s="7" t="inlineStr">
        <is>
          <t>Hideg kivonatolás: bubble bag (jeges kivonatoló zsák), gyantaszitáló extraktor (Secret Box), shaker</t>
        </is>
      </c>
      <c r="I120" s="7" t="inlineStr">
        <is>
          <t>Kategórianév + H1 + SEO title (fő kulcsszó)</t>
        </is>
      </c>
    </row>
    <row r="121">
      <c r="A121" s="4" t="inlineStr">
        <is>
          <t>Kivonatolás: bubble bag, extraktor</t>
        </is>
      </c>
      <c r="B121" s="4" t="n">
        <v>9</v>
      </c>
      <c r="C121" s="4" t="inlineStr">
        <is>
          <t>bubble bag</t>
        </is>
      </c>
      <c r="D121" s="4" t="n"/>
      <c r="E121" s="5" t="n">
        <v>20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Hideg kivonatolás: bubble bag (jeges kivonatoló zsák), gyantaszitáló extraktor (Secret Box), shaker</t>
        </is>
      </c>
      <c r="I121" s="4" t="inlineStr">
        <is>
          <t>SEO title / H1 / bevezető (másodlagos)</t>
        </is>
      </c>
    </row>
    <row r="122">
      <c r="A122" s="7" t="inlineStr">
        <is>
          <t>Kivonatolás: bubble bag, extraktor</t>
        </is>
      </c>
      <c r="B122" s="7" t="n">
        <v>10</v>
      </c>
      <c r="C122" s="7" t="inlineStr">
        <is>
          <t>gyógynövény tinktúra készítése</t>
        </is>
      </c>
      <c r="D122" s="7" t="n"/>
      <c r="E122" s="8" t="n">
        <v>20</v>
      </c>
      <c r="F122" s="7" t="inlineStr">
        <is>
          <t>Laza</t>
        </is>
      </c>
      <c r="G122" s="7" t="inlineStr">
        <is>
          <t>Igen</t>
        </is>
      </c>
      <c r="H122" s="7" t="inlineStr">
        <is>
          <t>Hideg kivonatolás: bubble bag (jeges kivonatoló zsák), gyantaszitáló extraktor (Secret Box), shaker</t>
        </is>
      </c>
      <c r="I122" s="7" t="inlineStr">
        <is>
          <t>Leírás alsó része, GYIK vagy blog</t>
        </is>
      </c>
    </row>
    <row r="123">
      <c r="A123" s="4" t="inlineStr">
        <is>
          <t>Digitális mérleg, zsebmérleg</t>
        </is>
      </c>
      <c r="B123" s="4" t="n">
        <v>22</v>
      </c>
      <c r="C123" s="4" t="inlineStr">
        <is>
          <t>digitális zsebmérleg</t>
        </is>
      </c>
      <c r="D123" s="4" t="n"/>
      <c r="E123" s="5" t="n">
        <v>20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Digitális zseb- és precíziós mérleg (0,01 / 0,001 g), kalibráló súly</t>
        </is>
      </c>
      <c r="I123" s="4" t="inlineStr">
        <is>
          <t>Kategórialeírás (természetes említés)</t>
        </is>
      </c>
    </row>
    <row r="124">
      <c r="A124" s="4" t="inlineStr">
        <is>
          <t>Digitális mérleg, zsebmérleg</t>
        </is>
      </c>
      <c r="B124" s="4" t="n">
        <v>23</v>
      </c>
      <c r="C124" s="4" t="inlineStr">
        <is>
          <t>kalibráló súly</t>
        </is>
      </c>
      <c r="D124" s="4" t="n"/>
      <c r="E124" s="5" t="n">
        <v>20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Digitális zseb- és precíziós mérleg (0,01 / 0,001 g), kalibráló súly</t>
        </is>
      </c>
      <c r="I124" s="4" t="inlineStr">
        <is>
          <t>Kategórialeírás (természetes említés)</t>
        </is>
      </c>
    </row>
    <row r="125">
      <c r="A125" s="4" t="inlineStr">
        <is>
          <t>Digitális mérleg, zsebmérleg</t>
        </is>
      </c>
      <c r="B125" s="4" t="n">
        <v>24</v>
      </c>
      <c r="C125" s="4" t="inlineStr">
        <is>
          <t>hordozható mérleg</t>
        </is>
      </c>
      <c r="D125" s="4" t="n"/>
      <c r="E125" s="5" t="n">
        <v>20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Digitális zseb- és precíziós mérleg (0,01 / 0,001 g), kalibráló súly</t>
        </is>
      </c>
      <c r="I125" s="4" t="inlineStr">
        <is>
          <t>Kategórialeírás (természetes említés)</t>
        </is>
      </c>
    </row>
    <row r="126">
      <c r="A126" s="4" t="inlineStr">
        <is>
          <t>Digitális mérleg, zsebmérleg</t>
        </is>
      </c>
      <c r="B126" s="4" t="n">
        <v>25</v>
      </c>
      <c r="C126" s="4" t="inlineStr">
        <is>
          <t>gramm pontos mérleg</t>
        </is>
      </c>
      <c r="D126" s="4" t="n"/>
      <c r="E126" s="5" t="n">
        <v>20</v>
      </c>
      <c r="F126" s="4" t="inlineStr">
        <is>
          <t>Szoros</t>
        </is>
      </c>
      <c r="G126" s="4" t="inlineStr">
        <is>
          <t>Igen</t>
        </is>
      </c>
      <c r="H126" s="4" t="inlineStr">
        <is>
          <t>Digitális zseb- és precíziós mérleg (0,01 / 0,001 g), kalibráló súly</t>
        </is>
      </c>
      <c r="I126" s="4" t="inlineStr">
        <is>
          <t>Kategórialeírás (természetes említés)</t>
        </is>
      </c>
    </row>
    <row r="127">
      <c r="A127" s="4" t="inlineStr">
        <is>
          <t>Digitális mérleg, zsebmérleg</t>
        </is>
      </c>
      <c r="B127" s="4" t="n">
        <v>26</v>
      </c>
      <c r="C127" s="4" t="inlineStr">
        <is>
          <t>zsebmerleg</t>
        </is>
      </c>
      <c r="D127" s="4" t="n"/>
      <c r="E127" s="5" t="n">
        <v>20</v>
      </c>
      <c r="F127" s="4" t="inlineStr">
        <is>
          <t>Szoros</t>
        </is>
      </c>
      <c r="G127" s="4" t="inlineStr">
        <is>
          <t>Igen</t>
        </is>
      </c>
      <c r="H127" s="4" t="inlineStr">
        <is>
          <t>Digitális zseb- és precíziós mérleg (0,01 / 0,001 g), kalibráló súly</t>
        </is>
      </c>
      <c r="I127" s="4" t="inlineStr">
        <is>
          <t>Kategórialeírás (természetes említés)</t>
        </is>
      </c>
    </row>
    <row r="128">
      <c r="A128" s="7" t="inlineStr">
        <is>
          <t>Digitális mérleg, zsebmérleg</t>
        </is>
      </c>
      <c r="B128" s="7" t="n">
        <v>27</v>
      </c>
      <c r="C128" s="7" t="inlineStr">
        <is>
          <t>laboratóriumi mérleg</t>
        </is>
      </c>
      <c r="D128" s="7" t="n"/>
      <c r="E128" s="8" t="n">
        <v>20</v>
      </c>
      <c r="F128" s="7" t="inlineStr">
        <is>
          <t>Laza</t>
        </is>
      </c>
      <c r="G128" s="7" t="inlineStr">
        <is>
          <t>Igen</t>
        </is>
      </c>
      <c r="H128" s="7" t="inlineStr">
        <is>
          <t>Digitális zseb- és precíziós mérleg (0,01 / 0,001 g), kalibráló súly</t>
        </is>
      </c>
      <c r="I128" s="7" t="inlineStr">
        <is>
          <t>Kategórialeírás (természetes említés)</t>
        </is>
      </c>
    </row>
    <row r="129">
      <c r="A129" s="4" t="inlineStr">
        <is>
          <t>Digitális mérleg, zsebmérleg</t>
        </is>
      </c>
      <c r="B129" s="4" t="n">
        <v>28</v>
      </c>
      <c r="C129" s="4" t="inlineStr">
        <is>
          <t>g scale</t>
        </is>
      </c>
      <c r="D129" s="4" t="n"/>
      <c r="E129" s="5" t="n">
        <v>20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Digitális zseb- és precíziós mérleg (0,01 / 0,001 g), kalibráló súly</t>
        </is>
      </c>
      <c r="I129" s="4" t="inlineStr">
        <is>
          <t>Gyártóoldal / szűrő / termékoldal</t>
        </is>
      </c>
    </row>
    <row r="130">
      <c r="A130" s="4" t="inlineStr">
        <is>
          <t>Szárítóháló, növényszárító</t>
        </is>
      </c>
      <c r="B130" s="4" t="n">
        <v>15</v>
      </c>
      <c r="C130" s="4" t="inlineStr">
        <is>
          <t>gyógynövény szárító háló</t>
        </is>
      </c>
      <c r="D130" s="4" t="n"/>
      <c r="E130" s="5" t="n">
        <v>10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1. lépés – szárítás: függő szárítóháló (több szintes), szárítóháló-szűrő</t>
        </is>
      </c>
      <c r="I130" s="4" t="inlineStr">
        <is>
          <t>Kategórialeírás (természetes említés)</t>
        </is>
      </c>
    </row>
    <row r="131">
      <c r="A131" s="4" t="inlineStr">
        <is>
          <t>Szárítóháló, növényszárító</t>
        </is>
      </c>
      <c r="B131" s="4" t="n">
        <v>16</v>
      </c>
      <c r="C131" s="4" t="inlineStr">
        <is>
          <t>dry net</t>
        </is>
      </c>
      <c r="D131" s="4" t="n"/>
      <c r="E131" s="5" t="n">
        <v>10</v>
      </c>
      <c r="F131" s="4" t="inlineStr">
        <is>
          <t>Szoros</t>
        </is>
      </c>
      <c r="G131" s="4" t="inlineStr">
        <is>
          <t>Igen</t>
        </is>
      </c>
      <c r="H131" s="4" t="inlineStr">
        <is>
          <t>1. lépés – szárítás: függő szárítóháló (több szintes), szárítóháló-szűrő</t>
        </is>
      </c>
      <c r="I131" s="4" t="inlineStr">
        <is>
          <t>Kategórialeírás (természetes említés)</t>
        </is>
      </c>
    </row>
    <row r="132">
      <c r="A132" s="4" t="inlineStr">
        <is>
          <t>Szárítóháló, növényszárító</t>
        </is>
      </c>
      <c r="B132" s="4" t="n">
        <v>17</v>
      </c>
      <c r="C132" s="4" t="inlineStr">
        <is>
          <t>függő szárító</t>
        </is>
      </c>
      <c r="D132" s="4" t="n"/>
      <c r="E132" s="5" t="n">
        <v>10</v>
      </c>
      <c r="F132" s="4" t="inlineStr">
        <is>
          <t>Szoros</t>
        </is>
      </c>
      <c r="G132" s="4" t="inlineStr">
        <is>
          <t>Igen</t>
        </is>
      </c>
      <c r="H132" s="4" t="inlineStr">
        <is>
          <t>1. lépés – szárítás: függő szárítóháló (több szintes), szárítóháló-szűrő</t>
        </is>
      </c>
      <c r="I132" s="4" t="inlineStr">
        <is>
          <t>Kategórialeírás (természetes említés)</t>
        </is>
      </c>
    </row>
    <row r="133">
      <c r="A133" s="4" t="inlineStr">
        <is>
          <t>Szárítóháló, növényszárító</t>
        </is>
      </c>
      <c r="B133" s="4" t="n">
        <v>18</v>
      </c>
      <c r="C133" s="4" t="inlineStr">
        <is>
          <t>szárító kosár</t>
        </is>
      </c>
      <c r="D133" s="4" t="n"/>
      <c r="E133" s="5" t="n">
        <v>10</v>
      </c>
      <c r="F133" s="4" t="inlineStr">
        <is>
          <t>Szoros</t>
        </is>
      </c>
      <c r="G133" s="4" t="inlineStr">
        <is>
          <t>Igen</t>
        </is>
      </c>
      <c r="H133" s="4" t="inlineStr">
        <is>
          <t>1. lépés – szárítás: függő szárítóháló (több szintes), szárítóháló-szűrő</t>
        </is>
      </c>
      <c r="I133" s="4" t="inlineStr">
        <is>
          <t>Kategórialeírás (természetes említés)</t>
        </is>
      </c>
    </row>
    <row r="134">
      <c r="A134" s="4" t="inlineStr">
        <is>
          <t>Szárítóháló, növényszárító</t>
        </is>
      </c>
      <c r="B134" s="4" t="n">
        <v>19</v>
      </c>
      <c r="C134" s="4" t="inlineStr">
        <is>
          <t>szárító zsák</t>
        </is>
      </c>
      <c r="D134" s="4" t="n"/>
      <c r="E134" s="5" t="n">
        <v>10</v>
      </c>
      <c r="F134" s="4" t="inlineStr">
        <is>
          <t>Szoros</t>
        </is>
      </c>
      <c r="G134" s="4" t="inlineStr">
        <is>
          <t>Igen</t>
        </is>
      </c>
      <c r="H134" s="4" t="inlineStr">
        <is>
          <t>1. lépés – szárítás: függő szárítóháló (több szintes), szárítóháló-szűrő</t>
        </is>
      </c>
      <c r="I134" s="4" t="inlineStr">
        <is>
          <t>Kategórialeírás (természetes említés)</t>
        </is>
      </c>
    </row>
    <row r="135">
      <c r="A135" s="4" t="inlineStr">
        <is>
          <t>Szárítóháló, növényszárító</t>
        </is>
      </c>
      <c r="B135" s="4" t="n">
        <v>20</v>
      </c>
      <c r="C135" s="4" t="inlineStr">
        <is>
          <t>növény szárító</t>
        </is>
      </c>
      <c r="D135" s="4" t="n"/>
      <c r="E135" s="5" t="n">
        <v>10</v>
      </c>
      <c r="F135" s="4" t="inlineStr">
        <is>
          <t>Szoros</t>
        </is>
      </c>
      <c r="G135" s="4" t="inlineStr">
        <is>
          <t>Igen</t>
        </is>
      </c>
      <c r="H135" s="4" t="inlineStr">
        <is>
          <t>1. lépés – szárítás: függő szárítóháló (több szintes), szárítóháló-szűrő</t>
        </is>
      </c>
      <c r="I135" s="4" t="inlineStr">
        <is>
          <t>Kategórialeírás (természetes említés)</t>
        </is>
      </c>
    </row>
    <row r="136">
      <c r="A136" s="4" t="inlineStr">
        <is>
          <t>Szárítóháló, növényszárító</t>
        </is>
      </c>
      <c r="B136" s="4" t="n">
        <v>21</v>
      </c>
      <c r="C136" s="4" t="inlineStr">
        <is>
          <t>növény szárítás</t>
        </is>
      </c>
      <c r="D136" s="4" t="n"/>
      <c r="E136" s="5" t="n">
        <v>10</v>
      </c>
      <c r="F136" s="4" t="inlineStr">
        <is>
          <t>Szoros</t>
        </is>
      </c>
      <c r="G136" s="4" t="inlineStr">
        <is>
          <t>Igen</t>
        </is>
      </c>
      <c r="H136" s="4" t="inlineStr">
        <is>
          <t>1. lépés – szárítás: függő szárítóháló (több szintes), szárítóháló-szűrő</t>
        </is>
      </c>
      <c r="I136" s="4" t="inlineStr">
        <is>
          <t>Leírás alsó része, GYIK vagy blog</t>
        </is>
      </c>
    </row>
    <row r="137">
      <c r="A137" s="7" t="inlineStr">
        <is>
          <t>Szárítóháló, növényszárító</t>
        </is>
      </c>
      <c r="B137" s="7" t="n">
        <v>22</v>
      </c>
      <c r="C137" s="7" t="inlineStr">
        <is>
          <t>szárított gyógynövények tárolása</t>
        </is>
      </c>
      <c r="D137" s="7" t="n"/>
      <c r="E137" s="8" t="n">
        <v>10</v>
      </c>
      <c r="F137" s="7" t="inlineStr">
        <is>
          <t>Laza</t>
        </is>
      </c>
      <c r="G137" s="7" t="inlineStr">
        <is>
          <t>Igen</t>
        </is>
      </c>
      <c r="H137" s="7" t="inlineStr">
        <is>
          <t>1. lépés – szárítás: függő szárítóháló (több szintes), szárítóháló-szűrő</t>
        </is>
      </c>
      <c r="I137" s="7" t="inlineStr">
        <is>
          <t>Leírás alsó része, GYIK vagy blog</t>
        </is>
      </c>
    </row>
    <row r="138">
      <c r="A138" s="11" t="inlineStr">
        <is>
          <t>Szárítóháló, növényszárító</t>
        </is>
      </c>
      <c r="B138" s="11" t="n">
        <v>23</v>
      </c>
      <c r="C138" s="11" t="inlineStr">
        <is>
          <t>gyógynövény szárítógép</t>
        </is>
      </c>
      <c r="D138" s="11" t="n"/>
      <c r="E138" s="22" t="n">
        <v>10</v>
      </c>
      <c r="F138" s="11" t="inlineStr">
        <is>
          <t>Laza</t>
        </is>
      </c>
      <c r="G138" s="11" t="inlineStr">
        <is>
          <t>Nem</t>
        </is>
      </c>
      <c r="H138" s="11" t="inlineStr">
        <is>
          <t>1. lépés – szárítás: függő szárítóháló (több szintes), szárítóháló-szűrő</t>
        </is>
      </c>
      <c r="I138" s="11" t="inlineStr">
        <is>
          <t>Nem célozni külön oldallal (max. említés)</t>
        </is>
      </c>
    </row>
    <row r="139">
      <c r="A139" s="4" t="inlineStr">
        <is>
          <t>Trimmelő olló</t>
        </is>
      </c>
      <c r="B139" s="4" t="n">
        <v>13</v>
      </c>
      <c r="C139" s="4" t="inlineStr">
        <is>
          <t>saboten</t>
        </is>
      </c>
      <c r="D139" s="4" t="n"/>
      <c r="E139" s="5" t="n">
        <v>10</v>
      </c>
      <c r="F139" s="4" t="inlineStr">
        <is>
          <t>Szoros</t>
        </is>
      </c>
      <c r="G139" s="4" t="inlineStr">
        <is>
          <t>Igen</t>
        </is>
      </c>
      <c r="H139" s="4" t="inlineStr">
        <is>
          <t>Kézi trimmelő olló (egyenes / ívelt, rugós, Saboten, AC Infinity), ollóélező</t>
        </is>
      </c>
      <c r="I139" s="4" t="inlineStr">
        <is>
          <t>Gyártóoldal / szűrő / termékoldal</t>
        </is>
      </c>
    </row>
    <row r="140">
      <c r="A140" s="4" t="inlineStr">
        <is>
          <t>Trimmelő olló</t>
        </is>
      </c>
      <c r="B140" s="4" t="n">
        <v>14</v>
      </c>
      <c r="C140" s="4" t="inlineStr">
        <is>
          <t>chikamasa</t>
        </is>
      </c>
      <c r="D140" s="4" t="n"/>
      <c r="E140" s="5" t="n">
        <v>10</v>
      </c>
      <c r="F140" s="4" t="inlineStr">
        <is>
          <t>Szoros</t>
        </is>
      </c>
      <c r="G140" s="4" t="inlineStr">
        <is>
          <t>Igen</t>
        </is>
      </c>
      <c r="H140" s="4" t="inlineStr">
        <is>
          <t>Kézi trimmelő olló (egyenes / ívelt, rugós, Saboten, AC Infinity), ollóélező</t>
        </is>
      </c>
      <c r="I140" s="4" t="inlineStr">
        <is>
          <t>Gyártóoldal / szűrő / termékoldal</t>
        </is>
      </c>
    </row>
    <row r="141">
      <c r="A141" s="4" t="inlineStr">
        <is>
          <t>Trimmelő gép, trimmelő tál</t>
        </is>
      </c>
      <c r="B141" s="4" t="n">
        <v>5</v>
      </c>
      <c r="C141" s="4" t="inlineStr">
        <is>
          <t>trimmelő asztal</t>
        </is>
      </c>
      <c r="D141" s="4" t="n"/>
      <c r="E141" s="5" t="n">
        <v>10</v>
      </c>
      <c r="F141" s="4" t="inlineStr">
        <is>
          <t>Szoros</t>
        </is>
      </c>
      <c r="G141" s="4" t="inlineStr">
        <is>
          <t>Igen</t>
        </is>
      </c>
      <c r="H141" s="4" t="inlineStr">
        <is>
          <t>Kézi és motoros trimmelő tál / gép, trimmelő asztal, trimmelő zsák</t>
        </is>
      </c>
      <c r="I141" s="4" t="inlineStr">
        <is>
          <t>Kategórialeírás (természetes említés)</t>
        </is>
      </c>
    </row>
    <row r="142">
      <c r="A142" s="4" t="inlineStr">
        <is>
          <t>Páratartalom-szabályzó tasak</t>
        </is>
      </c>
      <c r="B142" s="4" t="n">
        <v>11</v>
      </c>
      <c r="C142" s="4" t="inlineStr">
        <is>
          <t>integra boost</t>
        </is>
      </c>
      <c r="D142" s="4" t="n"/>
      <c r="E142" s="5" t="n">
        <v>10</v>
      </c>
      <c r="F142" s="4" t="inlineStr">
        <is>
          <t>Szoros</t>
        </is>
      </c>
      <c r="G142" s="4" t="inlineStr">
        <is>
          <t>Igen</t>
        </is>
      </c>
      <c r="H142" s="4" t="inlineStr">
        <is>
          <t>Kétirányú páratartalom-szabályzó tasak (Boveda, Integra Boost) az érleléshez és tároláshoz</t>
        </is>
      </c>
      <c r="I142" s="4" t="inlineStr">
        <is>
          <t>SEO title / H1 / bevezető (másodlagos)</t>
        </is>
      </c>
    </row>
    <row r="143">
      <c r="A143" s="4" t="inlineStr">
        <is>
          <t>Páratartalom-szabályzó tasak</t>
        </is>
      </c>
      <c r="B143" s="4" t="n">
        <v>12</v>
      </c>
      <c r="C143" s="4" t="inlineStr">
        <is>
          <t>boveda 50</t>
        </is>
      </c>
      <c r="D143" s="4" t="n"/>
      <c r="E143" s="5" t="n">
        <v>10</v>
      </c>
      <c r="F143" s="4" t="inlineStr">
        <is>
          <t>Szoros</t>
        </is>
      </c>
      <c r="G143" s="4" t="inlineStr">
        <is>
          <t>Igen</t>
        </is>
      </c>
      <c r="H143" s="4" t="inlineStr">
        <is>
          <t>Kétirányú páratartalom-szabályzó tasak (Boveda, Integra Boost) az érleléshez és tároláshoz</t>
        </is>
      </c>
      <c r="I143" s="4" t="inlineStr">
        <is>
          <t>Gyártóoldal / szűrő / termékoldal</t>
        </is>
      </c>
    </row>
    <row r="144">
      <c r="A144" s="4" t="inlineStr">
        <is>
          <t>Páratartalom-szabályzó tasak</t>
        </is>
      </c>
      <c r="B144" s="4" t="n">
        <v>13</v>
      </c>
      <c r="C144" s="4" t="inlineStr">
        <is>
          <t>boveda 84</t>
        </is>
      </c>
      <c r="D144" s="4" t="n"/>
      <c r="E144" s="5" t="n">
        <v>10</v>
      </c>
      <c r="F144" s="4" t="inlineStr">
        <is>
          <t>Szoros</t>
        </is>
      </c>
      <c r="G144" s="4" t="inlineStr">
        <is>
          <t>Igen</t>
        </is>
      </c>
      <c r="H144" s="4" t="inlineStr">
        <is>
          <t>Kétirányú páratartalom-szabályzó tasak (Boveda, Integra Boost) az érleléshez és tároláshoz</t>
        </is>
      </c>
      <c r="I144" s="4" t="inlineStr">
        <is>
          <t>Gyártóoldal / szűrő / termékoldal</t>
        </is>
      </c>
    </row>
    <row r="145">
      <c r="A145" s="4" t="inlineStr">
        <is>
          <t>Páratartalom-szabályzó tasak</t>
        </is>
      </c>
      <c r="B145" s="4" t="n">
        <v>14</v>
      </c>
      <c r="C145" s="4" t="inlineStr">
        <is>
          <t>integra boost 72</t>
        </is>
      </c>
      <c r="D145" s="4" t="n"/>
      <c r="E145" s="5" t="n">
        <v>10</v>
      </c>
      <c r="F145" s="4" t="inlineStr">
        <is>
          <t>Szoros</t>
        </is>
      </c>
      <c r="G145" s="4" t="inlineStr">
        <is>
          <t>Igen</t>
        </is>
      </c>
      <c r="H145" s="4" t="inlineStr">
        <is>
          <t>Kétirányú páratartalom-szabályzó tasak (Boveda, Integra Boost) az érleléshez és tároláshoz</t>
        </is>
      </c>
      <c r="I145" s="4" t="inlineStr">
        <is>
          <t>Gyártóoldal / szűrő / termékoldal</t>
        </is>
      </c>
    </row>
    <row r="146">
      <c r="A146" s="4" t="inlineStr">
        <is>
          <t>Páratartalom-szabályzó tasak</t>
        </is>
      </c>
      <c r="B146" s="4" t="n">
        <v>15</v>
      </c>
      <c r="C146" s="4" t="inlineStr">
        <is>
          <t>integra 62</t>
        </is>
      </c>
      <c r="D146" s="4" t="n"/>
      <c r="E146" s="5" t="n">
        <v>10</v>
      </c>
      <c r="F146" s="4" t="inlineStr">
        <is>
          <t>Szoros</t>
        </is>
      </c>
      <c r="G146" s="4" t="inlineStr">
        <is>
          <t>Igen</t>
        </is>
      </c>
      <c r="H146" s="4" t="inlineStr">
        <is>
          <t>Kétirányú páratartalom-szabályzó tasak (Boveda, Integra Boost) az érleléshez és tároláshoz</t>
        </is>
      </c>
      <c r="I146" s="4" t="inlineStr">
        <is>
          <t>Gyártóoldal / szűrő / termékoldal</t>
        </is>
      </c>
    </row>
    <row r="147">
      <c r="A147" s="4" t="inlineStr">
        <is>
          <t>Páratartalom-szabályzó tasak</t>
        </is>
      </c>
      <c r="B147" s="4" t="n">
        <v>16</v>
      </c>
      <c r="C147" s="4" t="inlineStr">
        <is>
          <t>boveda használata</t>
        </is>
      </c>
      <c r="D147" s="4" t="n"/>
      <c r="E147" s="5" t="n">
        <v>10</v>
      </c>
      <c r="F147" s="4" t="inlineStr">
        <is>
          <t>Szoros</t>
        </is>
      </c>
      <c r="G147" s="4" t="inlineStr">
        <is>
          <t>Igen</t>
        </is>
      </c>
      <c r="H147" s="4" t="inlineStr">
        <is>
          <t>Kétirányú páratartalom-szabályzó tasak (Boveda, Integra Boost) az érleléshez és tároláshoz</t>
        </is>
      </c>
      <c r="I147" s="4" t="inlineStr">
        <is>
          <t>Leírás alsó része, GYIK vagy blog</t>
        </is>
      </c>
    </row>
    <row r="148">
      <c r="A148" s="4" t="inlineStr">
        <is>
          <t>Páratartalom-szabályzó tasak</t>
        </is>
      </c>
      <c r="B148" s="4" t="n">
        <v>17</v>
      </c>
      <c r="C148" s="4" t="inlineStr">
        <is>
          <t>kúrálás</t>
        </is>
      </c>
      <c r="D148" s="4" t="n"/>
      <c r="E148" s="5" t="n">
        <v>10</v>
      </c>
      <c r="F148" s="4" t="inlineStr">
        <is>
          <t>Szoros</t>
        </is>
      </c>
      <c r="G148" s="4" t="inlineStr">
        <is>
          <t>Igen</t>
        </is>
      </c>
      <c r="H148" s="4" t="inlineStr">
        <is>
          <t>Kétirányú páratartalom-szabályzó tasak (Boveda, Integra Boost) az érleléshez és tároláshoz</t>
        </is>
      </c>
      <c r="I148" s="4" t="inlineStr">
        <is>
          <t>Leírás alsó része, GYIK vagy blog</t>
        </is>
      </c>
    </row>
    <row r="149">
      <c r="A149" s="7" t="inlineStr">
        <is>
          <t>Páratartalom-szabályzó tasak</t>
        </is>
      </c>
      <c r="B149" s="7" t="n">
        <v>18</v>
      </c>
      <c r="C149" s="7" t="inlineStr">
        <is>
          <t>érlelés</t>
        </is>
      </c>
      <c r="D149" s="7" t="n"/>
      <c r="E149" s="8" t="n">
        <v>10</v>
      </c>
      <c r="F149" s="7" t="inlineStr">
        <is>
          <t>Laza</t>
        </is>
      </c>
      <c r="G149" s="7" t="inlineStr">
        <is>
          <t>Igen</t>
        </is>
      </c>
      <c r="H149" s="7" t="inlineStr">
        <is>
          <t>Kétirányú páratartalom-szabályzó tasak (Boveda, Integra Boost) az érleléshez és tároláshoz</t>
        </is>
      </c>
      <c r="I149" s="7" t="inlineStr">
        <is>
          <t>Leírás alsó része, GYIK vagy blog</t>
        </is>
      </c>
    </row>
    <row r="150">
      <c r="A150" s="4" t="inlineStr">
        <is>
          <t>Vákuumzsák, simítózáras tasak</t>
        </is>
      </c>
      <c r="B150" s="4" t="n">
        <v>26</v>
      </c>
      <c r="C150" s="4" t="inlineStr">
        <is>
          <t>grove bag</t>
        </is>
      </c>
      <c r="D150" s="4" t="n"/>
      <c r="E150" s="5" t="n">
        <v>10</v>
      </c>
      <c r="F150" s="4" t="inlineStr">
        <is>
          <t>Szoros</t>
        </is>
      </c>
      <c r="G150" s="4" t="inlineStr">
        <is>
          <t>Igen</t>
        </is>
      </c>
      <c r="H150" s="4" t="inlineStr">
        <is>
          <t>Fényálló, vasalható vákuumzsák, simítózáras (ziplock) tasak – szagzáró tárolás</t>
        </is>
      </c>
      <c r="I150" s="4" t="inlineStr">
        <is>
          <t>Gyártóoldal / szűrő / termékoldal</t>
        </is>
      </c>
    </row>
    <row r="151">
      <c r="A151" s="4" t="inlineStr">
        <is>
          <t>Vákuumzsák, simítózáras tasak</t>
        </is>
      </c>
      <c r="B151" s="4" t="n">
        <v>27</v>
      </c>
      <c r="C151" s="4" t="inlineStr">
        <is>
          <t>légmentesen zárható tasak</t>
        </is>
      </c>
      <c r="D151" s="4" t="n"/>
      <c r="E151" s="5" t="n">
        <v>10</v>
      </c>
      <c r="F151" s="4" t="inlineStr">
        <is>
          <t>Szoros</t>
        </is>
      </c>
      <c r="G151" s="4" t="inlineStr">
        <is>
          <t>Igen</t>
        </is>
      </c>
      <c r="H151" s="4" t="inlineStr">
        <is>
          <t>Fényálló, vasalható vákuumzsák, simítózáras (ziplock) tasak – szagzáró tárolás</t>
        </is>
      </c>
      <c r="I151" s="4" t="inlineStr">
        <is>
          <t>Kategórialeírás (természetes említés)</t>
        </is>
      </c>
    </row>
    <row r="152">
      <c r="A152" s="4" t="inlineStr">
        <is>
          <t>Vákuumzsák, simítózáras tasak</t>
        </is>
      </c>
      <c r="B152" s="4" t="n">
        <v>28</v>
      </c>
      <c r="C152" s="4" t="inlineStr">
        <is>
          <t>visszazárható műanyag tasak</t>
        </is>
      </c>
      <c r="D152" s="4" t="n"/>
      <c r="E152" s="5" t="n">
        <v>10</v>
      </c>
      <c r="F152" s="4" t="inlineStr">
        <is>
          <t>Szoros</t>
        </is>
      </c>
      <c r="G152" s="4" t="inlineStr">
        <is>
          <t>Igen</t>
        </is>
      </c>
      <c r="H152" s="4" t="inlineStr">
        <is>
          <t>Fényálló, vasalható vákuumzsák, simítózáras (ziplock) tasak – szagzáró tárolás</t>
        </is>
      </c>
      <c r="I152" s="4" t="inlineStr">
        <is>
          <t>Kategórialeírás (természetes említés)</t>
        </is>
      </c>
    </row>
    <row r="153">
      <c r="A153" s="4" t="inlineStr">
        <is>
          <t>Vákuumzsák, simítózáras tasak</t>
        </is>
      </c>
      <c r="B153" s="4" t="n">
        <v>29</v>
      </c>
      <c r="C153" s="4" t="inlineStr">
        <is>
          <t>vákuumos tároló tasak</t>
        </is>
      </c>
      <c r="D153" s="4" t="n"/>
      <c r="E153" s="5" t="n">
        <v>10</v>
      </c>
      <c r="F153" s="4" t="inlineStr">
        <is>
          <t>Szoros</t>
        </is>
      </c>
      <c r="G153" s="4" t="inlineStr">
        <is>
          <t>Igen</t>
        </is>
      </c>
      <c r="H153" s="4" t="inlineStr">
        <is>
          <t>Fényálló, vasalható vákuumzsák, simítózáras (ziplock) tasak – szagzáró tárolás</t>
        </is>
      </c>
      <c r="I153" s="4" t="inlineStr">
        <is>
          <t>Kategórialeírás (természetes említés)</t>
        </is>
      </c>
    </row>
    <row r="154">
      <c r="A154" s="4" t="inlineStr">
        <is>
          <t>Vákuumzsák, simítózáras tasak</t>
        </is>
      </c>
      <c r="B154" s="4" t="n">
        <v>30</v>
      </c>
      <c r="C154" s="4" t="inlineStr">
        <is>
          <t>ziploc zacskó</t>
        </is>
      </c>
      <c r="D154" s="4" t="n"/>
      <c r="E154" s="5" t="n">
        <v>10</v>
      </c>
      <c r="F154" s="4" t="inlineStr">
        <is>
          <t>Szoros</t>
        </is>
      </c>
      <c r="G154" s="4" t="inlineStr">
        <is>
          <t>Igen</t>
        </is>
      </c>
      <c r="H154" s="4" t="inlineStr">
        <is>
          <t>Fényálló, vasalható vákuumzsák, simítózáras (ziplock) tasak – szagzáró tárolás</t>
        </is>
      </c>
      <c r="I154" s="4" t="inlineStr">
        <is>
          <t>Kategórialeírás (természetes említés)</t>
        </is>
      </c>
    </row>
    <row r="155">
      <c r="A155" s="4" t="inlineStr">
        <is>
          <t>Kivonatolás: bubble bag, extraktor</t>
        </is>
      </c>
      <c r="B155" s="4" t="n">
        <v>11</v>
      </c>
      <c r="C155" s="4" t="inlineStr">
        <is>
          <t>ice bubble</t>
        </is>
      </c>
      <c r="D155" s="4" t="n"/>
      <c r="E155" s="5" t="n">
        <v>10</v>
      </c>
      <c r="F155" s="4" t="inlineStr">
        <is>
          <t>Szoros</t>
        </is>
      </c>
      <c r="G155" s="4" t="inlineStr">
        <is>
          <t>Igen</t>
        </is>
      </c>
      <c r="H155" s="4" t="inlineStr">
        <is>
          <t>Hideg kivonatolás: bubble bag (jeges kivonatoló zsák), gyantaszitáló extraktor (Secret Box), shaker</t>
        </is>
      </c>
      <c r="I155" s="4" t="inlineStr">
        <is>
          <t>SEO title / H1 / bevezető (másodlagos)</t>
        </is>
      </c>
    </row>
    <row r="156">
      <c r="A156" s="4" t="inlineStr">
        <is>
          <t>Kivonatolás: bubble bag, extraktor</t>
        </is>
      </c>
      <c r="B156" s="4" t="n">
        <v>12</v>
      </c>
      <c r="C156" s="4" t="inlineStr">
        <is>
          <t>pollen box</t>
        </is>
      </c>
      <c r="D156" s="4" t="n"/>
      <c r="E156" s="5" t="n">
        <v>10</v>
      </c>
      <c r="F156" s="4" t="inlineStr">
        <is>
          <t>Szoros</t>
        </is>
      </c>
      <c r="G156" s="4" t="inlineStr">
        <is>
          <t>Igen</t>
        </is>
      </c>
      <c r="H156" s="4" t="inlineStr">
        <is>
          <t>Hideg kivonatolás: bubble bag (jeges kivonatoló zsák), gyantaszitáló extraktor (Secret Box), shaker</t>
        </is>
      </c>
      <c r="I156" s="4" t="inlineStr">
        <is>
          <t>Kategórialeírás (természetes említés)</t>
        </is>
      </c>
    </row>
    <row r="157">
      <c r="A157" s="7" t="inlineStr">
        <is>
          <t>Kivonatolás: bubble bag, extraktor</t>
        </is>
      </c>
      <c r="B157" s="7" t="n">
        <v>13</v>
      </c>
      <c r="C157" s="7" t="inlineStr">
        <is>
          <t>növényi kivonat készítése</t>
        </is>
      </c>
      <c r="D157" s="7" t="n"/>
      <c r="E157" s="8" t="n">
        <v>10</v>
      </c>
      <c r="F157" s="7" t="inlineStr">
        <is>
          <t>Laza</t>
        </is>
      </c>
      <c r="G157" s="7" t="inlineStr">
        <is>
          <t>Igen</t>
        </is>
      </c>
      <c r="H157" s="7" t="inlineStr">
        <is>
          <t>Hideg kivonatolás: bubble bag (jeges kivonatoló zsák), gyantaszitáló extraktor (Secret Box), shaker</t>
        </is>
      </c>
      <c r="I157" s="7" t="inlineStr">
        <is>
          <t>Leírás alsó része, GYIK vagy blog</t>
        </is>
      </c>
    </row>
    <row r="158">
      <c r="A158" s="4" t="inlineStr">
        <is>
          <t>Digitális mérleg, zsebmérleg</t>
        </is>
      </c>
      <c r="B158" s="4" t="n">
        <v>29</v>
      </c>
      <c r="C158" s="4" t="inlineStr">
        <is>
          <t>precíziós zsebmérleg</t>
        </is>
      </c>
      <c r="D158" s="4" t="n"/>
      <c r="E158" s="5" t="n">
        <v>10</v>
      </c>
      <c r="F158" s="4" t="inlineStr">
        <is>
          <t>Szoros</t>
        </is>
      </c>
      <c r="G158" s="4" t="inlineStr">
        <is>
          <t>Igen</t>
        </is>
      </c>
      <c r="H158" s="4" t="inlineStr">
        <is>
          <t>Digitális zseb- és precíziós mérleg (0,01 / 0,001 g), kalibráló súly</t>
        </is>
      </c>
      <c r="I158" s="4" t="inlineStr">
        <is>
          <t>Kategórialeírás (természetes említés)</t>
        </is>
      </c>
    </row>
    <row r="159">
      <c r="A159" s="4" t="inlineStr">
        <is>
          <t>Digitális mérleg, zsebmérleg</t>
        </is>
      </c>
      <c r="B159" s="4" t="n">
        <v>30</v>
      </c>
      <c r="C159" s="4" t="inlineStr">
        <is>
          <t>0.001 g mérleg</t>
        </is>
      </c>
      <c r="D159" s="4" t="n"/>
      <c r="E159" s="5" t="n">
        <v>10</v>
      </c>
      <c r="F159" s="4" t="inlineStr">
        <is>
          <t>Szoros</t>
        </is>
      </c>
      <c r="G159" s="4" t="inlineStr">
        <is>
          <t>Igen</t>
        </is>
      </c>
      <c r="H159" s="4" t="inlineStr">
        <is>
          <t>Digitális zseb- és precíziós mérleg (0,01 / 0,001 g), kalibráló súly</t>
        </is>
      </c>
      <c r="I159" s="4" t="inlineStr">
        <is>
          <t>Kategórialeírás (természetes említés)</t>
        </is>
      </c>
    </row>
    <row r="160">
      <c r="A160" s="7" t="inlineStr">
        <is>
          <t>Munkaeszköz: kesztyű, nagyító, grow szemüveg</t>
        </is>
      </c>
      <c r="B160" s="7" t="n">
        <v>24</v>
      </c>
      <c r="C160" s="7" t="inlineStr">
        <is>
          <t>led nagyító</t>
        </is>
      </c>
      <c r="D160" s="7" t="n"/>
      <c r="E160" s="8" t="n">
        <v>10</v>
      </c>
      <c r="F160" s="7" t="inlineStr">
        <is>
          <t>Laza</t>
        </is>
      </c>
      <c r="G160" s="7" t="inlineStr">
        <is>
          <t>Igen</t>
        </is>
      </c>
      <c r="H160" s="7" t="inlineStr">
        <is>
          <t>Feldolgozás közbeni munkaeszköz: nitril / vinyl kesztyű, LED-es nagyító, zsebmikroszkóp (trichóma-vizsgálat), grow / védőszemüveg</t>
        </is>
      </c>
      <c r="I160" s="7" t="inlineStr">
        <is>
          <t>Kategórialeírás (természetes említés)</t>
        </is>
      </c>
    </row>
  </sheetData>
  <autoFilter ref="A1:I1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Szárítóháló, növényszárító  –  fő kulcsszó: „szárítóháló”</t>
        </is>
      </c>
    </row>
    <row r="2">
      <c r="A2" s="2" t="inlineStr">
        <is>
          <t>Felhasználási terület: 1. lépés – szárítás: függő szárítóháló (több szintes), szárítóháló-szűrő</t>
        </is>
      </c>
    </row>
    <row r="3">
      <c r="A3" s="2" t="inlineStr">
        <is>
          <t>Megjegyzés: A „szárító állvány” (480) ruhaszárító, az „aszalógép” (2900) elektromos gyümölcsaszaló – egyik sem a mi termékünk (az aszalógép a Bővítés lapon).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szárítóháló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1. lépés – szárítás: függő szárítóháló (több szintes), szárítóháló-szűrő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aszalógép</t>
        </is>
      </c>
      <c r="C8" s="22" t="n">
        <v>2900</v>
      </c>
      <c r="D8" s="11" t="inlineStr">
        <is>
          <t>Laza</t>
        </is>
      </c>
      <c r="E8" s="11" t="inlineStr">
        <is>
          <t>Nem</t>
        </is>
      </c>
      <c r="F8" s="11" t="inlineStr">
        <is>
          <t>1. lépés – szárítás: függő szárítóháló (több szintes), szárítóháló-szűrő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szárító állvány</t>
        </is>
      </c>
      <c r="C9" s="22" t="n">
        <v>480</v>
      </c>
      <c r="D9" s="11" t="inlineStr">
        <is>
          <t>Laza</t>
        </is>
      </c>
      <c r="E9" s="11" t="inlineStr">
        <is>
          <t>Nem</t>
        </is>
      </c>
      <c r="F9" s="11" t="inlineStr">
        <is>
          <t>1. lépés – szárítás: függő szárítóháló (több szintes), szárítóháló-szűrő</t>
        </is>
      </c>
      <c r="G9" s="11" t="inlineStr">
        <is>
          <t>Nem célozni külön oldallal (max. említés)</t>
        </is>
      </c>
    </row>
    <row r="10">
      <c r="A10" s="7" t="n">
        <v>4</v>
      </c>
      <c r="B10" s="7" t="inlineStr">
        <is>
          <t>levendula szárítása</t>
        </is>
      </c>
      <c r="C10" s="8" t="n">
        <v>140</v>
      </c>
      <c r="D10" s="7" t="inlineStr">
        <is>
          <t>Laza</t>
        </is>
      </c>
      <c r="E10" s="7" t="inlineStr">
        <is>
          <t>Igen</t>
        </is>
      </c>
      <c r="F10" s="7" t="inlineStr">
        <is>
          <t>1. lépés – szárítás: függő szárítóháló (több szintes), szárítóháló-szűrő</t>
        </is>
      </c>
      <c r="G10" s="7" t="inlineStr">
        <is>
          <t>Leírás alsó része, GYIK vagy blog</t>
        </is>
      </c>
    </row>
    <row r="11">
      <c r="A11" s="4" t="n">
        <v>5</v>
      </c>
      <c r="B11" s="4" t="inlineStr">
        <is>
          <t>szárító háló</t>
        </is>
      </c>
      <c r="C11" s="5" t="n">
        <v>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1. lépés – szárítás: függő szárítóháló (több szintes), szárítóháló-szűrő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növényszárító háló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1. lépés – szárítás: függő szárítóháló (több szintes), szárítóháló-szűrő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növényszárító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1. lépés – szárítás: függő szárítóháló (több szintes), szárítóháló-szűrő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gyógynövény szárító</t>
        </is>
      </c>
      <c r="C14" s="5" t="n">
        <v>50</v>
      </c>
      <c r="D14" s="4" t="inlineStr">
        <is>
          <t>Szoros</t>
        </is>
      </c>
      <c r="E14" s="4" t="inlineStr">
        <is>
          <t>Igen</t>
        </is>
      </c>
      <c r="F14" s="4" t="inlineStr">
        <is>
          <t>1. lépés – szárítás: függő szárítóháló (több szintes), szárítóháló-szűrő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fűszer szárító</t>
        </is>
      </c>
      <c r="C15" s="8" t="n">
        <v>50</v>
      </c>
      <c r="D15" s="7" t="inlineStr">
        <is>
          <t>Laza</t>
        </is>
      </c>
      <c r="E15" s="7" t="inlineStr">
        <is>
          <t>Igen</t>
        </is>
      </c>
      <c r="F15" s="7" t="inlineStr">
        <is>
          <t>1. lépés – szárítás: függő szárítóháló (több szintes), szárítóháló-szűrő</t>
        </is>
      </c>
      <c r="G15" s="7" t="inlineStr">
        <is>
          <t>Kategórialeírás (természetes említés)</t>
        </is>
      </c>
    </row>
    <row r="16">
      <c r="A16" s="7" t="n">
        <v>10</v>
      </c>
      <c r="B16" s="7" t="inlineStr">
        <is>
          <t>fűszernövény szárítás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1. lépés – szárítás: függő szárítóháló (több szintes), szárítóháló-szűrő</t>
        </is>
      </c>
      <c r="G16" s="7" t="inlineStr">
        <is>
          <t>Leírás alsó része, GYIK vagy blog</t>
        </is>
      </c>
    </row>
    <row r="17">
      <c r="A17" s="7" t="n">
        <v>11</v>
      </c>
      <c r="B17" s="7" t="inlineStr">
        <is>
          <t>fűszer szárítás</t>
        </is>
      </c>
      <c r="C17" s="8" t="n">
        <v>50</v>
      </c>
      <c r="D17" s="7" t="inlineStr">
        <is>
          <t>Laza</t>
        </is>
      </c>
      <c r="E17" s="7" t="inlineStr">
        <is>
          <t>Igen</t>
        </is>
      </c>
      <c r="F17" s="7" t="inlineStr">
        <is>
          <t>1. lépés – szárítás: függő szárítóháló (több szintes), szárítóháló-szűrő</t>
        </is>
      </c>
      <c r="G17" s="7" t="inlineStr">
        <is>
          <t>Leírás alsó része, GYIK vagy blog</t>
        </is>
      </c>
    </row>
    <row r="18">
      <c r="A18" s="7" t="n">
        <v>12</v>
      </c>
      <c r="B18" s="7" t="inlineStr">
        <is>
          <t>gomba szárítása</t>
        </is>
      </c>
      <c r="C18" s="8" t="n">
        <v>50</v>
      </c>
      <c r="D18" s="7" t="inlineStr">
        <is>
          <t>Laza</t>
        </is>
      </c>
      <c r="E18" s="7" t="inlineStr">
        <is>
          <t>Igen</t>
        </is>
      </c>
      <c r="F18" s="7" t="inlineStr">
        <is>
          <t>1. lépés – szárítás: függő szárítóháló (több szintes), szárítóháló-szűrő</t>
        </is>
      </c>
      <c r="G18" s="7" t="inlineStr">
        <is>
          <t>Leírás alsó része, GYIK vagy blog</t>
        </is>
      </c>
    </row>
    <row r="19">
      <c r="A19" s="7" t="n">
        <v>13</v>
      </c>
      <c r="B19" s="7" t="inlineStr">
        <is>
          <t>fűszernövények szárítása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1. lépés – szárítás: függő szárítóháló (több szintes), szárítóháló-szűrő</t>
        </is>
      </c>
      <c r="G19" s="7" t="inlineStr">
        <is>
          <t>Leírás alsó része, GYIK vagy blog</t>
        </is>
      </c>
    </row>
    <row r="20">
      <c r="A20" s="7" t="n">
        <v>14</v>
      </c>
      <c r="B20" s="7" t="inlineStr">
        <is>
          <t>gyógynövény szárítása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1. lépés – szárítás: függő szárítóháló (több szintes), szárítóháló-szűrő</t>
        </is>
      </c>
      <c r="G20" s="7" t="inlineStr">
        <is>
          <t>Leírás alsó része, GYIK vagy blog</t>
        </is>
      </c>
    </row>
    <row r="21">
      <c r="A21" s="4" t="n">
        <v>15</v>
      </c>
      <c r="B21" s="4" t="inlineStr">
        <is>
          <t>gyógynövény szárító háló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1. lépés – szárítás: függő szárítóháló (több szintes), szárítóháló-szűrő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dry net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1. lépés – szárítás: függő szárítóháló (több szintes), szárítóháló-szűrő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függő szárító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1. lépés – szárítás: függő szárítóháló (több szintes), szárítóháló-szűrő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szárító kosár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1. lépés – szárítás: függő szárítóháló (több szintes), szárítóháló-szűrő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szárító zsák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1. lépés – szárítás: függő szárítóháló (több szintes), szárítóháló-szűrő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növény szárító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1. lépés – szárítás: függő szárítóháló (több szintes), szárítóháló-szűrő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növény szárítás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1. lépés – szárítás: függő szárítóháló (több szintes), szárítóháló-szűrő</t>
        </is>
      </c>
      <c r="G27" s="4" t="inlineStr">
        <is>
          <t>Leírás alsó része, GYIK vagy blog</t>
        </is>
      </c>
    </row>
    <row r="28">
      <c r="A28" s="7" t="n">
        <v>22</v>
      </c>
      <c r="B28" s="7" t="inlineStr">
        <is>
          <t>szárított gyógynövények tárolása</t>
        </is>
      </c>
      <c r="C28" s="8" t="n">
        <v>10</v>
      </c>
      <c r="D28" s="7" t="inlineStr">
        <is>
          <t>Laza</t>
        </is>
      </c>
      <c r="E28" s="7" t="inlineStr">
        <is>
          <t>Igen</t>
        </is>
      </c>
      <c r="F28" s="7" t="inlineStr">
        <is>
          <t>1. lépés – szárítás: függő szárítóháló (több szintes), szárítóháló-szűrő</t>
        </is>
      </c>
      <c r="G28" s="7" t="inlineStr">
        <is>
          <t>Leírás alsó része, GYIK vagy blog</t>
        </is>
      </c>
    </row>
    <row r="29">
      <c r="A29" s="11" t="n">
        <v>23</v>
      </c>
      <c r="B29" s="11" t="inlineStr">
        <is>
          <t>gyógynövény szárítógép</t>
        </is>
      </c>
      <c r="C29" s="22" t="n">
        <v>10</v>
      </c>
      <c r="D29" s="11" t="inlineStr">
        <is>
          <t>Laza</t>
        </is>
      </c>
      <c r="E29" s="11" t="inlineStr">
        <is>
          <t>Nem</t>
        </is>
      </c>
      <c r="F29" s="11" t="inlineStr">
        <is>
          <t>1. lépés – szárítás: függő szárítóháló (több szintes), szárítóháló-szűrő</t>
        </is>
      </c>
      <c r="G29" s="11" t="inlineStr">
        <is>
          <t>Nem célozni külön oldallal (max. említés)</t>
        </is>
      </c>
    </row>
    <row r="30">
      <c r="B30" s="10" t="inlineStr">
        <is>
          <t>Összesen (érdemes rá oldal = Igen):</t>
        </is>
      </c>
      <c r="C30" s="23">
        <f>SUMIFS(C7:C29,E7:E29,"Igen")</f>
        <v/>
      </c>
    </row>
    <row r="32">
      <c r="A32" s="10" t="inlineStr">
        <is>
          <t>Termékek a jelenlegi kínálatból: 7 db (elsődleges + másodlagos hozzárendelés; egy termék több kategóriában is szerepelhet)</t>
        </is>
      </c>
    </row>
    <row r="33">
      <c r="A33" s="3" t="inlineStr">
        <is>
          <t>#</t>
        </is>
      </c>
      <c r="B33" s="3" t="inlineStr">
        <is>
          <t>Termékkód</t>
        </is>
      </c>
      <c r="C33" s="3" t="inlineStr">
        <is>
          <t>Terméknév</t>
        </is>
      </c>
      <c r="D33" s="3" t="inlineStr">
        <is>
          <t>Hozzárendelés</t>
        </is>
      </c>
      <c r="E33" s="3" t="inlineStr">
        <is>
          <t>Illeszkedés</t>
        </is>
      </c>
      <c r="F33" s="3" t="inlineStr">
        <is>
          <t>Megjegyzés</t>
        </is>
      </c>
    </row>
    <row r="34">
      <c r="A34" s="4" t="n">
        <v>1</v>
      </c>
      <c r="B34" s="4" t="inlineStr">
        <is>
          <t>GRO0826</t>
        </is>
      </c>
      <c r="C34" s="4" t="inlineStr">
        <is>
          <t>Szárítóháló 55 cm termés és növényi részek szárításához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Szárítóháló</t>
        </is>
      </c>
    </row>
    <row r="35">
      <c r="A35" s="4" t="n">
        <v>2</v>
      </c>
      <c r="B35" s="4" t="inlineStr">
        <is>
          <t>GRO0827</t>
        </is>
      </c>
      <c r="C35" s="4" t="inlineStr">
        <is>
          <t>Szárítóháló 90 cm termés és növényi részek szárításához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Szárítóháló</t>
        </is>
      </c>
    </row>
    <row r="36">
      <c r="A36" s="4" t="n">
        <v>3</v>
      </c>
      <c r="B36" s="4" t="inlineStr">
        <is>
          <t>GRO2844</t>
        </is>
      </c>
      <c r="C36" s="4" t="inlineStr">
        <is>
          <t>Secret Jardin DRYIT szárítóháló Ø80 cm, 5 szintes, forgatható, hordtáskával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Szárítóháló</t>
        </is>
      </c>
    </row>
    <row r="37">
      <c r="A37" s="4" t="n">
        <v>4</v>
      </c>
      <c r="B37" s="4" t="inlineStr">
        <is>
          <t>GRO2845</t>
        </is>
      </c>
      <c r="C37" s="4" t="inlineStr">
        <is>
          <t>Secret Jardin DRYIT szárítóháló Ø45 cm, egyszintes, egymáshoz fűzhető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Szárítóháló</t>
        </is>
      </c>
    </row>
    <row r="38">
      <c r="A38" s="4" t="n">
        <v>5</v>
      </c>
      <c r="B38" s="4" t="inlineStr">
        <is>
          <t>GRO4299</t>
        </is>
      </c>
      <c r="C38" s="4" t="inlineStr">
        <is>
          <t>AC Infinity szárító háló 4 szintes d: 45 cm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Szárítóháló</t>
        </is>
      </c>
    </row>
    <row r="39">
      <c r="A39" s="4" t="n">
        <v>6</v>
      </c>
      <c r="B39" s="4" t="inlineStr">
        <is>
          <t>GRO4569</t>
        </is>
      </c>
      <c r="C39" s="4" t="inlineStr">
        <is>
          <t>Szárító háló normál 4 szintes d: 30 cm H: 40 cm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Szárítóháló</t>
        </is>
      </c>
    </row>
    <row r="40">
      <c r="A40" s="7" t="n">
        <v>7</v>
      </c>
      <c r="B40" s="7" t="inlineStr">
        <is>
          <t>GRO4572</t>
        </is>
      </c>
      <c r="C40" s="7" t="inlineStr">
        <is>
          <t>Szárító háló szűrő XL 120 mm x 120 mm x 50 mm</t>
        </is>
      </c>
      <c r="D40" s="7" t="inlineStr">
        <is>
          <t>Elsődleges</t>
        </is>
      </c>
      <c r="E40" s="7" t="inlineStr">
        <is>
          <t>Laza</t>
        </is>
      </c>
      <c r="F40" s="7" t="inlineStr">
        <is>
          <t>Szárítóháló szűrő (tartozék)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Trimmelő olló  –  fő kulcsszó: „trimmelő olló”</t>
        </is>
      </c>
    </row>
    <row r="2">
      <c r="A2" s="2" t="inlineStr">
        <is>
          <t>Felhasználási terület: Kézi trimmelő olló (egyenes / ívelt, rugós, Saboten, AC Infinity), ollóélező</t>
        </is>
      </c>
    </row>
    <row r="3">
      <c r="A3" s="2" t="inlineStr">
        <is>
          <t>Megjegyzés: Trimmelő olló 30 – kicsi, de pontos; a „metszőolló” (kerti) LN. Márka (Saboten, chikamasa) = szűrő.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trimmelő olló</t>
        </is>
      </c>
      <c r="C7" s="5" t="n">
        <v>30</v>
      </c>
      <c r="D7" s="4" t="inlineStr">
        <is>
          <t>Szoros</t>
        </is>
      </c>
      <c r="E7" s="4" t="inlineStr">
        <is>
          <t>Igen</t>
        </is>
      </c>
      <c r="F7" s="4" t="inlineStr">
        <is>
          <t>Kézi trimmelő olló (egyenes / ívelt, rugós, Saboten, AC Infinity), ollóélező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metszőolló</t>
        </is>
      </c>
      <c r="C8" s="22" t="n">
        <v>2900</v>
      </c>
      <c r="D8" s="11" t="inlineStr">
        <is>
          <t>Laza</t>
        </is>
      </c>
      <c r="E8" s="11" t="inlineStr">
        <is>
          <t>Nem</t>
        </is>
      </c>
      <c r="F8" s="11" t="inlineStr">
        <is>
          <t>Kézi trimmelő olló (egyenes / ívelt, rugós, Saboten, AC Infinity), ollóélező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trimmelő</t>
        </is>
      </c>
      <c r="C9" s="22" t="n">
        <v>1600</v>
      </c>
      <c r="D9" s="11" t="inlineStr">
        <is>
          <t>Laza</t>
        </is>
      </c>
      <c r="E9" s="11" t="inlineStr">
        <is>
          <t>Nem</t>
        </is>
      </c>
      <c r="F9" s="11" t="inlineStr">
        <is>
          <t>Kézi trimmelő olló (egyenes / ívelt, rugós, Saboten, AC Infinity), ollóélező</t>
        </is>
      </c>
      <c r="G9" s="11" t="inlineStr">
        <is>
          <t>Nem célozni külön oldallal (max. említés)</t>
        </is>
      </c>
    </row>
    <row r="10">
      <c r="A10" s="7" t="n">
        <v>4</v>
      </c>
      <c r="B10" s="7" t="inlineStr">
        <is>
          <t>trimmelés</t>
        </is>
      </c>
      <c r="C10" s="8" t="n">
        <v>390</v>
      </c>
      <c r="D10" s="7" t="inlineStr">
        <is>
          <t>Laza</t>
        </is>
      </c>
      <c r="E10" s="7" t="inlineStr">
        <is>
          <t>Igen</t>
        </is>
      </c>
      <c r="F10" s="7" t="inlineStr">
        <is>
          <t>Kézi trimmelő olló (egyenes / ívelt, rugós, Saboten, AC Infinity), ollóélező</t>
        </is>
      </c>
      <c r="G10" s="7" t="inlineStr">
        <is>
          <t>Leírás alsó része, GYIK vagy blog</t>
        </is>
      </c>
    </row>
    <row r="11">
      <c r="A11" s="7" t="n">
        <v>5</v>
      </c>
      <c r="B11" s="7" t="inlineStr">
        <is>
          <t>olló élező</t>
        </is>
      </c>
      <c r="C11" s="8" t="n">
        <v>140</v>
      </c>
      <c r="D11" s="7" t="inlineStr">
        <is>
          <t>Laza</t>
        </is>
      </c>
      <c r="E11" s="7" t="inlineStr">
        <is>
          <t>Igen</t>
        </is>
      </c>
      <c r="F11" s="7" t="inlineStr">
        <is>
          <t>Kézi trimmelő olló (egyenes / ívelt, rugós, Saboten, AC Infinity), ollóélező</t>
        </is>
      </c>
      <c r="G11" s="7" t="inlineStr">
        <is>
          <t>Kategórialeírás (természetes említés)</t>
        </is>
      </c>
    </row>
    <row r="12">
      <c r="A12" s="7" t="n">
        <v>6</v>
      </c>
      <c r="B12" s="7" t="inlineStr">
        <is>
          <t>bonsai olló</t>
        </is>
      </c>
      <c r="C12" s="8" t="n">
        <v>110</v>
      </c>
      <c r="D12" s="7" t="inlineStr">
        <is>
          <t>Laza</t>
        </is>
      </c>
      <c r="E12" s="7" t="inlineStr">
        <is>
          <t>Igen</t>
        </is>
      </c>
      <c r="F12" s="7" t="inlineStr">
        <is>
          <t>Kézi trimmelő olló (egyenes / ívelt, rugós, Saboten, AC Infinity), ollóélező</t>
        </is>
      </c>
      <c r="G12" s="7" t="inlineStr">
        <is>
          <t>Kategórialeírás (természetes említés)</t>
        </is>
      </c>
    </row>
    <row r="13">
      <c r="A13" s="7" t="n">
        <v>7</v>
      </c>
      <c r="B13" s="7" t="inlineStr">
        <is>
          <t>szüretelő olló</t>
        </is>
      </c>
      <c r="C13" s="8" t="n">
        <v>110</v>
      </c>
      <c r="D13" s="7" t="inlineStr">
        <is>
          <t>Laza</t>
        </is>
      </c>
      <c r="E13" s="7" t="inlineStr">
        <is>
          <t>Igen</t>
        </is>
      </c>
      <c r="F13" s="7" t="inlineStr">
        <is>
          <t>Kézi trimmelő olló (egyenes / ívelt, rugós, Saboten, AC Infinity), ollóélező</t>
        </is>
      </c>
      <c r="G13" s="7" t="inlineStr">
        <is>
          <t>Kategórialeírás (természetes említés)</t>
        </is>
      </c>
    </row>
    <row r="14">
      <c r="A14" s="7" t="n">
        <v>8</v>
      </c>
      <c r="B14" s="7" t="inlineStr">
        <is>
          <t>trimmeles</t>
        </is>
      </c>
      <c r="C14" s="8" t="n">
        <v>90</v>
      </c>
      <c r="D14" s="7" t="inlineStr">
        <is>
          <t>Laza</t>
        </is>
      </c>
      <c r="E14" s="7" t="inlineStr">
        <is>
          <t>Igen</t>
        </is>
      </c>
      <c r="F14" s="7" t="inlineStr">
        <is>
          <t>Kézi trimmelő olló (egyenes / ívelt, rugós, Saboten, AC Infinity), ollóélező</t>
        </is>
      </c>
      <c r="G14" s="7" t="inlineStr">
        <is>
          <t>Leírás alsó része, GYIK vagy blog</t>
        </is>
      </c>
    </row>
    <row r="15">
      <c r="A15" s="7" t="n">
        <v>9</v>
      </c>
      <c r="B15" s="7" t="inlineStr">
        <is>
          <t>kézi metszőolló</t>
        </is>
      </c>
      <c r="C15" s="8" t="n">
        <v>40</v>
      </c>
      <c r="D15" s="7" t="inlineStr">
        <is>
          <t>Laza</t>
        </is>
      </c>
      <c r="E15" s="7" t="inlineStr">
        <is>
          <t>Igen</t>
        </is>
      </c>
      <c r="F15" s="7" t="inlineStr">
        <is>
          <t>Kézi trimmelő olló (egyenes / ívelt, rugós, Saboten, AC Infinity), ollóélező</t>
        </is>
      </c>
      <c r="G15" s="7" t="inlineStr">
        <is>
          <t>Kategórialeírás (természetes említés)</t>
        </is>
      </c>
    </row>
    <row r="16">
      <c r="A16" s="7" t="n">
        <v>10</v>
      </c>
      <c r="B16" s="7" t="inlineStr">
        <is>
          <t>olló élezése</t>
        </is>
      </c>
      <c r="C16" s="8" t="n">
        <v>40</v>
      </c>
      <c r="D16" s="7" t="inlineStr">
        <is>
          <t>Laza</t>
        </is>
      </c>
      <c r="E16" s="7" t="inlineStr">
        <is>
          <t>Igen</t>
        </is>
      </c>
      <c r="F16" s="7" t="inlineStr">
        <is>
          <t>Kézi trimmelő olló (egyenes / ívelt, rugós, Saboten, AC Infinity), ollóélező</t>
        </is>
      </c>
      <c r="G16" s="7" t="inlineStr">
        <is>
          <t>Leírás alsó része, GYIK vagy blog</t>
        </is>
      </c>
    </row>
    <row r="17">
      <c r="A17" s="7" t="n">
        <v>11</v>
      </c>
      <c r="B17" s="7" t="inlineStr">
        <is>
          <t>bonsai metszőolló</t>
        </is>
      </c>
      <c r="C17" s="8" t="n">
        <v>20</v>
      </c>
      <c r="D17" s="7" t="inlineStr">
        <is>
          <t>Laza</t>
        </is>
      </c>
      <c r="E17" s="7" t="inlineStr">
        <is>
          <t>Igen</t>
        </is>
      </c>
      <c r="F17" s="7" t="inlineStr">
        <is>
          <t>Kézi trimmelő olló (egyenes / ívelt, rugós, Saboten, AC Infinity), ollóélező</t>
        </is>
      </c>
      <c r="G17" s="7" t="inlineStr">
        <is>
          <t>Kategórialeírás (természetes említés)</t>
        </is>
      </c>
    </row>
    <row r="18">
      <c r="A18" s="7" t="n">
        <v>12</v>
      </c>
      <c r="B18" s="7" t="inlineStr">
        <is>
          <t>metszőolló tisztítása</t>
        </is>
      </c>
      <c r="C18" s="8" t="n">
        <v>20</v>
      </c>
      <c r="D18" s="7" t="inlineStr">
        <is>
          <t>Laza</t>
        </is>
      </c>
      <c r="E18" s="7" t="inlineStr">
        <is>
          <t>Igen</t>
        </is>
      </c>
      <c r="F18" s="7" t="inlineStr">
        <is>
          <t>Kézi trimmelő olló (egyenes / ívelt, rugós, Saboten, AC Infinity), ollóélező</t>
        </is>
      </c>
      <c r="G18" s="7" t="inlineStr">
        <is>
          <t>Leírás alsó része, GYIK vagy blog</t>
        </is>
      </c>
    </row>
    <row r="19">
      <c r="A19" s="4" t="n">
        <v>13</v>
      </c>
      <c r="B19" s="4" t="inlineStr">
        <is>
          <t>saboten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Kézi trimmelő olló (egyenes / ívelt, rugós, Saboten, AC Infinity), ollóélező</t>
        </is>
      </c>
      <c r="G19" s="4" t="inlineStr">
        <is>
          <t>Gyártóoldal / szűrő / termékoldal</t>
        </is>
      </c>
    </row>
    <row r="20">
      <c r="A20" s="4" t="n">
        <v>14</v>
      </c>
      <c r="B20" s="4" t="inlineStr">
        <is>
          <t>chikamasa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Kézi trimmelő olló (egyenes / ívelt, rugós, Saboten, AC Infinity), ollóélező</t>
        </is>
      </c>
      <c r="G20" s="4" t="inlineStr">
        <is>
          <t>Gyártóoldal / szűrő / termékoldal</t>
        </is>
      </c>
    </row>
    <row r="21">
      <c r="B21" s="10" t="inlineStr">
        <is>
          <t>Összesen (érdemes rá oldal = Igen):</t>
        </is>
      </c>
      <c r="C21" s="23">
        <f>SUMIFS(C7:C20,E7:E20,"Igen")</f>
        <v/>
      </c>
    </row>
    <row r="23">
      <c r="A23" s="10" t="inlineStr">
        <is>
          <t>Termékek a jelenlegi kínálatból: 15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GRO1109</t>
        </is>
      </c>
      <c r="C25" s="4" t="inlineStr">
        <is>
          <t>Trimmelőolló 165 mm egyenes acél pengékkel, csúszásmentes markolattal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Trimmelő olló</t>
        </is>
      </c>
    </row>
    <row r="26">
      <c r="A26" s="4" t="n">
        <v>2</v>
      </c>
      <c r="B26" s="4" t="inlineStr">
        <is>
          <t>GRO1140</t>
        </is>
      </c>
      <c r="C26" s="4" t="inlineStr">
        <is>
          <t>Trimmelő olló kicsi, rugós visszatérítésű acél pengékkel, ergonomikus fogantyúval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Trimmelő olló</t>
        </is>
      </c>
    </row>
    <row r="27">
      <c r="A27" s="4" t="n">
        <v>3</v>
      </c>
      <c r="B27" s="4" t="inlineStr">
        <is>
          <t>GRO3843</t>
        </is>
      </c>
      <c r="C27" s="4" t="inlineStr">
        <is>
          <t>Easy Snips trimmelő olló ívelt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Trimmelő olló</t>
        </is>
      </c>
    </row>
    <row r="28">
      <c r="A28" s="4" t="n">
        <v>4</v>
      </c>
      <c r="B28" s="4" t="inlineStr">
        <is>
          <t>GRO3844</t>
        </is>
      </c>
      <c r="C28" s="4" t="inlineStr">
        <is>
          <t>Easy Snips trimmelő olló egyenes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Trimmelő olló</t>
        </is>
      </c>
    </row>
    <row r="29">
      <c r="A29" s="4" t="n">
        <v>5</v>
      </c>
      <c r="B29" s="4" t="inlineStr">
        <is>
          <t>GRO4204</t>
        </is>
      </c>
      <c r="C29" s="4" t="inlineStr">
        <is>
          <t>AC Infinity trimmelő olló ívelt,rozsdamentes acél 16,8 cm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Trimmelő olló</t>
        </is>
      </c>
    </row>
    <row r="30">
      <c r="A30" s="4" t="n">
        <v>6</v>
      </c>
      <c r="B30" s="4" t="inlineStr">
        <is>
          <t>GRO4205</t>
        </is>
      </c>
      <c r="C30" s="4" t="inlineStr">
        <is>
          <t>AC Infinity trimmelő olló egyenes,rozsdamentes acél 16,8 cm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Trimmelő olló</t>
        </is>
      </c>
    </row>
    <row r="31">
      <c r="A31" s="4" t="n">
        <v>7</v>
      </c>
      <c r="B31" s="4" t="inlineStr">
        <is>
          <t>GRO4206</t>
        </is>
      </c>
      <c r="C31" s="4" t="inlineStr">
        <is>
          <t>AC Infinity trimmelő olló egyenes,rozsdamentes acél,tisztítószettel 16,8 cm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Trimmelő olló</t>
        </is>
      </c>
    </row>
    <row r="32">
      <c r="A32" s="4" t="n">
        <v>8</v>
      </c>
      <c r="B32" s="4" t="inlineStr">
        <is>
          <t>GRO4275</t>
        </is>
      </c>
      <c r="C32" s="4" t="inlineStr">
        <is>
          <t>GF Trimmelő olló egyenes plasztik piros 21 cm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Trimmelő olló</t>
        </is>
      </c>
    </row>
    <row r="33">
      <c r="A33" s="4" t="n">
        <v>9</v>
      </c>
      <c r="B33" s="4" t="inlineStr">
        <is>
          <t>GRO4276</t>
        </is>
      </c>
      <c r="C33" s="4" t="inlineStr">
        <is>
          <t>GF Trimmelő olló egyenes gumírozott fekete-piros 20,5 cm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Trimmelő olló</t>
        </is>
      </c>
    </row>
    <row r="34">
      <c r="A34" s="4" t="n">
        <v>10</v>
      </c>
      <c r="B34" s="4" t="inlineStr">
        <is>
          <t>GRO4277</t>
        </is>
      </c>
      <c r="C34" s="4" t="inlineStr">
        <is>
          <t>GF Trimmelő olló egyenes zöld-fekete 18,5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Trimmelő olló</t>
        </is>
      </c>
    </row>
    <row r="35">
      <c r="A35" s="4" t="n">
        <v>11</v>
      </c>
      <c r="B35" s="4" t="inlineStr">
        <is>
          <t>GRO4602</t>
        </is>
      </c>
      <c r="C35" s="4" t="inlineStr">
        <is>
          <t>Saboten precíziós trimmelőolló, 10 cm, rugós karral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Trimmelő olló</t>
        </is>
      </c>
    </row>
    <row r="36">
      <c r="A36" s="4" t="n">
        <v>12</v>
      </c>
      <c r="B36" s="4" t="inlineStr">
        <is>
          <t>GRO4603</t>
        </is>
      </c>
      <c r="C36" s="4" t="inlineStr">
        <is>
          <t>Saboten PT-6 metsző- és trimmelőolló 48 mm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Trimmelő olló</t>
        </is>
      </c>
    </row>
    <row r="37">
      <c r="A37" s="7" t="n">
        <v>13</v>
      </c>
      <c r="B37" s="7" t="inlineStr">
        <is>
          <t>GRO4604</t>
        </is>
      </c>
      <c r="C37" s="7" t="inlineStr">
        <is>
          <t>Saboten PT-8 tungsten élező ollóhoz és késhez</t>
        </is>
      </c>
      <c r="D37" s="7" t="inlineStr">
        <is>
          <t>Elsődleges</t>
        </is>
      </c>
      <c r="E37" s="7" t="inlineStr">
        <is>
          <t>Laza</t>
        </is>
      </c>
      <c r="F37" s="7" t="inlineStr">
        <is>
          <t>Ollóélező</t>
        </is>
      </c>
    </row>
    <row r="38">
      <c r="A38" s="4" t="n">
        <v>14</v>
      </c>
      <c r="B38" s="4" t="inlineStr">
        <is>
          <t>GRO4605</t>
        </is>
      </c>
      <c r="C38" s="4" t="inlineStr">
        <is>
          <t>Saboten mágneses trimmelőolló egyenes, extra vékony rozsdamentes pengével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Trimmelő olló</t>
        </is>
      </c>
    </row>
    <row r="39">
      <c r="A39" s="4" t="n">
        <v>15</v>
      </c>
      <c r="B39" s="4" t="inlineStr">
        <is>
          <t>GRO4606</t>
        </is>
      </c>
      <c r="C39" s="4" t="inlineStr">
        <is>
          <t>Trimmelő olló Saboten PT-16 mágneses, ívelt pengével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Trimmelő olló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Trimmelő gép, trimmelő tál  –  fő kulcsszó: „trimmelő gép”</t>
        </is>
      </c>
    </row>
    <row r="2">
      <c r="A2" s="2" t="inlineStr">
        <is>
          <t>Felhasználási terület: Kézi és motoros trimmelő tál / gép, trimmelő asztal, trimmelő zsák</t>
        </is>
      </c>
    </row>
    <row r="3">
      <c r="A3" s="2" t="inlineStr">
        <is>
          <t>Megjegyzés: Trimmelő gép 320 (vegyes: szakállvágó is – laza), trimmer gép, trimmelő asztal.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trimmelő gép</t>
        </is>
      </c>
      <c r="C7" s="8" t="n">
        <v>320</v>
      </c>
      <c r="D7" s="7" t="inlineStr">
        <is>
          <t>Laza</t>
        </is>
      </c>
      <c r="E7" s="7" t="inlineStr">
        <is>
          <t>Igen</t>
        </is>
      </c>
      <c r="F7" s="7" t="inlineStr">
        <is>
          <t>Kézi és motoros trimmelő tál / gép, trimmelő asztal, trimmelő zsák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trimmer</t>
        </is>
      </c>
      <c r="C8" s="22" t="n">
        <v>880</v>
      </c>
      <c r="D8" s="11" t="inlineStr">
        <is>
          <t>Laza</t>
        </is>
      </c>
      <c r="E8" s="11" t="inlineStr">
        <is>
          <t>Nem</t>
        </is>
      </c>
      <c r="F8" s="11" t="inlineStr">
        <is>
          <t>Kézi és motoros trimmelő tál / gép, trimmelő asztal, trimmelő zsák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trimmer gép</t>
        </is>
      </c>
      <c r="C9" s="8" t="n">
        <v>70</v>
      </c>
      <c r="D9" s="7" t="inlineStr">
        <is>
          <t>Laza</t>
        </is>
      </c>
      <c r="E9" s="7" t="inlineStr">
        <is>
          <t>Igen</t>
        </is>
      </c>
      <c r="F9" s="7" t="inlineStr">
        <is>
          <t>Kézi és motoros trimmelő tál / gép, trimmelő asztal, trimmelő zsák</t>
        </is>
      </c>
      <c r="G9" s="7" t="inlineStr">
        <is>
          <t>SEO title / H1 / bevezető (másodlagos)</t>
        </is>
      </c>
    </row>
    <row r="10">
      <c r="A10" s="7" t="n">
        <v>4</v>
      </c>
      <c r="B10" s="7" t="inlineStr">
        <is>
          <t>trimmelők gep</t>
        </is>
      </c>
      <c r="C10" s="8" t="n">
        <v>30</v>
      </c>
      <c r="D10" s="7" t="inlineStr">
        <is>
          <t>Laza</t>
        </is>
      </c>
      <c r="E10" s="7" t="inlineStr">
        <is>
          <t>Igen</t>
        </is>
      </c>
      <c r="F10" s="7" t="inlineStr">
        <is>
          <t>Kézi és motoros trimmelő tál / gép, trimmelő asztal, trimmelő zsák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trimmelő asztal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Kézi és motoros trimmelő tál / gép, trimmelő asztal, trimmelő zsák</t>
        </is>
      </c>
      <c r="G11" s="4" t="inlineStr">
        <is>
          <t>Kategórialeírás (természetes említés)</t>
        </is>
      </c>
    </row>
    <row r="12">
      <c r="B12" s="10" t="inlineStr">
        <is>
          <t>Összesen (érdemes rá oldal = Igen):</t>
        </is>
      </c>
      <c r="C12" s="23">
        <f>SUMIFS(C7:C11,E7:E11,"Igen")</f>
        <v/>
      </c>
    </row>
    <row r="14">
      <c r="A14" s="10" t="inlineStr">
        <is>
          <t>Termékek a jelenlegi kínálatból: 7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GRO2788</t>
        </is>
      </c>
      <c r="C16" s="4" t="inlineStr">
        <is>
          <t>Manuális trimmelő tál 39,5 cm, kézi hajtókaros, átlátszó fedéllel, 30 pengével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Trimmelő tál / gép / zsák</t>
        </is>
      </c>
    </row>
    <row r="17">
      <c r="A17" s="4" t="n">
        <v>2</v>
      </c>
      <c r="B17" s="4" t="inlineStr">
        <is>
          <t>GRO2789</t>
        </is>
      </c>
      <c r="C17" s="4" t="inlineStr">
        <is>
          <t>Elektromos trimmelő asztal állítható pengesebességgel és hulladékgyűjtővel, 46 x 46 x 64,5 cm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Trimmelő tál / gép / zsák</t>
        </is>
      </c>
    </row>
    <row r="18">
      <c r="A18" s="4" t="n">
        <v>3</v>
      </c>
      <c r="B18" s="4" t="inlineStr">
        <is>
          <t>GRO3740</t>
        </is>
      </c>
      <c r="C18" s="4" t="inlineStr">
        <is>
          <t>Master Products trimmelő gép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Trimmelő tál / gép / zsák</t>
        </is>
      </c>
    </row>
    <row r="19">
      <c r="A19" s="4" t="n">
        <v>4</v>
      </c>
      <c r="B19" s="4" t="inlineStr">
        <is>
          <t>GRO3827</t>
        </is>
      </c>
      <c r="C19" s="4" t="inlineStr">
        <is>
          <t>Trimmelő zsák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Trimmelő tál / gép / zsák</t>
        </is>
      </c>
    </row>
    <row r="20">
      <c r="A20" s="4" t="n">
        <v>5</v>
      </c>
      <c r="B20" s="4" t="inlineStr">
        <is>
          <t>GRO4235</t>
        </is>
      </c>
      <c r="C20" s="4" t="inlineStr">
        <is>
          <t>Trimmelőgép Peladora Rapax Secret Smoke 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Trimmelő tál / gép / zsák</t>
        </is>
      </c>
    </row>
    <row r="21">
      <c r="A21" s="4" t="n">
        <v>6</v>
      </c>
      <c r="B21" s="4" t="inlineStr">
        <is>
          <t>GRO4273</t>
        </is>
      </c>
      <c r="C21" s="4" t="inlineStr">
        <is>
          <t>GF manuális trimmelő 40 cm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Trimmelő tál / gép / zsák</t>
        </is>
      </c>
    </row>
    <row r="22">
      <c r="A22" s="4" t="n">
        <v>7</v>
      </c>
      <c r="B22" s="4" t="inlineStr">
        <is>
          <t>GRO4372</t>
        </is>
      </c>
      <c r="C22" s="4" t="inlineStr">
        <is>
          <t>Trimmelőgép motoros tál d: 62 cm H: 48 cm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Trimmelő tál / gép / zsák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Páratartalom-szabályzó tasak  –  fő kulcsszó: „boveda”</t>
        </is>
      </c>
    </row>
    <row r="2">
      <c r="A2" s="2" t="inlineStr">
        <is>
          <t>Felhasználási terület: Kétirányú páratartalom-szabályzó tasak (Boveda, Integra Boost) az érleléshez és tároláshoz</t>
        </is>
      </c>
    </row>
    <row r="3">
      <c r="A3" s="2" t="inlineStr">
        <is>
          <t>Megjegyzés: A „fermentálás”, „fermentáló üveg” (1300), „fermentált káposztalé” (1600) savanyúság-készítés – nem a mi vevőnk. A „páratartalom-szabályzó tasak” kifejezésre nincs mérhető keresés; a márkanév (Boveda 210) viszi.</t>
        </is>
      </c>
    </row>
    <row r="4">
      <c r="A4" s="2" t="inlineStr">
        <is>
          <t>Felvett releváns kulcsszavak: 18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boveda</t>
        </is>
      </c>
      <c r="C7" s="5" t="n">
        <v>210</v>
      </c>
      <c r="D7" s="4" t="inlineStr">
        <is>
          <t>Szoros</t>
        </is>
      </c>
      <c r="E7" s="4" t="inlineStr">
        <is>
          <t>Igen</t>
        </is>
      </c>
      <c r="F7" s="4" t="inlineStr">
        <is>
          <t>Kétirányú páratartalom-szabályzó tasak (Boveda, Integra Boost) az érleléshez és tároláshoz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fermentálás</t>
        </is>
      </c>
      <c r="C8" s="22" t="n">
        <v>6600</v>
      </c>
      <c r="D8" s="11" t="inlineStr">
        <is>
          <t>Laza</t>
        </is>
      </c>
      <c r="E8" s="11" t="inlineStr">
        <is>
          <t>Nem</t>
        </is>
      </c>
      <c r="F8" s="11" t="inlineStr">
        <is>
          <t>Kétirányú páratartalom-szabályzó tasak (Boveda, Integra Boost) az érleléshez és tároláshoz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fermentáló üveg</t>
        </is>
      </c>
      <c r="C9" s="22" t="n">
        <v>1300</v>
      </c>
      <c r="D9" s="11" t="inlineStr">
        <is>
          <t>Laza</t>
        </is>
      </c>
      <c r="E9" s="11" t="inlineStr">
        <is>
          <t>Nem</t>
        </is>
      </c>
      <c r="F9" s="11" t="inlineStr">
        <is>
          <t>Kétirányú páratartalom-szabályzó tasak (Boveda, Integra Boost) az érleléshez és tároláshoz</t>
        </is>
      </c>
      <c r="G9" s="11" t="inlineStr">
        <is>
          <t>Nem célozni külön oldallal (max. említés)</t>
        </is>
      </c>
    </row>
    <row r="10">
      <c r="A10" s="12" t="n">
        <v>4</v>
      </c>
      <c r="B10" s="12" t="inlineStr">
        <is>
          <t>humidorshop</t>
        </is>
      </c>
      <c r="C10" s="21" t="n">
        <v>1000</v>
      </c>
      <c r="D10" s="12" t="inlineStr">
        <is>
          <t>Nincs (áruházi / nem vásárlási szándék)</t>
        </is>
      </c>
      <c r="E10" s="12" t="inlineStr">
        <is>
          <t>Nem – kizárandó</t>
        </is>
      </c>
      <c r="F10" s="12" t="inlineStr">
        <is>
          <t>Kétirányú páratartalom-szabályzó tasak (Boveda, Integra Boost) az érleléshez és tároláshoz</t>
        </is>
      </c>
      <c r="G10" s="12" t="inlineStr">
        <is>
          <t>Nem használni (áruházi/nem vásárlási szándék)</t>
        </is>
      </c>
    </row>
    <row r="11">
      <c r="A11" s="7" t="n">
        <v>5</v>
      </c>
      <c r="B11" s="7" t="inlineStr">
        <is>
          <t>humidor</t>
        </is>
      </c>
      <c r="C11" s="8" t="n">
        <v>880</v>
      </c>
      <c r="D11" s="7" t="inlineStr">
        <is>
          <t>Laza</t>
        </is>
      </c>
      <c r="E11" s="7" t="inlineStr">
        <is>
          <t>Igen</t>
        </is>
      </c>
      <c r="F11" s="7" t="inlineStr">
        <is>
          <t>Kétirányú páratartalom-szabályzó tasak (Boveda, Integra Boost) az érleléshez és tároláshoz</t>
        </is>
      </c>
      <c r="G11" s="7" t="inlineStr">
        <is>
          <t>SEO title / H1 / bevezető (másodlagos)</t>
        </is>
      </c>
    </row>
    <row r="12">
      <c r="A12" s="11" t="n">
        <v>6</v>
      </c>
      <c r="B12" s="11" t="inlineStr">
        <is>
          <t>fermentálás házilag</t>
        </is>
      </c>
      <c r="C12" s="22" t="n">
        <v>390</v>
      </c>
      <c r="D12" s="11" t="inlineStr">
        <is>
          <t>Laza</t>
        </is>
      </c>
      <c r="E12" s="11" t="inlineStr">
        <is>
          <t>Nem</t>
        </is>
      </c>
      <c r="F12" s="11" t="inlineStr">
        <is>
          <t>Kétirányú páratartalom-szabályzó tasak (Boveda, Integra Boost) az érleléshez és tároláshoz</t>
        </is>
      </c>
      <c r="G12" s="11" t="inlineStr">
        <is>
          <t>Nem célozni külön oldallal (max. említés)</t>
        </is>
      </c>
    </row>
    <row r="13">
      <c r="A13" s="11" t="n">
        <v>7</v>
      </c>
      <c r="B13" s="11" t="inlineStr">
        <is>
          <t>fermentáció</t>
        </is>
      </c>
      <c r="C13" s="22" t="n">
        <v>260</v>
      </c>
      <c r="D13" s="11" t="inlineStr">
        <is>
          <t>Laza</t>
        </is>
      </c>
      <c r="E13" s="11" t="inlineStr">
        <is>
          <t>Nem</t>
        </is>
      </c>
      <c r="F13" s="11" t="inlineStr">
        <is>
          <t>Kétirányú páratartalom-szabályzó tasak (Boveda, Integra Boost) az érleléshez és tároláshoz</t>
        </is>
      </c>
      <c r="G13" s="11" t="inlineStr">
        <is>
          <t>Nem célozni külön oldallal (max. említés)</t>
        </is>
      </c>
    </row>
    <row r="14">
      <c r="A14" s="7" t="n">
        <v>8</v>
      </c>
      <c r="B14" s="7" t="inlineStr">
        <is>
          <t>száraz fermentálás</t>
        </is>
      </c>
      <c r="C14" s="8" t="n">
        <v>90</v>
      </c>
      <c r="D14" s="7" t="inlineStr">
        <is>
          <t>Laza</t>
        </is>
      </c>
      <c r="E14" s="7" t="inlineStr">
        <is>
          <t>Igen</t>
        </is>
      </c>
      <c r="F14" s="7" t="inlineStr">
        <is>
          <t>Kétirányú páratartalom-szabályzó tasak (Boveda, Integra Boost) az érleléshez és tároláshoz</t>
        </is>
      </c>
      <c r="G14" s="7" t="inlineStr">
        <is>
          <t>Leírás alsó része, GYIK vagy blog</t>
        </is>
      </c>
    </row>
    <row r="15">
      <c r="A15" s="7" t="n">
        <v>9</v>
      </c>
      <c r="B15" s="7" t="inlineStr">
        <is>
          <t>gyógynövény tároló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Kétirányú páratartalom-szabályzó tasak (Boveda, Integra Boost) az érleléshez és tároláshoz</t>
        </is>
      </c>
      <c r="G15" s="7" t="inlineStr">
        <is>
          <t>Kategórialeírás (természetes említés)</t>
        </is>
      </c>
    </row>
    <row r="16">
      <c r="A16" s="11" t="n">
        <v>10</v>
      </c>
      <c r="B16" s="11" t="inlineStr">
        <is>
          <t>érlelő tasak</t>
        </is>
      </c>
      <c r="C16" s="22" t="n">
        <v>20</v>
      </c>
      <c r="D16" s="11" t="inlineStr">
        <is>
          <t>Laza</t>
        </is>
      </c>
      <c r="E16" s="11" t="inlineStr">
        <is>
          <t>Nem</t>
        </is>
      </c>
      <c r="F16" s="11" t="inlineStr">
        <is>
          <t>Kétirányú páratartalom-szabályzó tasak (Boveda, Integra Boost) az érleléshez és tároláshoz</t>
        </is>
      </c>
      <c r="G16" s="11" t="inlineStr">
        <is>
          <t>Nem célozni külön oldallal (max. említés)</t>
        </is>
      </c>
    </row>
    <row r="17">
      <c r="A17" s="4" t="n">
        <v>11</v>
      </c>
      <c r="B17" s="4" t="inlineStr">
        <is>
          <t>integra boost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Kétirányú páratartalom-szabályzó tasak (Boveda, Integra Boost) az érleléshez és tároláshoz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boveda 50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Kétirányú páratartalom-szabályzó tasak (Boveda, Integra Boost) az érleléshez és tároláshoz</t>
        </is>
      </c>
      <c r="G18" s="4" t="inlineStr">
        <is>
          <t>Gyártóoldal / szűrő / termékoldal</t>
        </is>
      </c>
    </row>
    <row r="19">
      <c r="A19" s="4" t="n">
        <v>13</v>
      </c>
      <c r="B19" s="4" t="inlineStr">
        <is>
          <t>boveda 84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Kétirányú páratartalom-szabályzó tasak (Boveda, Integra Boost) az érleléshez és tároláshoz</t>
        </is>
      </c>
      <c r="G19" s="4" t="inlineStr">
        <is>
          <t>Gyártóoldal / szűrő / termékoldal</t>
        </is>
      </c>
    </row>
    <row r="20">
      <c r="A20" s="4" t="n">
        <v>14</v>
      </c>
      <c r="B20" s="4" t="inlineStr">
        <is>
          <t>integra boost 72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Kétirányú páratartalom-szabályzó tasak (Boveda, Integra Boost) az érleléshez és tároláshoz</t>
        </is>
      </c>
      <c r="G20" s="4" t="inlineStr">
        <is>
          <t>Gyártóoldal / szűrő / termékoldal</t>
        </is>
      </c>
    </row>
    <row r="21">
      <c r="A21" s="4" t="n">
        <v>15</v>
      </c>
      <c r="B21" s="4" t="inlineStr">
        <is>
          <t>integra 62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Kétirányú páratartalom-szabályzó tasak (Boveda, Integra Boost) az érleléshez és tároláshoz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boveda használata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Kétirányú páratartalom-szabályzó tasak (Boveda, Integra Boost) az érleléshez és tároláshoz</t>
        </is>
      </c>
      <c r="G22" s="4" t="inlineStr">
        <is>
          <t>Leírás alsó része, GYIK vagy blog</t>
        </is>
      </c>
    </row>
    <row r="23">
      <c r="A23" s="4" t="n">
        <v>17</v>
      </c>
      <c r="B23" s="4" t="inlineStr">
        <is>
          <t>kúrálás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Kétirányú páratartalom-szabályzó tasak (Boveda, Integra Boost) az érleléshez és tároláshoz</t>
        </is>
      </c>
      <c r="G23" s="4" t="inlineStr">
        <is>
          <t>Leírás alsó része, GYIK vagy blog</t>
        </is>
      </c>
    </row>
    <row r="24">
      <c r="A24" s="7" t="n">
        <v>18</v>
      </c>
      <c r="B24" s="7" t="inlineStr">
        <is>
          <t>érlelés</t>
        </is>
      </c>
      <c r="C24" s="8" t="n">
        <v>10</v>
      </c>
      <c r="D24" s="7" t="inlineStr">
        <is>
          <t>Laza</t>
        </is>
      </c>
      <c r="E24" s="7" t="inlineStr">
        <is>
          <t>Igen</t>
        </is>
      </c>
      <c r="F24" s="7" t="inlineStr">
        <is>
          <t>Kétirányú páratartalom-szabályzó tasak (Boveda, Integra Boost) az érleléshez és tároláshoz</t>
        </is>
      </c>
      <c r="G24" s="7" t="inlineStr">
        <is>
          <t>Leírás alsó része, GYIK vagy blog</t>
        </is>
      </c>
    </row>
    <row r="25">
      <c r="B25" s="10" t="inlineStr">
        <is>
          <t>Összesen (érdemes rá oldal = Igen):</t>
        </is>
      </c>
      <c r="C25" s="23">
        <f>SUMIFS(C7:C24,E7:E24,"Igen")</f>
        <v/>
      </c>
    </row>
    <row r="27">
      <c r="A27" s="10" t="inlineStr">
        <is>
          <t>Termékek a jelenlegi kínálatból: 20 db (elsődleges + másodlagos hozzárendelés; egy termék több kategóriában is szerepelhet)</t>
        </is>
      </c>
    </row>
    <row r="28">
      <c r="A28" s="3" t="inlineStr">
        <is>
          <t>#</t>
        </is>
      </c>
      <c r="B28" s="3" t="inlineStr">
        <is>
          <t>Termékkód</t>
        </is>
      </c>
      <c r="C28" s="3" t="inlineStr">
        <is>
          <t>Terméknév</t>
        </is>
      </c>
      <c r="D28" s="3" t="inlineStr">
        <is>
          <t>Hozzárendelés</t>
        </is>
      </c>
      <c r="E28" s="3" t="inlineStr">
        <is>
          <t>Illeszkedés</t>
        </is>
      </c>
      <c r="F28" s="3" t="inlineStr">
        <is>
          <t>Megjegyzés</t>
        </is>
      </c>
    </row>
    <row r="29">
      <c r="A29" s="4" t="n">
        <v>1</v>
      </c>
      <c r="B29" s="4" t="inlineStr">
        <is>
          <t>HED1892</t>
        </is>
      </c>
      <c r="C29" s="4" t="inlineStr">
        <is>
          <t>Boveda kétirányú páratartalmat biztosító csomag RH 58%, 4g, 21x21 mm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Boveda kétirányú páraszabályzó tasak</t>
        </is>
      </c>
    </row>
    <row r="30">
      <c r="A30" s="4" t="n">
        <v>2</v>
      </c>
      <c r="B30" s="4" t="inlineStr">
        <is>
          <t>HED1894</t>
        </is>
      </c>
      <c r="C30" s="4" t="inlineStr">
        <is>
          <t>Integra Boost nedvesség és páraszabályzó tasak RH 55%, 4g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Integra Boost páraszabályzó tasak</t>
        </is>
      </c>
    </row>
    <row r="31">
      <c r="A31" s="4" t="n">
        <v>3</v>
      </c>
      <c r="B31" s="4" t="inlineStr">
        <is>
          <t>HED1895</t>
        </is>
      </c>
      <c r="C31" s="4" t="inlineStr">
        <is>
          <t>Integra Boost nedvesség és páraszabályzó tasak RH 55%, 8g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Integra Boost páraszabályzó tasak</t>
        </is>
      </c>
    </row>
    <row r="32">
      <c r="A32" s="4" t="n">
        <v>4</v>
      </c>
      <c r="B32" s="4" t="inlineStr">
        <is>
          <t>HED1896</t>
        </is>
      </c>
      <c r="C32" s="4" t="inlineStr">
        <is>
          <t>Integra Boost nedvesség és páraszabályzó tasak RH 55%, 67g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Integra Boost páraszabályzó tasak</t>
        </is>
      </c>
    </row>
    <row r="33">
      <c r="A33" s="4" t="n">
        <v>5</v>
      </c>
      <c r="B33" s="4" t="inlineStr">
        <is>
          <t>HED1944</t>
        </is>
      </c>
      <c r="C33" s="4" t="inlineStr">
        <is>
          <t>Boveda kétirányú páratartalmat biztosító csomag RH 62%; 4g, 40x40 mm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Boveda kétirányú páraszabályzó tasak</t>
        </is>
      </c>
    </row>
    <row r="34">
      <c r="A34" s="4" t="n">
        <v>6</v>
      </c>
      <c r="B34" s="4" t="inlineStr">
        <is>
          <t>HED2041</t>
        </is>
      </c>
      <c r="C34" s="4" t="inlineStr">
        <is>
          <t>Boveda kétirányú páratartalmat biztosító csomag RH 62%; 67g, 132 x 89 mm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Boveda kétirányú páraszabályzó tasak</t>
        </is>
      </c>
    </row>
    <row r="35">
      <c r="A35" s="4" t="n">
        <v>7</v>
      </c>
      <c r="B35" s="4" t="inlineStr">
        <is>
          <t>HED2196</t>
        </is>
      </c>
      <c r="C35" s="4" t="inlineStr">
        <is>
          <t>Integra Boost nedvesség és páraszabályzó tasak RH 62%, 4g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Integra Boost páraszabályzó tasak</t>
        </is>
      </c>
    </row>
    <row r="36">
      <c r="A36" s="4" t="n">
        <v>8</v>
      </c>
      <c r="B36" s="4" t="inlineStr">
        <is>
          <t>HED2197</t>
        </is>
      </c>
      <c r="C36" s="4" t="inlineStr">
        <is>
          <t>Integra Boost nedvesség és páraszabályzó tasak RH 62%, 8g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Integra Boost páraszabályzó tasak</t>
        </is>
      </c>
    </row>
    <row r="37">
      <c r="A37" s="4" t="n">
        <v>9</v>
      </c>
      <c r="B37" s="4" t="inlineStr">
        <is>
          <t>HED2198</t>
        </is>
      </c>
      <c r="C37" s="4" t="inlineStr">
        <is>
          <t>Boveda páratartalom regulációs tasak (RH 62%; 8 g)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Boveda kétirányú páraszabályzó tasak</t>
        </is>
      </c>
    </row>
    <row r="38">
      <c r="A38" s="4" t="n">
        <v>10</v>
      </c>
      <c r="B38" s="4" t="inlineStr">
        <is>
          <t>HED2287</t>
        </is>
      </c>
      <c r="C38" s="4" t="inlineStr">
        <is>
          <t>Integra Boost nedvesség és páraszabályzó tasak RH 62%, 67g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Integra Boost páraszabályzó tasak</t>
        </is>
      </c>
    </row>
    <row r="39">
      <c r="A39" s="4" t="n">
        <v>11</v>
      </c>
      <c r="B39" s="4" t="inlineStr">
        <is>
          <t>HED2441</t>
        </is>
      </c>
      <c r="C39" s="4" t="inlineStr">
        <is>
          <t>Boveda páratartalom regulációs tasak (RH 62%; 320g)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Boveda kétirányú páraszabályzó tasak</t>
        </is>
      </c>
    </row>
    <row r="40">
      <c r="A40" s="4" t="n">
        <v>12</v>
      </c>
      <c r="B40" s="4" t="inlineStr">
        <is>
          <t>GRO4565</t>
        </is>
      </c>
      <c r="C40" s="4" t="inlineStr">
        <is>
          <t>Neu Bag Candy Gas terpénes aromatasak 5 g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Terpén- / aromatasak</t>
        </is>
      </c>
    </row>
    <row r="41">
      <c r="A41" s="4" t="n">
        <v>13</v>
      </c>
      <c r="B41" s="4" t="inlineStr">
        <is>
          <t>GRO4566</t>
        </is>
      </c>
      <c r="C41" s="4" t="inlineStr">
        <is>
          <t>Neu Bag Dessert terpénes aromatasak 5 g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Terpén- / aromatasak</t>
        </is>
      </c>
    </row>
    <row r="42">
      <c r="A42" s="4" t="n">
        <v>14</v>
      </c>
      <c r="B42" s="4" t="inlineStr">
        <is>
          <t>GRO4567</t>
        </is>
      </c>
      <c r="C42" s="4" t="inlineStr">
        <is>
          <t>Neu Bag Purple terpénes aromatasak 5 g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Terpén- / aromatasak</t>
        </is>
      </c>
    </row>
    <row r="43">
      <c r="A43" s="4" t="n">
        <v>15</v>
      </c>
      <c r="B43" s="4" t="inlineStr">
        <is>
          <t>GRO4568</t>
        </is>
      </c>
      <c r="C43" s="4" t="inlineStr">
        <is>
          <t>Neu Bag Sour terpénes aromatasak 5 g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Terpén- / aromatasak</t>
        </is>
      </c>
    </row>
    <row r="44">
      <c r="A44" s="4" t="n">
        <v>16</v>
      </c>
      <c r="B44" s="4" t="inlineStr">
        <is>
          <t>HED2288</t>
        </is>
      </c>
      <c r="C44" s="4" t="inlineStr">
        <is>
          <t>Integra Boost terpén - ízesített limonén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Terpén- / aromatasak</t>
        </is>
      </c>
    </row>
    <row r="45">
      <c r="A45" s="4" t="n">
        <v>17</v>
      </c>
      <c r="B45" s="4" t="inlineStr">
        <is>
          <t>HED2289</t>
        </is>
      </c>
      <c r="C45" s="4" t="inlineStr">
        <is>
          <t>Integra Boost terpén - ízesített mircén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Terpén- / aromatasak</t>
        </is>
      </c>
    </row>
    <row r="46">
      <c r="A46" s="4" t="n">
        <v>18</v>
      </c>
      <c r="B46" s="4" t="inlineStr">
        <is>
          <t>HED2329</t>
        </is>
      </c>
      <c r="C46" s="4" t="inlineStr">
        <is>
          <t>Integra Boost terpén - ízesített terpinolén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Terpén- / aromatasak</t>
        </is>
      </c>
    </row>
    <row r="47">
      <c r="A47" s="4" t="n">
        <v>19</v>
      </c>
      <c r="B47" s="4" t="inlineStr">
        <is>
          <t>HED2330</t>
        </is>
      </c>
      <c r="C47" s="4" t="inlineStr">
        <is>
          <t>Integra Boost terpén - ízesített linalol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Terpén- / aromatasak</t>
        </is>
      </c>
    </row>
    <row r="48">
      <c r="A48" s="4" t="n">
        <v>20</v>
      </c>
      <c r="B48" s="4" t="inlineStr">
        <is>
          <t>HED2331</t>
        </is>
      </c>
      <c r="C48" s="4" t="inlineStr">
        <is>
          <t>Integra Boost terpén - ízesített humulén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Terpén- / aromatasak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Terpén aromatasak  –  fő kulcsszó: „terpén”</t>
        </is>
      </c>
    </row>
    <row r="2">
      <c r="A2" s="2" t="inlineStr">
        <is>
          <t>Felhasználási terület: Terpén- / aromatasak (Integra Boost terpén, Neu Bag) – aroma megőrzése tároláskor</t>
        </is>
      </c>
    </row>
    <row r="3">
      <c r="A3" s="2" t="inlineStr">
        <is>
          <t>Megjegyzés: Saját termékcsoport (9 élő termék); a „terpén” (90) és a „terpének” keresés jórészt ismeretterjesztő – laza, tartalommal.</t>
        </is>
      </c>
    </row>
    <row r="4">
      <c r="A4" s="2" t="inlineStr">
        <is>
          <t>Felvett releváns kulcsszavak: 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terpén</t>
        </is>
      </c>
      <c r="C7" s="8" t="n">
        <v>90</v>
      </c>
      <c r="D7" s="7" t="inlineStr">
        <is>
          <t>Laza</t>
        </is>
      </c>
      <c r="E7" s="7" t="inlineStr">
        <is>
          <t>Igen</t>
        </is>
      </c>
      <c r="F7" s="7" t="inlineStr">
        <is>
          <t>Terpén- / aromatasak (Integra Boost terpén, Neu Bag) – aroma megőrzése tároláskor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terpének</t>
        </is>
      </c>
      <c r="C8" s="8" t="n">
        <v>140</v>
      </c>
      <c r="D8" s="7" t="inlineStr">
        <is>
          <t>Laza</t>
        </is>
      </c>
      <c r="E8" s="7" t="inlineStr">
        <is>
          <t>Igen</t>
        </is>
      </c>
      <c r="F8" s="7" t="inlineStr">
        <is>
          <t>Terpén- / aromatasak (Integra Boost terpén, Neu Bag) – aroma megőrzése tároláskor</t>
        </is>
      </c>
      <c r="G8" s="7" t="inlineStr">
        <is>
          <t>Leírás alsó része, GYIK vagy blog</t>
        </is>
      </c>
    </row>
    <row r="9">
      <c r="B9" s="10" t="inlineStr">
        <is>
          <t>Összesen (érdemes rá oldal = Igen):</t>
        </is>
      </c>
      <c r="C9" s="23">
        <f>SUMIFS(C7:C8,E7:E8,"Igen")</f>
        <v/>
      </c>
    </row>
    <row r="11">
      <c r="A11" s="10" t="inlineStr">
        <is>
          <t>Termékek a jelenlegi kínálatból: 9 db (elsődleges + másodlagos hozzárendelés; egy termék több kategóriában is szerepelhet)</t>
        </is>
      </c>
    </row>
    <row r="12">
      <c r="A12" s="3" t="inlineStr">
        <is>
          <t>#</t>
        </is>
      </c>
      <c r="B12" s="3" t="inlineStr">
        <is>
          <t>Termékkód</t>
        </is>
      </c>
      <c r="C12" s="3" t="inlineStr">
        <is>
          <t>Terméknév</t>
        </is>
      </c>
      <c r="D12" s="3" t="inlineStr">
        <is>
          <t>Hozzárendelés</t>
        </is>
      </c>
      <c r="E12" s="3" t="inlineStr">
        <is>
          <t>Illeszkedés</t>
        </is>
      </c>
      <c r="F12" s="3" t="inlineStr">
        <is>
          <t>Megjegyzés</t>
        </is>
      </c>
    </row>
    <row r="13">
      <c r="A13" s="4" t="n">
        <v>1</v>
      </c>
      <c r="B13" s="4" t="inlineStr">
        <is>
          <t>GRO4565</t>
        </is>
      </c>
      <c r="C13" s="4" t="inlineStr">
        <is>
          <t>Neu Bag Candy Gas terpénes aromatasak 5 g</t>
        </is>
      </c>
      <c r="D13" s="4" t="inlineStr">
        <is>
          <t>Elsődleges</t>
        </is>
      </c>
      <c r="E13" s="4" t="inlineStr">
        <is>
          <t>Erős</t>
        </is>
      </c>
      <c r="F13" s="4" t="inlineStr">
        <is>
          <t>Terpén- / aromatasak</t>
        </is>
      </c>
    </row>
    <row r="14">
      <c r="A14" s="4" t="n">
        <v>2</v>
      </c>
      <c r="B14" s="4" t="inlineStr">
        <is>
          <t>GRO4566</t>
        </is>
      </c>
      <c r="C14" s="4" t="inlineStr">
        <is>
          <t>Neu Bag Dessert terpénes aromatasak 5 g</t>
        </is>
      </c>
      <c r="D14" s="4" t="inlineStr">
        <is>
          <t>Elsődleges</t>
        </is>
      </c>
      <c r="E14" s="4" t="inlineStr">
        <is>
          <t>Erős</t>
        </is>
      </c>
      <c r="F14" s="4" t="inlineStr">
        <is>
          <t>Terpén- / aromatasak</t>
        </is>
      </c>
    </row>
    <row r="15">
      <c r="A15" s="4" t="n">
        <v>3</v>
      </c>
      <c r="B15" s="4" t="inlineStr">
        <is>
          <t>GRO4567</t>
        </is>
      </c>
      <c r="C15" s="4" t="inlineStr">
        <is>
          <t>Neu Bag Purple terpénes aromatasak 5 g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Terpén- / aromatasak</t>
        </is>
      </c>
    </row>
    <row r="16">
      <c r="A16" s="4" t="n">
        <v>4</v>
      </c>
      <c r="B16" s="4" t="inlineStr">
        <is>
          <t>GRO4568</t>
        </is>
      </c>
      <c r="C16" s="4" t="inlineStr">
        <is>
          <t>Neu Bag Sour terpénes aromatasak 5 g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Terpén- / aromatasak</t>
        </is>
      </c>
    </row>
    <row r="17">
      <c r="A17" s="4" t="n">
        <v>5</v>
      </c>
      <c r="B17" s="4" t="inlineStr">
        <is>
          <t>HED2288</t>
        </is>
      </c>
      <c r="C17" s="4" t="inlineStr">
        <is>
          <t>Integra Boost terpén - ízesített limonén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Terpén- / aromatasak</t>
        </is>
      </c>
    </row>
    <row r="18">
      <c r="A18" s="4" t="n">
        <v>6</v>
      </c>
      <c r="B18" s="4" t="inlineStr">
        <is>
          <t>HED2289</t>
        </is>
      </c>
      <c r="C18" s="4" t="inlineStr">
        <is>
          <t>Integra Boost terpén - ízesített mircén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Terpén- / aromatasak</t>
        </is>
      </c>
    </row>
    <row r="19">
      <c r="A19" s="4" t="n">
        <v>7</v>
      </c>
      <c r="B19" s="4" t="inlineStr">
        <is>
          <t>HED2329</t>
        </is>
      </c>
      <c r="C19" s="4" t="inlineStr">
        <is>
          <t>Integra Boost terpén - ízesített terpinolén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Terpén- / aromatasak</t>
        </is>
      </c>
    </row>
    <row r="20">
      <c r="A20" s="4" t="n">
        <v>8</v>
      </c>
      <c r="B20" s="4" t="inlineStr">
        <is>
          <t>HED2330</t>
        </is>
      </c>
      <c r="C20" s="4" t="inlineStr">
        <is>
          <t>Integra Boost terpén - ízesített linalol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Terpén- / aromatasak</t>
        </is>
      </c>
    </row>
    <row r="21">
      <c r="A21" s="4" t="n">
        <v>9</v>
      </c>
      <c r="B21" s="4" t="inlineStr">
        <is>
          <t>HED2331</t>
        </is>
      </c>
      <c r="C21" s="4" t="inlineStr">
        <is>
          <t>Integra Boost terpén - ízesített humulén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Terpén- / aromatasak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Vákuumzsák, simítózáras tasak  –  fő kulcsszó: „simítózáras tasak”</t>
        </is>
      </c>
    </row>
    <row r="2">
      <c r="A2" s="2" t="inlineStr">
        <is>
          <t>Felhasználási terület: Fényálló, vasalható vákuumzsák, simítózáras (ziplock) tasak – szagzáró tárolás</t>
        </is>
      </c>
    </row>
    <row r="3">
      <c r="A3" s="2" t="inlineStr">
        <is>
          <t>Megjegyzés: A „vákuum zsák utazáshoz” (210) és „vákuum ruhazsák” (210) ruhatároló zsák; a „fóliahegesztő” (720) és a vákuumozó gépek nincsenek a kínálatban (Bővítés lap). A „mylar tasak” (140) fényálló tasak – a vasalható vákuumzsák ilyen.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simítózáras tasak</t>
        </is>
      </c>
      <c r="C7" s="5" t="n">
        <v>720</v>
      </c>
      <c r="D7" s="4" t="inlineStr">
        <is>
          <t>Szoros</t>
        </is>
      </c>
      <c r="E7" s="4" t="inlineStr">
        <is>
          <t>Igen</t>
        </is>
      </c>
      <c r="F7" s="4" t="inlineStr">
        <is>
          <t>Fényálló, vasalható vákuumzsák, simítózáras (ziplock) tasak – szagzáró tárolás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fóliahegesztő</t>
        </is>
      </c>
      <c r="C8" s="22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Fényálló, vasalható vákuumzsák, simítózáras (ziplock) tasak – szagzáró tárolás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csomagoló zacskó</t>
        </is>
      </c>
      <c r="C9" s="22" t="n">
        <v>320</v>
      </c>
      <c r="D9" s="11" t="inlineStr">
        <is>
          <t>Laza</t>
        </is>
      </c>
      <c r="E9" s="11" t="inlineStr">
        <is>
          <t>Nem</t>
        </is>
      </c>
      <c r="F9" s="11" t="inlineStr">
        <is>
          <t>Fényálló, vasalható vákuumzsák, simítózáras (ziplock) tasak – szagzáró tárolás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vákuum zsák utazáshoz</t>
        </is>
      </c>
      <c r="C10" s="22" t="n">
        <v>210</v>
      </c>
      <c r="D10" s="11" t="inlineStr">
        <is>
          <t>Laza</t>
        </is>
      </c>
      <c r="E10" s="11" t="inlineStr">
        <is>
          <t>Nem</t>
        </is>
      </c>
      <c r="F10" s="11" t="inlineStr">
        <is>
          <t>Fényálló, vasalható vákuumzsák, simítózáras (ziplock) tasak – szagzáró tárolás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vákuum ruhazsák</t>
        </is>
      </c>
      <c r="C11" s="22" t="n">
        <v>210</v>
      </c>
      <c r="D11" s="11" t="inlineStr">
        <is>
          <t>Laza</t>
        </is>
      </c>
      <c r="E11" s="11" t="inlineStr">
        <is>
          <t>Nem</t>
        </is>
      </c>
      <c r="F11" s="11" t="inlineStr">
        <is>
          <t>Fényálló, vasalható vákuumzsák, simítózáras (ziplock) tasak – szagzáró tárolás</t>
        </is>
      </c>
      <c r="G11" s="11" t="inlineStr">
        <is>
          <t>Nem célozni külön oldallal (max. említés)</t>
        </is>
      </c>
    </row>
    <row r="12">
      <c r="A12" s="4" t="n">
        <v>6</v>
      </c>
      <c r="B12" s="4" t="inlineStr">
        <is>
          <t>mylar tasak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Fényálló, vasalható vákuumzsák, simítózáras (ziplock) tasak – szagzáró tárolás</t>
        </is>
      </c>
      <c r="G12" s="4" t="inlineStr">
        <is>
          <t>SEO title / H1 / bevezető (másodlagos)</t>
        </is>
      </c>
    </row>
    <row r="13">
      <c r="A13" s="7" t="n">
        <v>7</v>
      </c>
      <c r="B13" s="7" t="inlineStr">
        <is>
          <t>csomagoló tasak</t>
        </is>
      </c>
      <c r="C13" s="8" t="n">
        <v>110</v>
      </c>
      <c r="D13" s="7" t="inlineStr">
        <is>
          <t>Laza</t>
        </is>
      </c>
      <c r="E13" s="7" t="inlineStr">
        <is>
          <t>Igen</t>
        </is>
      </c>
      <c r="F13" s="7" t="inlineStr">
        <is>
          <t>Fényálló, vasalható vákuumzsák, simítózáras (ziplock) tasak – szagzáró tárolás</t>
        </is>
      </c>
      <c r="G13" s="7" t="inlineStr">
        <is>
          <t>Kategórialeírás (természetes említés)</t>
        </is>
      </c>
    </row>
    <row r="14">
      <c r="A14" s="4" t="n">
        <v>8</v>
      </c>
      <c r="B14" s="4" t="inlineStr">
        <is>
          <t>vákuum zsák</t>
        </is>
      </c>
      <c r="C14" s="5" t="n">
        <v>90</v>
      </c>
      <c r="D14" s="4" t="inlineStr">
        <is>
          <t>Szoros</t>
        </is>
      </c>
      <c r="E14" s="4" t="inlineStr">
        <is>
          <t>Igen</t>
        </is>
      </c>
      <c r="F14" s="4" t="inlineStr">
        <is>
          <t>Fényálló, vasalható vákuumzsák, simítózáras (ziplock) tasak – szagzáró tárolás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simítózáras zacskó</t>
        </is>
      </c>
      <c r="C15" s="5" t="n">
        <v>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Fényálló, vasalható vákuumzsák, simítózáras (ziplock) tasak – szagzáró tárolás</t>
        </is>
      </c>
      <c r="G15" s="4" t="inlineStr">
        <is>
          <t>SEO title / H1 / bevezető (másodlagos)</t>
        </is>
      </c>
    </row>
    <row r="16">
      <c r="A16" s="4" t="n">
        <v>10</v>
      </c>
      <c r="B16" s="4" t="inlineStr">
        <is>
          <t>önzáró tasakok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Fényálló, vasalható vákuumzsák, simítózáras (ziplock) tasak – szagzáró tárolás</t>
        </is>
      </c>
      <c r="G16" s="4" t="inlineStr">
        <is>
          <t>Kategórialeírás (természetes említés)</t>
        </is>
      </c>
    </row>
    <row r="17">
      <c r="A17" s="7" t="n">
        <v>11</v>
      </c>
      <c r="B17" s="7" t="inlineStr">
        <is>
          <t>légmentes tároló doboz</t>
        </is>
      </c>
      <c r="C17" s="8" t="n">
        <v>90</v>
      </c>
      <c r="D17" s="7" t="inlineStr">
        <is>
          <t>Laza</t>
        </is>
      </c>
      <c r="E17" s="7" t="inlineStr">
        <is>
          <t>Igen</t>
        </is>
      </c>
      <c r="F17" s="7" t="inlineStr">
        <is>
          <t>Fényálló, vasalható vákuumzsák, simítózáras (ziplock) tasak – szagzáró tárolás</t>
        </is>
      </c>
      <c r="G17" s="7" t="inlineStr">
        <is>
          <t>Kategórialeírás (természetes említés)</t>
        </is>
      </c>
    </row>
    <row r="18">
      <c r="A18" s="4" t="n">
        <v>12</v>
      </c>
      <c r="B18" s="4" t="inlineStr">
        <is>
          <t>ziplock zacskó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Fényálló, vasalható vákuumzsák, simítózáras (ziplock) tasak – szagzáró tárolás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cipzáras tasak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Fényálló, vasalható vákuumzsák, simítózáras (ziplock) tasak – szagzáró tárolás</t>
        </is>
      </c>
      <c r="G19" s="4" t="inlineStr">
        <is>
          <t>Kategórialeírás (természetes említés)</t>
        </is>
      </c>
    </row>
    <row r="20">
      <c r="A20" s="12" t="n">
        <v>14</v>
      </c>
      <c r="B20" s="12" t="inlineStr">
        <is>
          <t>simítózáras tasak rossmann</t>
        </is>
      </c>
      <c r="C20" s="21" t="n">
        <v>70</v>
      </c>
      <c r="D20" s="12" t="inlineStr">
        <is>
          <t>Nincs (áruházi / nem vásárlási szándék)</t>
        </is>
      </c>
      <c r="E20" s="12" t="inlineStr">
        <is>
          <t>Nem – kizárandó</t>
        </is>
      </c>
      <c r="F20" s="12" t="inlineStr">
        <is>
          <t>Fényálló, vasalható vákuumzsák, simítózáras (ziplock) tasak – szagzáró tárolás</t>
        </is>
      </c>
      <c r="G20" s="12" t="inlineStr">
        <is>
          <t>Nem használni (áruházi/nem vásárlási szándék)</t>
        </is>
      </c>
    </row>
    <row r="21">
      <c r="A21" s="4" t="n">
        <v>15</v>
      </c>
      <c r="B21" s="4" t="inlineStr">
        <is>
          <t>mylar zacskó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Fényálló, vasalható vákuumzsák, simítózáras (ziplock) tasak – szagzáró tárolás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vákuumozható zsák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Fényálló, vasalható vákuumzsák, simítózáras (ziplock) tasak – szagzáró tárolás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simitózáras tasak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Fényálló, vasalható vákuumzsák, simítózáras (ziplock) tasak – szagzáró tárolás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simitozaras tasak</t>
        </is>
      </c>
      <c r="C24" s="5" t="n">
        <v>50</v>
      </c>
      <c r="D24" s="4" t="inlineStr">
        <is>
          <t>Szoros</t>
        </is>
      </c>
      <c r="E24" s="4" t="inlineStr">
        <is>
          <t>Igen</t>
        </is>
      </c>
      <c r="F24" s="4" t="inlineStr">
        <is>
          <t>Fényálló, vasalható vákuumzsák, simítózáras (ziplock) tasak – szagzáró tárolás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talpas simítózáras tasak</t>
        </is>
      </c>
      <c r="C25" s="5" t="n">
        <v>50</v>
      </c>
      <c r="D25" s="4" t="inlineStr">
        <is>
          <t>Szoros</t>
        </is>
      </c>
      <c r="E25" s="4" t="inlineStr">
        <is>
          <t>Igen</t>
        </is>
      </c>
      <c r="F25" s="4" t="inlineStr">
        <is>
          <t>Fényálló, vasalható vákuumzsák, simítózáras (ziplock) tasak – szagzáró tárolás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vakuum zsak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Fényálló, vasalható vákuumzsák, simítózáras (ziplock) tasak – szagzáró tárolás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simítózáras műanyag tasak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Fényálló, vasalható vákuumzsák, simítózáras (ziplock) tasak – szagzáró tárolás</t>
        </is>
      </c>
      <c r="G27" s="4" t="inlineStr">
        <is>
          <t>Kategórialeírás (természetes említés)</t>
        </is>
      </c>
    </row>
    <row r="28">
      <c r="A28" s="7" t="n">
        <v>22</v>
      </c>
      <c r="B28" s="7" t="inlineStr">
        <is>
          <t>vákuum tároló zsák</t>
        </is>
      </c>
      <c r="C28" s="8" t="n">
        <v>30</v>
      </c>
      <c r="D28" s="7" t="inlineStr">
        <is>
          <t>Laza</t>
        </is>
      </c>
      <c r="E28" s="7" t="inlineStr">
        <is>
          <t>Igen</t>
        </is>
      </c>
      <c r="F28" s="7" t="inlineStr">
        <is>
          <t>Fényálló, vasalható vákuumzsák, simítózáras (ziplock) tasak – szagzáró tárolás</t>
        </is>
      </c>
      <c r="G28" s="7" t="inlineStr">
        <is>
          <t>Kategórialeírás (természetes említés)</t>
        </is>
      </c>
    </row>
    <row r="29">
      <c r="A29" s="4" t="n">
        <v>23</v>
      </c>
      <c r="B29" s="4" t="inlineStr">
        <is>
          <t>cipzáras műanyag tasak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Fényálló, vasalható vákuumzsák, simítózáras (ziplock) tasak – szagzáró tárolás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zip zacskó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Fényálló, vasalható vákuumzsák, simítózáras (ziplock) tasak – szagzáró tárolás</t>
        </is>
      </c>
      <c r="G30" s="4" t="inlineStr">
        <is>
          <t>Kategórialeírás (természetes említés)</t>
        </is>
      </c>
    </row>
    <row r="31">
      <c r="A31" s="7" t="n">
        <v>25</v>
      </c>
      <c r="B31" s="7" t="inlineStr">
        <is>
          <t>légmentes tároló</t>
        </is>
      </c>
      <c r="C31" s="8" t="n">
        <v>20</v>
      </c>
      <c r="D31" s="7" t="inlineStr">
        <is>
          <t>Laza</t>
        </is>
      </c>
      <c r="E31" s="7" t="inlineStr">
        <is>
          <t>Igen</t>
        </is>
      </c>
      <c r="F31" s="7" t="inlineStr">
        <is>
          <t>Fényálló, vasalható vákuumzsák, simítózáras (ziplock) tasak – szagzáró tárolás</t>
        </is>
      </c>
      <c r="G31" s="7" t="inlineStr">
        <is>
          <t>Kategórialeírás (természetes említés)</t>
        </is>
      </c>
    </row>
    <row r="32">
      <c r="A32" s="4" t="n">
        <v>26</v>
      </c>
      <c r="B32" s="4" t="inlineStr">
        <is>
          <t>grove bag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Fényálló, vasalható vákuumzsák, simítózáras (ziplock) tasak – szagzáró tárolás</t>
        </is>
      </c>
      <c r="G32" s="4" t="inlineStr">
        <is>
          <t>Gyártóoldal / szűrő / termékoldal</t>
        </is>
      </c>
    </row>
    <row r="33">
      <c r="A33" s="4" t="n">
        <v>27</v>
      </c>
      <c r="B33" s="4" t="inlineStr">
        <is>
          <t>légmentesen zárható tasak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Fényálló, vasalható vákuumzsák, simítózáras (ziplock) tasak – szagzáró tárolás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visszazárható műanyag tasak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Fényálló, vasalható vákuumzsák, simítózáras (ziplock) tasak – szagzáró tárolás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vákuumos tároló tasak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Fényálló, vasalható vákuumzsák, simítózáras (ziplock) tasak – szagzáró tárolás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ziploc zacskó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Fényálló, vasalható vákuumzsák, simítózáras (ziplock) tasak – szagzáró tárolás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3">
        <f>SUMIFS(C7:C36,E7:E36,"Igen")</f>
        <v/>
      </c>
    </row>
    <row r="39">
      <c r="A39" s="10" t="inlineStr">
        <is>
          <t>Termékek a jelenlegi kínálatból: 14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GRO1542</t>
        </is>
      </c>
      <c r="C41" s="4" t="inlineStr">
        <is>
          <t>Vasalható vákuum zsák 30 x 50 cm, fényálló, hővel lezárható tasak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Vasalható vákuumzsák / ziplock tasak</t>
        </is>
      </c>
    </row>
    <row r="42">
      <c r="A42" s="4" t="n">
        <v>2</v>
      </c>
      <c r="B42" s="4" t="inlineStr">
        <is>
          <t>GRO1805</t>
        </is>
      </c>
      <c r="C42" s="4" t="inlineStr">
        <is>
          <t>Vasalható vákuum zsák 50 x 100 cm, fényálló, hővel lezárható tasak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Vasalható vákuumzsák / ziplock tasak</t>
        </is>
      </c>
    </row>
    <row r="43">
      <c r="A43" s="4" t="n">
        <v>3</v>
      </c>
      <c r="B43" s="4" t="inlineStr">
        <is>
          <t>HED2203</t>
        </is>
      </c>
      <c r="C43" s="4" t="inlineStr">
        <is>
          <t>Ziplock bag 350x450 mm átlátszó 100 db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Vasalható vákuumzsák / ziplock tasak</t>
        </is>
      </c>
    </row>
    <row r="44">
      <c r="A44" s="4" t="n">
        <v>4</v>
      </c>
      <c r="B44" s="4" t="inlineStr">
        <is>
          <t>HED1892</t>
        </is>
      </c>
      <c r="C44" s="4" t="inlineStr">
        <is>
          <t>Boveda kétirányú páratartalmat biztosító csomag RH 58%, 4g, 21x21 mm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Boveda kétirányú páraszabályzó tasak</t>
        </is>
      </c>
    </row>
    <row r="45">
      <c r="A45" s="4" t="n">
        <v>5</v>
      </c>
      <c r="B45" s="4" t="inlineStr">
        <is>
          <t>HED1894</t>
        </is>
      </c>
      <c r="C45" s="4" t="inlineStr">
        <is>
          <t>Integra Boost nedvesség és páraszabályzó tasak RH 55%, 4g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Integra Boost páraszabályzó tasak</t>
        </is>
      </c>
    </row>
    <row r="46">
      <c r="A46" s="4" t="n">
        <v>6</v>
      </c>
      <c r="B46" s="4" t="inlineStr">
        <is>
          <t>HED1895</t>
        </is>
      </c>
      <c r="C46" s="4" t="inlineStr">
        <is>
          <t>Integra Boost nedvesség és páraszabályzó tasak RH 55%, 8g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Integra Boost páraszabályzó tasak</t>
        </is>
      </c>
    </row>
    <row r="47">
      <c r="A47" s="4" t="n">
        <v>7</v>
      </c>
      <c r="B47" s="4" t="inlineStr">
        <is>
          <t>HED1896</t>
        </is>
      </c>
      <c r="C47" s="4" t="inlineStr">
        <is>
          <t>Integra Boost nedvesség és páraszabályzó tasak RH 55%, 67g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Integra Boost páraszabályzó tasak</t>
        </is>
      </c>
    </row>
    <row r="48">
      <c r="A48" s="4" t="n">
        <v>8</v>
      </c>
      <c r="B48" s="4" t="inlineStr">
        <is>
          <t>HED1944</t>
        </is>
      </c>
      <c r="C48" s="4" t="inlineStr">
        <is>
          <t>Boveda kétirányú páratartalmat biztosító csomag RH 62%; 4g, 40x40 mm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Boveda kétirányú páraszabályzó tasak</t>
        </is>
      </c>
    </row>
    <row r="49">
      <c r="A49" s="4" t="n">
        <v>9</v>
      </c>
      <c r="B49" s="4" t="inlineStr">
        <is>
          <t>HED2041</t>
        </is>
      </c>
      <c r="C49" s="4" t="inlineStr">
        <is>
          <t>Boveda kétirányú páratartalmat biztosító csomag RH 62%; 67g, 132 x 89 mm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Boveda kétirányú páraszabályzó tasak</t>
        </is>
      </c>
    </row>
    <row r="50">
      <c r="A50" s="4" t="n">
        <v>10</v>
      </c>
      <c r="B50" s="4" t="inlineStr">
        <is>
          <t>HED2196</t>
        </is>
      </c>
      <c r="C50" s="4" t="inlineStr">
        <is>
          <t>Integra Boost nedvesség és páraszabályzó tasak RH 62%, 4g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Integra Boost páraszabályzó tasak</t>
        </is>
      </c>
    </row>
    <row r="51">
      <c r="A51" s="4" t="n">
        <v>11</v>
      </c>
      <c r="B51" s="4" t="inlineStr">
        <is>
          <t>HED2197</t>
        </is>
      </c>
      <c r="C51" s="4" t="inlineStr">
        <is>
          <t>Integra Boost nedvesség és páraszabályzó tasak RH 62%, 8g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Integra Boost páraszabályzó tasak</t>
        </is>
      </c>
    </row>
    <row r="52">
      <c r="A52" s="4" t="n">
        <v>12</v>
      </c>
      <c r="B52" s="4" t="inlineStr">
        <is>
          <t>HED2198</t>
        </is>
      </c>
      <c r="C52" s="4" t="inlineStr">
        <is>
          <t>Boveda páratartalom regulációs tasak (RH 62%; 8 g)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Boveda kétirányú páraszabályzó tasak</t>
        </is>
      </c>
    </row>
    <row r="53">
      <c r="A53" s="4" t="n">
        <v>13</v>
      </c>
      <c r="B53" s="4" t="inlineStr">
        <is>
          <t>HED2287</t>
        </is>
      </c>
      <c r="C53" s="4" t="inlineStr">
        <is>
          <t>Integra Boost nedvesség és páraszabályzó tasak RH 62%, 67g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Integra Boost páraszabályzó tasak</t>
        </is>
      </c>
    </row>
    <row r="54">
      <c r="A54" s="4" t="n">
        <v>14</v>
      </c>
      <c r="B54" s="4" t="inlineStr">
        <is>
          <t>HED2441</t>
        </is>
      </c>
      <c r="C54" s="4" t="inlineStr">
        <is>
          <t>Boveda páratartalom regulációs tasak (RH 62%; 320g)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Boveda kétirányú páraszabályzó tasak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Kivonatolás: bubble bag, extraktor  –  fő kulcsszó: „kivonatolás”</t>
        </is>
      </c>
    </row>
    <row r="2">
      <c r="A2" s="2" t="inlineStr">
        <is>
          <t>Felhasználási terület: Hideg kivonatolás: bubble bag (jeges kivonatoló zsák), gyantaszitáló extraktor (Secret Box), shaker</t>
        </is>
      </c>
    </row>
    <row r="3">
      <c r="A3" s="2" t="inlineStr">
        <is>
          <t>Megjegyzés: Nagyon kis keresés: kivonatolás 20, bubble bag 20, ice bubble / pollen box 10. Az „extrakció” (170) orvosi / fogászati, a „rosin” (210) hegedűgyanta is, az „1 mikronos szűrőzsák” (170) víztisztítás.</t>
        </is>
      </c>
    </row>
    <row r="4">
      <c r="A4" s="2" t="inlineStr">
        <is>
          <t>Felvett releváns kulcsszavak: 13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kivonatolás</t>
        </is>
      </c>
      <c r="C7" s="8" t="n">
        <v>20</v>
      </c>
      <c r="D7" s="7" t="inlineStr">
        <is>
          <t>Laza</t>
        </is>
      </c>
      <c r="E7" s="7" t="inlineStr">
        <is>
          <t>Igen</t>
        </is>
      </c>
      <c r="F7" s="7" t="inlineStr">
        <is>
          <t>Hideg kivonatolás: bubble bag (jeges kivonatoló zsák), gyantaszitáló extraktor (Secret Box), shaker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szita</t>
        </is>
      </c>
      <c r="C8" s="22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Hideg kivonatolás: bubble bag (jeges kivonatoló zsák), gyantaszitáló extraktor (Secret Box), shaker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hőprés</t>
        </is>
      </c>
      <c r="C9" s="22" t="n">
        <v>390</v>
      </c>
      <c r="D9" s="11" t="inlineStr">
        <is>
          <t>Laza</t>
        </is>
      </c>
      <c r="E9" s="11" t="inlineStr">
        <is>
          <t>Nem</t>
        </is>
      </c>
      <c r="F9" s="11" t="inlineStr">
        <is>
          <t>Hideg kivonatolás: bubble bag (jeges kivonatoló zsák), gyantaszitáló extraktor (Secret Box), shaker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rosin</t>
        </is>
      </c>
      <c r="C10" s="22" t="n">
        <v>210</v>
      </c>
      <c r="D10" s="11" t="inlineStr">
        <is>
          <t>Laza</t>
        </is>
      </c>
      <c r="E10" s="11" t="inlineStr">
        <is>
          <t>Nem</t>
        </is>
      </c>
      <c r="F10" s="11" t="inlineStr">
        <is>
          <t>Hideg kivonatolás: bubble bag (jeges kivonatoló zsák), gyantaszitáló extraktor (Secret Box), shaker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extrakció</t>
        </is>
      </c>
      <c r="C11" s="22" t="n">
        <v>170</v>
      </c>
      <c r="D11" s="11" t="inlineStr">
        <is>
          <t>Laza</t>
        </is>
      </c>
      <c r="E11" s="11" t="inlineStr">
        <is>
          <t>Nem</t>
        </is>
      </c>
      <c r="F11" s="11" t="inlineStr">
        <is>
          <t>Hideg kivonatolás: bubble bag (jeges kivonatoló zsák), gyantaszitáló extraktor (Secret Box), shaker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1 mikronos szűrőzsák</t>
        </is>
      </c>
      <c r="C12" s="22" t="n">
        <v>170</v>
      </c>
      <c r="D12" s="11" t="inlineStr">
        <is>
          <t>Laza</t>
        </is>
      </c>
      <c r="E12" s="11" t="inlineStr">
        <is>
          <t>Nem</t>
        </is>
      </c>
      <c r="F12" s="11" t="inlineStr">
        <is>
          <t>Hideg kivonatolás: bubble bag (jeges kivonatoló zsák), gyantaszitáló extraktor (Secret Box), shaker</t>
        </is>
      </c>
      <c r="G12" s="11" t="inlineStr">
        <is>
          <t>Nem célozni külön oldallal (max. említés)</t>
        </is>
      </c>
    </row>
    <row r="13">
      <c r="A13" s="7" t="n">
        <v>7</v>
      </c>
      <c r="B13" s="7" t="inlineStr">
        <is>
          <t>tinktúra készítés</t>
        </is>
      </c>
      <c r="C13" s="8" t="n">
        <v>70</v>
      </c>
      <c r="D13" s="7" t="inlineStr">
        <is>
          <t>Laza</t>
        </is>
      </c>
      <c r="E13" s="7" t="inlineStr">
        <is>
          <t>Igen</t>
        </is>
      </c>
      <c r="F13" s="7" t="inlineStr">
        <is>
          <t>Hideg kivonatolás: bubble bag (jeges kivonatoló zsák), gyantaszitáló extraktor (Secret Box), shaker</t>
        </is>
      </c>
      <c r="G13" s="7" t="inlineStr">
        <is>
          <t>Leírás alsó része, GYIK vagy blog</t>
        </is>
      </c>
    </row>
    <row r="14">
      <c r="A14" s="7" t="n">
        <v>8</v>
      </c>
      <c r="B14" s="7" t="inlineStr">
        <is>
          <t>tinktúra készítése házilag</t>
        </is>
      </c>
      <c r="C14" s="8" t="n">
        <v>40</v>
      </c>
      <c r="D14" s="7" t="inlineStr">
        <is>
          <t>Laza</t>
        </is>
      </c>
      <c r="E14" s="7" t="inlineStr">
        <is>
          <t>Igen</t>
        </is>
      </c>
      <c r="F14" s="7" t="inlineStr">
        <is>
          <t>Hideg kivonatolás: bubble bag (jeges kivonatoló zsák), gyantaszitáló extraktor (Secret Box), shaker</t>
        </is>
      </c>
      <c r="G14" s="7" t="inlineStr">
        <is>
          <t>Leírás alsó része, GYIK vagy blog</t>
        </is>
      </c>
    </row>
    <row r="15">
      <c r="A15" s="4" t="n">
        <v>9</v>
      </c>
      <c r="B15" s="4" t="inlineStr">
        <is>
          <t>bubble bag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Hideg kivonatolás: bubble bag (jeges kivonatoló zsák), gyantaszitáló extraktor (Secret Box), shaker</t>
        </is>
      </c>
      <c r="G15" s="4" t="inlineStr">
        <is>
          <t>SEO title / H1 / bevezető (másodlagos)</t>
        </is>
      </c>
    </row>
    <row r="16">
      <c r="A16" s="7" t="n">
        <v>10</v>
      </c>
      <c r="B16" s="7" t="inlineStr">
        <is>
          <t>gyógynövény tinktúra készítése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Hideg kivonatolás: bubble bag (jeges kivonatoló zsák), gyantaszitáló extraktor (Secret Box), shaker</t>
        </is>
      </c>
      <c r="G16" s="7" t="inlineStr">
        <is>
          <t>Leírás alsó része, GYIK vagy blog</t>
        </is>
      </c>
    </row>
    <row r="17">
      <c r="A17" s="4" t="n">
        <v>11</v>
      </c>
      <c r="B17" s="4" t="inlineStr">
        <is>
          <t>ice bubble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Hideg kivonatolás: bubble bag (jeges kivonatoló zsák), gyantaszitáló extraktor (Secret Box), shaker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pollen box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Hideg kivonatolás: bubble bag (jeges kivonatoló zsák), gyantaszitáló extraktor (Secret Box), shaker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növényi kivonat készítése</t>
        </is>
      </c>
      <c r="C19" s="8" t="n">
        <v>10</v>
      </c>
      <c r="D19" s="7" t="inlineStr">
        <is>
          <t>Laza</t>
        </is>
      </c>
      <c r="E19" s="7" t="inlineStr">
        <is>
          <t>Igen</t>
        </is>
      </c>
      <c r="F19" s="7" t="inlineStr">
        <is>
          <t>Hideg kivonatolás: bubble bag (jeges kivonatoló zsák), gyantaszitáló extraktor (Secret Box), shaker</t>
        </is>
      </c>
      <c r="G19" s="7" t="inlineStr">
        <is>
          <t>Leírás alsó része, GYIK vagy blog</t>
        </is>
      </c>
    </row>
    <row r="20">
      <c r="B20" s="10" t="inlineStr">
        <is>
          <t>Összesen (érdemes rá oldal = Igen):</t>
        </is>
      </c>
      <c r="C20" s="23">
        <f>SUMIFS(C7:C19,E7:E19,"Igen")</f>
        <v/>
      </c>
    </row>
    <row r="22">
      <c r="A22" s="10" t="inlineStr">
        <is>
          <t>Termékek a jelenlegi kínálatból: 6 db (elsődleges + másodlagos hozzárendelés; egy termék több kategóriában is szerepelhet)</t>
        </is>
      </c>
    </row>
    <row r="23">
      <c r="A23" s="3" t="inlineStr">
        <is>
          <t>#</t>
        </is>
      </c>
      <c r="B23" s="3" t="inlineStr">
        <is>
          <t>Termékkód</t>
        </is>
      </c>
      <c r="C23" s="3" t="inlineStr">
        <is>
          <t>Terméknév</t>
        </is>
      </c>
      <c r="D23" s="3" t="inlineStr">
        <is>
          <t>Hozzárendelés</t>
        </is>
      </c>
      <c r="E23" s="3" t="inlineStr">
        <is>
          <t>Illeszkedés</t>
        </is>
      </c>
      <c r="F23" s="3" t="inlineStr">
        <is>
          <t>Megjegyzés</t>
        </is>
      </c>
    </row>
    <row r="24">
      <c r="A24" s="4" t="n">
        <v>1</v>
      </c>
      <c r="B24" s="4" t="inlineStr">
        <is>
          <t>GRO1254</t>
        </is>
      </c>
      <c r="C24" s="4" t="inlineStr">
        <is>
          <t>Secret Icer hideg kivonatoló zsák készlet, 5 db szűrőzsák 25–190 mikron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Secret Icer / Secret Box / shaker</t>
        </is>
      </c>
    </row>
    <row r="25">
      <c r="A25" s="4" t="n">
        <v>2</v>
      </c>
      <c r="B25" s="4" t="inlineStr">
        <is>
          <t>GRO3263</t>
        </is>
      </c>
      <c r="C25" s="4" t="inlineStr">
        <is>
          <t>Secret Box extraktor gyantaszitáló gép dimmelhető motorral, 40 x 30 x 28 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Secret Icer / Secret Box / shaker</t>
        </is>
      </c>
    </row>
    <row r="26">
      <c r="A26" s="4" t="n">
        <v>3</v>
      </c>
      <c r="B26" s="4" t="inlineStr">
        <is>
          <t>GRO3728</t>
        </is>
      </c>
      <c r="C26" s="4" t="inlineStr">
        <is>
          <t>Secret Box Extraktor dimmelhető motorral 60 x 40 x 33,5 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Secret Icer / Secret Box / shaker</t>
        </is>
      </c>
    </row>
    <row r="27">
      <c r="A27" s="4" t="n">
        <v>4</v>
      </c>
      <c r="B27" s="4" t="inlineStr">
        <is>
          <t>GRO3729</t>
        </is>
      </c>
      <c r="C27" s="4" t="inlineStr">
        <is>
          <t>Secret Box Big 100 mikronos háló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Secret Icer / Secret Box / shaker</t>
        </is>
      </c>
    </row>
    <row r="28">
      <c r="A28" s="4" t="n">
        <v>5</v>
      </c>
      <c r="B28" s="4" t="inlineStr">
        <is>
          <t>GRO3791</t>
        </is>
      </c>
      <c r="C28" s="4" t="inlineStr">
        <is>
          <t>Secret Box Big 200 mikronos háló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Secret Icer / Secret Box / shaker</t>
        </is>
      </c>
    </row>
    <row r="29">
      <c r="A29" s="4" t="n">
        <v>6</v>
      </c>
      <c r="B29" s="4" t="inlineStr">
        <is>
          <t>HED0724</t>
        </is>
      </c>
      <c r="C29" s="4" t="inlineStr">
        <is>
          <t>Secret shaker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Secret Icer / Secret Box / shaker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Digitális mérleg, zsebmérleg  –  fő kulcsszó: „digitális mérleg”</t>
        </is>
      </c>
    </row>
    <row r="2">
      <c r="A2" s="2" t="inlineStr">
        <is>
          <t>Felhasználási terület: Digitális zseb- és precíziós mérleg (0,01 / 0,001 g), kalibráló súly</t>
        </is>
      </c>
    </row>
    <row r="3">
      <c r="A3" s="2" t="inlineStr">
        <is>
          <t>Megjegyzés: A „digitális mérleg” (1600) vegyes (személy- és konyhai mérleg is); a „gramm mérleg” (720), „ékszermérleg” / „ékszer mérleg” / „ékszerész mérleg” (egyenként 480) és „precíziós mérleg” (320) a pontos vásárlói szavak. A „digitális konyhai mérleg” (880) nem a mi termékünk.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digitális mérleg</t>
        </is>
      </c>
      <c r="C7" s="5" t="n">
        <v>1600</v>
      </c>
      <c r="D7" s="4" t="inlineStr">
        <is>
          <t>Szoros</t>
        </is>
      </c>
      <c r="E7" s="4" t="inlineStr">
        <is>
          <t>Igen</t>
        </is>
      </c>
      <c r="F7" s="4" t="inlineStr">
        <is>
          <t>Digitális zseb- és precíziós mérleg (0,01 / 0,001 g), kalibráló súly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digitális konyhai mérleg</t>
        </is>
      </c>
      <c r="C8" s="22" t="n">
        <v>880</v>
      </c>
      <c r="D8" s="11" t="inlineStr">
        <is>
          <t>Laza</t>
        </is>
      </c>
      <c r="E8" s="11" t="inlineStr">
        <is>
          <t>Nem</t>
        </is>
      </c>
      <c r="F8" s="11" t="inlineStr">
        <is>
          <t>Digitális zseb- és precíziós mérleg (0,01 / 0,001 g), kalibráló súly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gramm mérleg</t>
        </is>
      </c>
      <c r="C9" s="5" t="n">
        <v>720</v>
      </c>
      <c r="D9" s="4" t="inlineStr">
        <is>
          <t>Szoros</t>
        </is>
      </c>
      <c r="E9" s="4" t="inlineStr">
        <is>
          <t>Igen</t>
        </is>
      </c>
      <c r="F9" s="4" t="inlineStr">
        <is>
          <t>Digitális zseb- és precíziós mérleg (0,01 / 0,001 g), kalibráló súly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ékszermérleg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Digitális zseb- és precíziós mérleg (0,01 / 0,001 g), kalibráló súly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ékszer mérleg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Digitális zseb- és precíziós mérleg (0,01 / 0,001 g), kalibráló súly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ékszerész mérleg</t>
        </is>
      </c>
      <c r="C12" s="5" t="n">
        <v>480</v>
      </c>
      <c r="D12" s="4" t="inlineStr">
        <is>
          <t>Szoros</t>
        </is>
      </c>
      <c r="E12" s="4" t="inlineStr">
        <is>
          <t>Igen</t>
        </is>
      </c>
      <c r="F12" s="4" t="inlineStr">
        <is>
          <t>Digitális zseb- és precíziós mérleg (0,01 / 0,001 g), kalibráló súly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precíziós mérleg</t>
        </is>
      </c>
      <c r="C13" s="5" t="n">
        <v>320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Digitális zseb- és precíziós mérleg (0,01 / 0,001 g), kalibráló súly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digitalis merleg</t>
        </is>
      </c>
      <c r="C14" s="5" t="n">
        <v>210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Digitális zseb- és precíziós mérleg (0,01 / 0,001 g), kalibráló súly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analitikai mérleg</t>
        </is>
      </c>
      <c r="C15" s="8" t="n">
        <v>170</v>
      </c>
      <c r="D15" s="7" t="inlineStr">
        <is>
          <t>Laza</t>
        </is>
      </c>
      <c r="E15" s="7" t="inlineStr">
        <is>
          <t>Igen</t>
        </is>
      </c>
      <c r="F15" s="7" t="inlineStr">
        <is>
          <t>Digitális zseb- és precíziós mérleg (0,01 / 0,001 g), kalibráló súly</t>
        </is>
      </c>
      <c r="G15" s="7" t="inlineStr">
        <is>
          <t>Kategórialeírás (természetes említés)</t>
        </is>
      </c>
    </row>
    <row r="16">
      <c r="A16" s="4" t="n">
        <v>10</v>
      </c>
      <c r="B16" s="4" t="inlineStr">
        <is>
          <t>zsebmérleg</t>
        </is>
      </c>
      <c r="C16" s="5" t="n">
        <v>110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Digitális zseb- és precíziós mérleg (0,01 / 0,001 g), kalibráló súly</t>
        </is>
      </c>
      <c r="G16" s="4" t="inlineStr">
        <is>
          <t>SEO title / H1 / bevezető (másodlagos)</t>
        </is>
      </c>
    </row>
    <row r="17">
      <c r="A17" s="12" t="n">
        <v>11</v>
      </c>
      <c r="B17" s="12" t="inlineStr">
        <is>
          <t>ékszer mérleg euronics</t>
        </is>
      </c>
      <c r="C17" s="21" t="n">
        <v>110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Digitális zseb- és precíziós mérleg (0,01 / 0,001 g), kalibráló súly</t>
        </is>
      </c>
      <c r="G17" s="12" t="inlineStr">
        <is>
          <t>Nem használni (áruházi/nem vásárlási szándék)</t>
        </is>
      </c>
    </row>
    <row r="18">
      <c r="A18" s="4" t="n">
        <v>12</v>
      </c>
      <c r="B18" s="4" t="inlineStr">
        <is>
          <t>digitális gramm mérleg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Digitális zseb- és precíziós mérleg (0,01 / 0,001 g), kalibráló súly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mérleg grammos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Digitális zseb- és precíziós mérleg (0,01 / 0,001 g), kalibráló súly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mini mérleg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Digitális zseb- és precíziós mérleg (0,01 / 0,001 g), kalibráló súly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kis mérleg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Digitális zseb- és precíziós mérleg (0,01 / 0,001 g), kalibráló súly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0.01 g mérleg</t>
        </is>
      </c>
      <c r="C22" s="5" t="n">
        <v>40</v>
      </c>
      <c r="D22" s="4" t="inlineStr">
        <is>
          <t>Szoros</t>
        </is>
      </c>
      <c r="E22" s="4" t="inlineStr">
        <is>
          <t>Igen</t>
        </is>
      </c>
      <c r="F22" s="4" t="inlineStr">
        <is>
          <t>Digitális zseb- és precíziós mérleg (0,01 / 0,001 g), kalibráló súly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precíziós mérleg 0 01g</t>
        </is>
      </c>
      <c r="C23" s="5" t="n">
        <v>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Digitális zseb- és precíziós mérleg (0,01 / 0,001 g), kalibráló súly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precizios merleg</t>
        </is>
      </c>
      <c r="C24" s="5" t="n">
        <v>40</v>
      </c>
      <c r="D24" s="4" t="inlineStr">
        <is>
          <t>Szoros</t>
        </is>
      </c>
      <c r="E24" s="4" t="inlineStr">
        <is>
          <t>Igen</t>
        </is>
      </c>
      <c r="F24" s="4" t="inlineStr">
        <is>
          <t>Digitális zseb- és precíziós mérleg (0,01 / 0,001 g), kalibráló súly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mérleg kalibrálás</t>
        </is>
      </c>
      <c r="C25" s="5" t="n">
        <v>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Digitális zseb- és precíziós mérleg (0,01 / 0,001 g), kalibráló súly</t>
        </is>
      </c>
      <c r="G25" s="4" t="inlineStr">
        <is>
          <t>Leírás alsó része, GYIK vagy blog</t>
        </is>
      </c>
    </row>
    <row r="26">
      <c r="A26" s="7" t="n">
        <v>20</v>
      </c>
      <c r="B26" s="7" t="inlineStr">
        <is>
          <t>aranymérleg</t>
        </is>
      </c>
      <c r="C26" s="8" t="n">
        <v>30</v>
      </c>
      <c r="D26" s="7" t="inlineStr">
        <is>
          <t>Laza</t>
        </is>
      </c>
      <c r="E26" s="7" t="inlineStr">
        <is>
          <t>Igen</t>
        </is>
      </c>
      <c r="F26" s="7" t="inlineStr">
        <is>
          <t>Digitális zseb- és precíziós mérleg (0,01 / 0,001 g), kalibráló súly</t>
        </is>
      </c>
      <c r="G26" s="7" t="inlineStr">
        <is>
          <t>Kategórialeírás (természetes említés)</t>
        </is>
      </c>
    </row>
    <row r="27">
      <c r="A27" s="12" t="n">
        <v>21</v>
      </c>
      <c r="B27" s="12" t="inlineStr">
        <is>
          <t>tesco ékszermérleg</t>
        </is>
      </c>
      <c r="C27" s="21" t="n">
        <v>30</v>
      </c>
      <c r="D27" s="12" t="inlineStr">
        <is>
          <t>Nincs (áruházi / nem vásárlási szándék)</t>
        </is>
      </c>
      <c r="E27" s="12" t="inlineStr">
        <is>
          <t>Nem – kizárandó</t>
        </is>
      </c>
      <c r="F27" s="12" t="inlineStr">
        <is>
          <t>Digitális zseb- és precíziós mérleg (0,01 / 0,001 g), kalibráló súly</t>
        </is>
      </c>
      <c r="G27" s="12" t="inlineStr">
        <is>
          <t>Nem használni (áruházi/nem vásárlási szándék)</t>
        </is>
      </c>
    </row>
    <row r="28">
      <c r="A28" s="4" t="n">
        <v>22</v>
      </c>
      <c r="B28" s="4" t="inlineStr">
        <is>
          <t>digitális zsebmérleg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Digitális zseb- és precíziós mérleg (0,01 / 0,001 g), kalibráló súly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kalibráló súly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Digitális zseb- és precíziós mérleg (0,01 / 0,001 g), kalibráló súly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hordozható mérleg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Digitális zseb- és precíziós mérleg (0,01 / 0,001 g), kalibráló súly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gramm pontos mérleg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Digitális zseb- és precíziós mérleg (0,01 / 0,001 g), kalibráló súly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zsebmerleg</t>
        </is>
      </c>
      <c r="C32" s="5" t="n">
        <v>20</v>
      </c>
      <c r="D32" s="4" t="inlineStr">
        <is>
          <t>Szoros</t>
        </is>
      </c>
      <c r="E32" s="4" t="inlineStr">
        <is>
          <t>Igen</t>
        </is>
      </c>
      <c r="F32" s="4" t="inlineStr">
        <is>
          <t>Digitális zseb- és precíziós mérleg (0,01 / 0,001 g), kalibráló súly</t>
        </is>
      </c>
      <c r="G32" s="4" t="inlineStr">
        <is>
          <t>Kategórialeírás (természetes említés)</t>
        </is>
      </c>
    </row>
    <row r="33">
      <c r="A33" s="7" t="n">
        <v>27</v>
      </c>
      <c r="B33" s="7" t="inlineStr">
        <is>
          <t>laboratóriumi mérleg</t>
        </is>
      </c>
      <c r="C33" s="8" t="n">
        <v>20</v>
      </c>
      <c r="D33" s="7" t="inlineStr">
        <is>
          <t>Laza</t>
        </is>
      </c>
      <c r="E33" s="7" t="inlineStr">
        <is>
          <t>Igen</t>
        </is>
      </c>
      <c r="F33" s="7" t="inlineStr">
        <is>
          <t>Digitális zseb- és precíziós mérleg (0,01 / 0,001 g), kalibráló súly</t>
        </is>
      </c>
      <c r="G33" s="7" t="inlineStr">
        <is>
          <t>Kategórialeírás (természetes említés)</t>
        </is>
      </c>
    </row>
    <row r="34">
      <c r="A34" s="4" t="n">
        <v>28</v>
      </c>
      <c r="B34" s="4" t="inlineStr">
        <is>
          <t>g scale</t>
        </is>
      </c>
      <c r="C34" s="5" t="n">
        <v>20</v>
      </c>
      <c r="D34" s="4" t="inlineStr">
        <is>
          <t>Szoros</t>
        </is>
      </c>
      <c r="E34" s="4" t="inlineStr">
        <is>
          <t>Igen</t>
        </is>
      </c>
      <c r="F34" s="4" t="inlineStr">
        <is>
          <t>Digitális zseb- és precíziós mérleg (0,01 / 0,001 g), kalibráló súly</t>
        </is>
      </c>
      <c r="G34" s="4" t="inlineStr">
        <is>
          <t>Gyártóoldal / szűrő / termékoldal</t>
        </is>
      </c>
    </row>
    <row r="35">
      <c r="A35" s="4" t="n">
        <v>29</v>
      </c>
      <c r="B35" s="4" t="inlineStr">
        <is>
          <t>precíziós zsebmérleg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Digitális zseb- és precíziós mérleg (0,01 / 0,001 g), kalibráló súly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0.001 g mérleg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Digitális zseb- és precíziós mérleg (0,01 / 0,001 g), kalibráló súly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3">
        <f>SUMIFS(C7:C36,E7:E36,"Igen")</f>
        <v/>
      </c>
    </row>
    <row r="39">
      <c r="A39" s="10" t="inlineStr">
        <is>
          <t>Termékek a jelenlegi kínálatból: 15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7" t="n">
        <v>1</v>
      </c>
      <c r="B41" s="7" t="inlineStr">
        <is>
          <t>HED0413</t>
        </is>
      </c>
      <c r="C41" s="7" t="inlineStr">
        <is>
          <t>Kalibráló súly 100g</t>
        </is>
      </c>
      <c r="D41" s="7" t="inlineStr">
        <is>
          <t>Elsődleges</t>
        </is>
      </c>
      <c r="E41" s="7" t="inlineStr">
        <is>
          <t>Laza</t>
        </is>
      </c>
      <c r="F41" s="7" t="inlineStr">
        <is>
          <t>Kalibráló súly</t>
        </is>
      </c>
    </row>
    <row r="42">
      <c r="A42" s="7" t="n">
        <v>2</v>
      </c>
      <c r="B42" s="7" t="inlineStr">
        <is>
          <t>HED0414</t>
        </is>
      </c>
      <c r="C42" s="7" t="inlineStr">
        <is>
          <t>Kalibráló súly 200 g</t>
        </is>
      </c>
      <c r="D42" s="7" t="inlineStr">
        <is>
          <t>Elsődleges</t>
        </is>
      </c>
      <c r="E42" s="7" t="inlineStr">
        <is>
          <t>Laza</t>
        </is>
      </c>
      <c r="F42" s="7" t="inlineStr">
        <is>
          <t>Kalibráló súly</t>
        </is>
      </c>
    </row>
    <row r="43">
      <c r="A43" s="7" t="n">
        <v>3</v>
      </c>
      <c r="B43" s="7" t="inlineStr">
        <is>
          <t>HED0415</t>
        </is>
      </c>
      <c r="C43" s="7" t="inlineStr">
        <is>
          <t>Kalibráló súly 500 g</t>
        </is>
      </c>
      <c r="D43" s="7" t="inlineStr">
        <is>
          <t>Elsődleges</t>
        </is>
      </c>
      <c r="E43" s="7" t="inlineStr">
        <is>
          <t>Laza</t>
        </is>
      </c>
      <c r="F43" s="7" t="inlineStr">
        <is>
          <t>Kalibráló súly</t>
        </is>
      </c>
    </row>
    <row r="44">
      <c r="A44" s="4" t="n">
        <v>4</v>
      </c>
      <c r="B44" s="4" t="inlineStr">
        <is>
          <t>HED1397</t>
        </is>
      </c>
      <c r="C44" s="4" t="inlineStr">
        <is>
          <t>Digitális precíziós mérleg 100 g - 0.01 g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Digitális zseb- / precíziós mérleg</t>
        </is>
      </c>
    </row>
    <row r="45">
      <c r="A45" s="7" t="n">
        <v>5</v>
      </c>
      <c r="B45" s="7" t="inlineStr">
        <is>
          <t>HED1489</t>
        </is>
      </c>
      <c r="C45" s="7" t="inlineStr">
        <is>
          <t>Kalibráló súly 50 g</t>
        </is>
      </c>
      <c r="D45" s="7" t="inlineStr">
        <is>
          <t>Elsődleges</t>
        </is>
      </c>
      <c r="E45" s="7" t="inlineStr">
        <is>
          <t>Laza</t>
        </is>
      </c>
      <c r="F45" s="7" t="inlineStr">
        <is>
          <t>Kalibráló súly</t>
        </is>
      </c>
    </row>
    <row r="46">
      <c r="A46" s="7" t="n">
        <v>6</v>
      </c>
      <c r="B46" s="7" t="inlineStr">
        <is>
          <t>HED1490</t>
        </is>
      </c>
      <c r="C46" s="7" t="inlineStr">
        <is>
          <t>Kalibráló súly 1000 g</t>
        </is>
      </c>
      <c r="D46" s="7" t="inlineStr">
        <is>
          <t>Elsődleges</t>
        </is>
      </c>
      <c r="E46" s="7" t="inlineStr">
        <is>
          <t>Laza</t>
        </is>
      </c>
      <c r="F46" s="7" t="inlineStr">
        <is>
          <t>Kalibráló súly</t>
        </is>
      </c>
    </row>
    <row r="47">
      <c r="A47" s="4" t="n">
        <v>7</v>
      </c>
      <c r="B47" s="4" t="inlineStr">
        <is>
          <t>HED1828</t>
        </is>
      </c>
      <c r="C47" s="4" t="inlineStr">
        <is>
          <t>G-Scale Pro digitális zsebmérleg 500 g - 0.1 g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Digitális zseb- / precíziós mérleg</t>
        </is>
      </c>
    </row>
    <row r="48">
      <c r="A48" s="4" t="n">
        <v>8</v>
      </c>
      <c r="B48" s="4" t="inlineStr">
        <is>
          <t>HED1836</t>
        </is>
      </c>
      <c r="C48" s="4" t="inlineStr">
        <is>
          <t>Mérleg számológép 200 g - 0.01 g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Digitális zseb- / precíziós mérleg</t>
        </is>
      </c>
    </row>
    <row r="49">
      <c r="A49" s="4" t="n">
        <v>9</v>
      </c>
      <c r="B49" s="4" t="inlineStr">
        <is>
          <t>HED2156</t>
        </is>
      </c>
      <c r="C49" s="4" t="inlineStr">
        <is>
          <t>G-Scale digitális zsebmérleg 100 g - 0.01 g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Digitális zseb- / precíziós mérleg</t>
        </is>
      </c>
    </row>
    <row r="50">
      <c r="A50" s="4" t="n">
        <v>10</v>
      </c>
      <c r="B50" s="4" t="inlineStr">
        <is>
          <t>HED2341</t>
        </is>
      </c>
      <c r="C50" s="4" t="inlineStr">
        <is>
          <t>G-Scale digitális zsebmérleg 2000 g - 0.1 g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Digitális zseb- / precíziós mérleg</t>
        </is>
      </c>
    </row>
    <row r="51">
      <c r="A51" s="4" t="n">
        <v>11</v>
      </c>
      <c r="B51" s="4" t="inlineStr">
        <is>
          <t>HED2401</t>
        </is>
      </c>
      <c r="C51" s="4" t="inlineStr">
        <is>
          <t>G-Scale Lite digitális zsebmérleg 100 g - 0.01 g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Digitális zseb- / precíziós mérleg</t>
        </is>
      </c>
    </row>
    <row r="52">
      <c r="A52" s="4" t="n">
        <v>12</v>
      </c>
      <c r="B52" s="4" t="inlineStr">
        <is>
          <t>HED2402</t>
        </is>
      </c>
      <c r="C52" s="4" t="inlineStr">
        <is>
          <t>G-Scale Basic digitális zsebmérleg 100 g - 0.01 g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Digitális zseb- / precíziós mérleg</t>
        </is>
      </c>
    </row>
    <row r="53">
      <c r="A53" s="4" t="n">
        <v>13</v>
      </c>
      <c r="B53" s="4" t="inlineStr">
        <is>
          <t>HED2403</t>
        </is>
      </c>
      <c r="C53" s="4" t="inlineStr">
        <is>
          <t>G-Scale digitális zsebmérleg 100 g - 0.01 g (kalibráló súllyal)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Digitális zseb- / precíziós mérleg</t>
        </is>
      </c>
    </row>
    <row r="54">
      <c r="A54" s="4" t="n">
        <v>14</v>
      </c>
      <c r="B54" s="4" t="inlineStr">
        <is>
          <t>HED2404</t>
        </is>
      </c>
      <c r="C54" s="4" t="inlineStr">
        <is>
          <t>G-Scale digitális zsebmérleg 100 g - 0.01 g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Digitális zseb- / precíziós mérleg</t>
        </is>
      </c>
    </row>
    <row r="55">
      <c r="A55" s="4" t="n">
        <v>15</v>
      </c>
      <c r="B55" s="4" t="inlineStr">
        <is>
          <t>HED2405</t>
        </is>
      </c>
      <c r="C55" s="4" t="inlineStr">
        <is>
          <t>G-Scale digitális zsebmérleg 50 g - 0,001 g (kalibráló súllyal)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Digitális zseb- / precíziós mérleg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Munkaeszköz: kesztyű, nagyító, grow szemüveg  –  fő kulcsszó: „nitril kesztyű”</t>
        </is>
      </c>
    </row>
    <row r="2">
      <c r="A2" s="2" t="inlineStr">
        <is>
          <t>Felhasználási terület: Feldolgozás közbeni munkaeszköz: nitril / vinyl kesztyű, LED-es nagyító, zsebmikroszkóp (trichóma-vizsgálat), grow / védőszemüveg</t>
        </is>
      </c>
    </row>
    <row r="3">
      <c r="A3" s="2" t="inlineStr">
        <is>
          <t>Megjegyzés: Nitril kesztyű 1000, gumikesztyű 2900, kézi nagyító 390, zsebmikroszkóp 110, védőszemüveg 880 (vegyes) – a szavak nagyok, de általánosak (laza); a termékszám kicsi (6).</t>
        </is>
      </c>
    </row>
    <row r="4">
      <c r="A4" s="2" t="inlineStr">
        <is>
          <t>Felvett releváns kulcsszavak: 24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nitril kesztyű</t>
        </is>
      </c>
      <c r="C7" s="8" t="n">
        <v>1000</v>
      </c>
      <c r="D7" s="7" t="inlineStr">
        <is>
          <t>Laza</t>
        </is>
      </c>
      <c r="E7" s="7" t="inlineStr">
        <is>
          <t>Igen</t>
        </is>
      </c>
      <c r="F7" s="7" t="inlineStr">
        <is>
          <t>Feldolgozás közbeni munkaeszköz: nitril / vinyl kesztyű, LED-es nagyító, zsebmikroszkóp (trichóma-vizsgálat), grow / védőszemüveg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mikroszkóp</t>
        </is>
      </c>
      <c r="C8" s="22" t="n">
        <v>3600</v>
      </c>
      <c r="D8" s="11" t="inlineStr">
        <is>
          <t>Laza</t>
        </is>
      </c>
      <c r="E8" s="11" t="inlineStr">
        <is>
          <t>Nem</t>
        </is>
      </c>
      <c r="F8" s="11" t="inlineStr">
        <is>
          <t>Feldolgozás közbeni munkaeszköz: nitril / vinyl kesztyű, LED-es nagyító, zsebmikroszkóp (trichóma-vizsgálat), grow / védőszemüveg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gumikesztyű</t>
        </is>
      </c>
      <c r="C9" s="8" t="n">
        <v>2900</v>
      </c>
      <c r="D9" s="7" t="inlineStr">
        <is>
          <t>Laza</t>
        </is>
      </c>
      <c r="E9" s="7" t="inlineStr">
        <is>
          <t>Igen</t>
        </is>
      </c>
      <c r="F9" s="7" t="inlineStr">
        <is>
          <t>Feldolgozás közbeni munkaeszköz: nitril / vinyl kesztyű, LED-es nagyító, zsebmikroszkóp (trichóma-vizsgálat), grow / védőszemüveg</t>
        </is>
      </c>
      <c r="G9" s="7" t="inlineStr">
        <is>
          <t>SEO title / H1 / bevezető (másodlagos)</t>
        </is>
      </c>
    </row>
    <row r="10">
      <c r="A10" s="11" t="n">
        <v>4</v>
      </c>
      <c r="B10" s="11" t="inlineStr">
        <is>
          <t>nagyító</t>
        </is>
      </c>
      <c r="C10" s="22" t="n">
        <v>2900</v>
      </c>
      <c r="D10" s="11" t="inlineStr">
        <is>
          <t>Laza</t>
        </is>
      </c>
      <c r="E10" s="11" t="inlineStr">
        <is>
          <t>Nem</t>
        </is>
      </c>
      <c r="F10" s="11" t="inlineStr">
        <is>
          <t>Feldolgozás közbeni munkaeszköz: nitril / vinyl kesztyű, LED-es nagyító, zsebmikroszkóp (trichóma-vizsgálat), grow / védőszemüveg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munkavédelmi kesztyű</t>
        </is>
      </c>
      <c r="C11" s="22" t="n">
        <v>1300</v>
      </c>
      <c r="D11" s="11" t="inlineStr">
        <is>
          <t>Laza</t>
        </is>
      </c>
      <c r="E11" s="11" t="inlineStr">
        <is>
          <t>Nem</t>
        </is>
      </c>
      <c r="F11" s="11" t="inlineStr">
        <is>
          <t>Feldolgozás közbeni munkaeszköz: nitril / vinyl kesztyű, LED-es nagyító, zsebmikroszkóp (trichóma-vizsgálat), grow / védőszemüveg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nagyítós lámpa</t>
        </is>
      </c>
      <c r="C12" s="22" t="n">
        <v>880</v>
      </c>
      <c r="D12" s="11" t="inlineStr">
        <is>
          <t>Laza</t>
        </is>
      </c>
      <c r="E12" s="11" t="inlineStr">
        <is>
          <t>Nem</t>
        </is>
      </c>
      <c r="F12" s="11" t="inlineStr">
        <is>
          <t>Feldolgozás közbeni munkaeszköz: nitril / vinyl kesztyű, LED-es nagyító, zsebmikroszkóp (trichóma-vizsgálat), grow / védőszemüveg</t>
        </is>
      </c>
      <c r="G12" s="11" t="inlineStr">
        <is>
          <t>Nem célozni külön oldallal (max. említés)</t>
        </is>
      </c>
    </row>
    <row r="13">
      <c r="A13" s="7" t="n">
        <v>7</v>
      </c>
      <c r="B13" s="7" t="inlineStr">
        <is>
          <t>védőszemüveg</t>
        </is>
      </c>
      <c r="C13" s="8" t="n">
        <v>880</v>
      </c>
      <c r="D13" s="7" t="inlineStr">
        <is>
          <t>Laza</t>
        </is>
      </c>
      <c r="E13" s="7" t="inlineStr">
        <is>
          <t>Igen</t>
        </is>
      </c>
      <c r="F13" s="7" t="inlineStr">
        <is>
          <t>Feldolgozás közbeni munkaeszköz: nitril / vinyl kesztyű, LED-es nagyító, zsebmikroszkóp (trichóma-vizsgálat), grow / védőszemüveg</t>
        </is>
      </c>
      <c r="G13" s="7" t="inlineStr">
        <is>
          <t>Kategórialeírás (természetes említés)</t>
        </is>
      </c>
    </row>
    <row r="14">
      <c r="A14" s="7" t="n">
        <v>8</v>
      </c>
      <c r="B14" s="7" t="inlineStr">
        <is>
          <t>gumikesztyű 100 db</t>
        </is>
      </c>
      <c r="C14" s="8" t="n">
        <v>720</v>
      </c>
      <c r="D14" s="7" t="inlineStr">
        <is>
          <t>Laza</t>
        </is>
      </c>
      <c r="E14" s="7" t="inlineStr">
        <is>
          <t>Igen</t>
        </is>
      </c>
      <c r="F14" s="7" t="inlineStr">
        <is>
          <t>Feldolgozás közbeni munkaeszköz: nitril / vinyl kesztyű, LED-es nagyító, zsebmikroszkóp (trichóma-vizsgálat), grow / védőszemüveg</t>
        </is>
      </c>
      <c r="G14" s="7" t="inlineStr">
        <is>
          <t>SEO title / H1 / bevezető (másodlagos)</t>
        </is>
      </c>
    </row>
    <row r="15">
      <c r="A15" s="7" t="n">
        <v>9</v>
      </c>
      <c r="B15" s="7" t="inlineStr">
        <is>
          <t>kézi nagyító</t>
        </is>
      </c>
      <c r="C15" s="8" t="n">
        <v>390</v>
      </c>
      <c r="D15" s="7" t="inlineStr">
        <is>
          <t>Laza</t>
        </is>
      </c>
      <c r="E15" s="7" t="inlineStr">
        <is>
          <t>Igen</t>
        </is>
      </c>
      <c r="F15" s="7" t="inlineStr">
        <is>
          <t>Feldolgozás közbeni munkaeszköz: nitril / vinyl kesztyű, LED-es nagyító, zsebmikroszkóp (trichóma-vizsgálat), grow / védőszemüveg</t>
        </is>
      </c>
      <c r="G15" s="7" t="inlineStr">
        <is>
          <t>SEO title / H1 / bevezető (másodlagos)</t>
        </is>
      </c>
    </row>
    <row r="16">
      <c r="A16" s="7" t="n">
        <v>10</v>
      </c>
      <c r="B16" s="7" t="inlineStr">
        <is>
          <t>nitril gumikesztyű</t>
        </is>
      </c>
      <c r="C16" s="8" t="n">
        <v>320</v>
      </c>
      <c r="D16" s="7" t="inlineStr">
        <is>
          <t>Laza</t>
        </is>
      </c>
      <c r="E16" s="7" t="inlineStr">
        <is>
          <t>Igen</t>
        </is>
      </c>
      <c r="F16" s="7" t="inlineStr">
        <is>
          <t>Feldolgozás közbeni munkaeszköz: nitril / vinyl kesztyű, LED-es nagyító, zsebmikroszkóp (trichóma-vizsgálat), grow / védőszemüveg</t>
        </is>
      </c>
      <c r="G16" s="7" t="inlineStr">
        <is>
          <t>SEO title / H1 / bevezető (másodlagos)</t>
        </is>
      </c>
    </row>
    <row r="17">
      <c r="A17" s="7" t="n">
        <v>11</v>
      </c>
      <c r="B17" s="7" t="inlineStr">
        <is>
          <t>ékszerész nagyító</t>
        </is>
      </c>
      <c r="C17" s="8" t="n">
        <v>140</v>
      </c>
      <c r="D17" s="7" t="inlineStr">
        <is>
          <t>Laza</t>
        </is>
      </c>
      <c r="E17" s="7" t="inlineStr">
        <is>
          <t>Igen</t>
        </is>
      </c>
      <c r="F17" s="7" t="inlineStr">
        <is>
          <t>Feldolgozás közbeni munkaeszköz: nitril / vinyl kesztyű, LED-es nagyító, zsebmikroszkóp (trichóma-vizsgálat), grow / védőszemüveg</t>
        </is>
      </c>
      <c r="G17" s="7" t="inlineStr">
        <is>
          <t>SEO title / H1 / bevezető (másodlagos)</t>
        </is>
      </c>
    </row>
    <row r="18">
      <c r="A18" s="7" t="n">
        <v>12</v>
      </c>
      <c r="B18" s="7" t="inlineStr">
        <is>
          <t>vinyl kesztyű</t>
        </is>
      </c>
      <c r="C18" s="8" t="n">
        <v>110</v>
      </c>
      <c r="D18" s="7" t="inlineStr">
        <is>
          <t>Laza</t>
        </is>
      </c>
      <c r="E18" s="7" t="inlineStr">
        <is>
          <t>Igen</t>
        </is>
      </c>
      <c r="F18" s="7" t="inlineStr">
        <is>
          <t>Feldolgozás közbeni munkaeszköz: nitril / vinyl kesztyű, LED-es nagyító, zsebmikroszkóp (trichóma-vizsgálat), grow / védőszemüveg</t>
        </is>
      </c>
      <c r="G18" s="7" t="inlineStr">
        <is>
          <t>Kategórialeírás (természetes említés)</t>
        </is>
      </c>
    </row>
    <row r="19">
      <c r="A19" s="4" t="n">
        <v>13</v>
      </c>
      <c r="B19" s="4" t="inlineStr">
        <is>
          <t>zsebmikroszkóp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Feldolgozás közbeni munkaeszköz: nitril / vinyl kesztyű, LED-es nagyító, zsebmikroszkóp (trichóma-vizsgálat), grow / védőszemüveg</t>
        </is>
      </c>
      <c r="G19" s="4" t="inlineStr">
        <is>
          <t>SEO title / H1 / bevezető (másodlagos)</t>
        </is>
      </c>
    </row>
    <row r="20">
      <c r="A20" s="7" t="n">
        <v>14</v>
      </c>
      <c r="B20" s="7" t="inlineStr">
        <is>
          <t>egyszer használatos gumikesztyű</t>
        </is>
      </c>
      <c r="C20" s="8" t="n">
        <v>90</v>
      </c>
      <c r="D20" s="7" t="inlineStr">
        <is>
          <t>Laza</t>
        </is>
      </c>
      <c r="E20" s="7" t="inlineStr">
        <is>
          <t>Igen</t>
        </is>
      </c>
      <c r="F20" s="7" t="inlineStr">
        <is>
          <t>Feldolgozás közbeni munkaeszköz: nitril / vinyl kesztyű, LED-es nagyító, zsebmikroszkóp (trichóma-vizsgálat), grow / védőszemüveg</t>
        </is>
      </c>
      <c r="G20" s="7" t="inlineStr">
        <is>
          <t>Kategórialeírás (természetes említés)</t>
        </is>
      </c>
    </row>
    <row r="21">
      <c r="A21" s="7" t="n">
        <v>15</v>
      </c>
      <c r="B21" s="7" t="inlineStr">
        <is>
          <t>latex gumikesztyű</t>
        </is>
      </c>
      <c r="C21" s="8" t="n">
        <v>90</v>
      </c>
      <c r="D21" s="7" t="inlineStr">
        <is>
          <t>Laza</t>
        </is>
      </c>
      <c r="E21" s="7" t="inlineStr">
        <is>
          <t>Igen</t>
        </is>
      </c>
      <c r="F21" s="7" t="inlineStr">
        <is>
          <t>Feldolgozás közbeni munkaeszköz: nitril / vinyl kesztyű, LED-es nagyító, zsebmikroszkóp (trichóma-vizsgálat), grow / védőszemüveg</t>
        </is>
      </c>
      <c r="G21" s="7" t="inlineStr">
        <is>
          <t>Kategórialeírás (természetes említés)</t>
        </is>
      </c>
    </row>
    <row r="22">
      <c r="A22" s="7" t="n">
        <v>16</v>
      </c>
      <c r="B22" s="7" t="inlineStr">
        <is>
          <t>kézi nagyító 40x</t>
        </is>
      </c>
      <c r="C22" s="8" t="n">
        <v>90</v>
      </c>
      <c r="D22" s="7" t="inlineStr">
        <is>
          <t>Laza</t>
        </is>
      </c>
      <c r="E22" s="7" t="inlineStr">
        <is>
          <t>Igen</t>
        </is>
      </c>
      <c r="F22" s="7" t="inlineStr">
        <is>
          <t>Feldolgozás közbeni munkaeszköz: nitril / vinyl kesztyű, LED-es nagyító, zsebmikroszkóp (trichóma-vizsgálat), grow / védőszemüveg</t>
        </is>
      </c>
      <c r="G22" s="7" t="inlineStr">
        <is>
          <t>Kategórialeírás (természetes említés)</t>
        </is>
      </c>
    </row>
    <row r="23">
      <c r="A23" s="4" t="n">
        <v>17</v>
      </c>
      <c r="B23" s="4" t="inlineStr">
        <is>
          <t>kézi mikroszkóp</t>
        </is>
      </c>
      <c r="C23" s="5" t="n">
        <v>70</v>
      </c>
      <c r="D23" s="4" t="inlineStr">
        <is>
          <t>Szoros</t>
        </is>
      </c>
      <c r="E23" s="4" t="inlineStr">
        <is>
          <t>Igen</t>
        </is>
      </c>
      <c r="F23" s="4" t="inlineStr">
        <is>
          <t>Feldolgozás közbeni munkaeszköz: nitril / vinyl kesztyű, LED-es nagyító, zsebmikroszkóp (trichóma-vizsgálat), grow / védőszemüveg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púdermentes nitril kesztyű</t>
        </is>
      </c>
      <c r="C24" s="8" t="n">
        <v>50</v>
      </c>
      <c r="D24" s="7" t="inlineStr">
        <is>
          <t>Laza</t>
        </is>
      </c>
      <c r="E24" s="7" t="inlineStr">
        <is>
          <t>Igen</t>
        </is>
      </c>
      <c r="F24" s="7" t="inlineStr">
        <is>
          <t>Feldolgozás közbeni munkaeszköz: nitril / vinyl kesztyű, LED-es nagyító, zsebmikroszkóp (trichóma-vizsgálat), grow / védőszemüveg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mini mikroszkóp</t>
        </is>
      </c>
      <c r="C25" s="5" t="n">
        <v>50</v>
      </c>
      <c r="D25" s="4" t="inlineStr">
        <is>
          <t>Szoros</t>
        </is>
      </c>
      <c r="E25" s="4" t="inlineStr">
        <is>
          <t>Igen</t>
        </is>
      </c>
      <c r="F25" s="4" t="inlineStr">
        <is>
          <t>Feldolgozás közbeni munkaeszköz: nitril / vinyl kesztyű, LED-es nagyító, zsebmikroszkóp (trichóma-vizsgálat), grow / védőszemüveg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világítós nagyító</t>
        </is>
      </c>
      <c r="C26" s="8" t="n">
        <v>50</v>
      </c>
      <c r="D26" s="7" t="inlineStr">
        <is>
          <t>Laza</t>
        </is>
      </c>
      <c r="E26" s="7" t="inlineStr">
        <is>
          <t>Igen</t>
        </is>
      </c>
      <c r="F26" s="7" t="inlineStr">
        <is>
          <t>Feldolgozás közbeni munkaeszköz: nitril / vinyl kesztyű, LED-es nagyító, zsebmikroszkóp (trichóma-vizsgálat), grow / védőszemüveg</t>
        </is>
      </c>
      <c r="G26" s="7" t="inlineStr">
        <is>
          <t>Kategórialeírás (természetes említés)</t>
        </is>
      </c>
    </row>
    <row r="27">
      <c r="A27" s="7" t="n">
        <v>21</v>
      </c>
      <c r="B27" s="7" t="inlineStr">
        <is>
          <t>nagyító szemüveg led világítással</t>
        </is>
      </c>
      <c r="C27" s="8" t="n">
        <v>50</v>
      </c>
      <c r="D27" s="7" t="inlineStr">
        <is>
          <t>Laza</t>
        </is>
      </c>
      <c r="E27" s="7" t="inlineStr">
        <is>
          <t>Igen</t>
        </is>
      </c>
      <c r="F27" s="7" t="inlineStr">
        <is>
          <t>Feldolgozás közbeni munkaeszköz: nitril / vinyl kesztyű, LED-es nagyító, zsebmikroszkóp (trichóma-vizsgálat), grow / védőszemüveg</t>
        </is>
      </c>
      <c r="G27" s="7" t="inlineStr">
        <is>
          <t>Kategórialeírás (természetes említés)</t>
        </is>
      </c>
    </row>
    <row r="28">
      <c r="A28" s="7" t="n">
        <v>22</v>
      </c>
      <c r="B28" s="7" t="inlineStr">
        <is>
          <t>zsebnagyító</t>
        </is>
      </c>
      <c r="C28" s="8" t="n">
        <v>40</v>
      </c>
      <c r="D28" s="7" t="inlineStr">
        <is>
          <t>Laza</t>
        </is>
      </c>
      <c r="E28" s="7" t="inlineStr">
        <is>
          <t>Igen</t>
        </is>
      </c>
      <c r="F28" s="7" t="inlineStr">
        <is>
          <t>Feldolgozás közbeni munkaeszköz: nitril / vinyl kesztyű, LED-es nagyító, zsebmikroszkóp (trichóma-vizsgálat), grow / védőszemüveg</t>
        </is>
      </c>
      <c r="G28" s="7" t="inlineStr">
        <is>
          <t>Kategórialeírás (természetes említés)</t>
        </is>
      </c>
    </row>
    <row r="29">
      <c r="A29" s="7" t="n">
        <v>23</v>
      </c>
      <c r="B29" s="7" t="inlineStr">
        <is>
          <t>led szemüveg</t>
        </is>
      </c>
      <c r="C29" s="8" t="n">
        <v>40</v>
      </c>
      <c r="D29" s="7" t="inlineStr">
        <is>
          <t>Laza</t>
        </is>
      </c>
      <c r="E29" s="7" t="inlineStr">
        <is>
          <t>Igen</t>
        </is>
      </c>
      <c r="F29" s="7" t="inlineStr">
        <is>
          <t>Feldolgozás közbeni munkaeszköz: nitril / vinyl kesztyű, LED-es nagyító, zsebmikroszkóp (trichóma-vizsgálat), grow / védőszemüveg</t>
        </is>
      </c>
      <c r="G29" s="7" t="inlineStr">
        <is>
          <t>Kategórialeírás (természetes említés)</t>
        </is>
      </c>
    </row>
    <row r="30">
      <c r="A30" s="7" t="n">
        <v>24</v>
      </c>
      <c r="B30" s="7" t="inlineStr">
        <is>
          <t>led nagyító</t>
        </is>
      </c>
      <c r="C30" s="8" t="n">
        <v>10</v>
      </c>
      <c r="D30" s="7" t="inlineStr">
        <is>
          <t>Laza</t>
        </is>
      </c>
      <c r="E30" s="7" t="inlineStr">
        <is>
          <t>Igen</t>
        </is>
      </c>
      <c r="F30" s="7" t="inlineStr">
        <is>
          <t>Feldolgozás közbeni munkaeszköz: nitril / vinyl kesztyű, LED-es nagyító, zsebmikroszkóp (trichóma-vizsgálat), grow / védőszemüveg</t>
        </is>
      </c>
      <c r="G30" s="7" t="inlineStr">
        <is>
          <t>Kategórialeírás (természetes említés)</t>
        </is>
      </c>
    </row>
    <row r="31">
      <c r="B31" s="10" t="inlineStr">
        <is>
          <t>Összesen (érdemes rá oldal = Igen):</t>
        </is>
      </c>
      <c r="C31" s="23">
        <f>SUMIFS(C7:C30,E7:E30,"Igen")</f>
        <v/>
      </c>
    </row>
    <row r="33">
      <c r="A33" s="10" t="inlineStr">
        <is>
          <t>Termékek a jelenlegi kínálatból: 10 db (elsődleges + másodlagos hozzárendelés; egy termék több kategóriában is szerepelhet)</t>
        </is>
      </c>
    </row>
    <row r="34">
      <c r="A34" s="3" t="inlineStr">
        <is>
          <t>#</t>
        </is>
      </c>
      <c r="B34" s="3" t="inlineStr">
        <is>
          <t>Termékkód</t>
        </is>
      </c>
      <c r="C34" s="3" t="inlineStr">
        <is>
          <t>Terméknév</t>
        </is>
      </c>
      <c r="D34" s="3" t="inlineStr">
        <is>
          <t>Hozzárendelés</t>
        </is>
      </c>
      <c r="E34" s="3" t="inlineStr">
        <is>
          <t>Illeszkedés</t>
        </is>
      </c>
      <c r="F34" s="3" t="inlineStr">
        <is>
          <t>Megjegyzés</t>
        </is>
      </c>
    </row>
    <row r="35">
      <c r="A35" s="4" t="n">
        <v>1</v>
      </c>
      <c r="B35" s="4" t="inlineStr">
        <is>
          <t>GRO0821</t>
        </is>
      </c>
      <c r="C35" s="4" t="inlineStr">
        <is>
          <t>Mikroszkóp mini 100x LED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Zsebmikroszkóp / LED-es nagyító</t>
        </is>
      </c>
    </row>
    <row r="36">
      <c r="A36" s="7" t="n">
        <v>2</v>
      </c>
      <c r="B36" s="7" t="inlineStr">
        <is>
          <t>GRO3829</t>
        </is>
      </c>
      <c r="C36" s="7" t="inlineStr">
        <is>
          <t>Owlsen Optipro grow szemüveg</t>
        </is>
      </c>
      <c r="D36" s="7" t="inlineStr">
        <is>
          <t>Elsődleges</t>
        </is>
      </c>
      <c r="E36" s="7" t="inlineStr">
        <is>
          <t>Laza</t>
        </is>
      </c>
      <c r="F36" s="7" t="inlineStr">
        <is>
          <t>Grow- / védőszemüveg</t>
        </is>
      </c>
    </row>
    <row r="37">
      <c r="A37" s="7" t="n">
        <v>3</v>
      </c>
      <c r="B37" s="7" t="inlineStr">
        <is>
          <t>GRO4203</t>
        </is>
      </c>
      <c r="C37" s="7" t="inlineStr">
        <is>
          <t>AC Infinity védőszemüveg 3 cserélhető lencsével</t>
        </is>
      </c>
      <c r="D37" s="7" t="inlineStr">
        <is>
          <t>Elsődleges</t>
        </is>
      </c>
      <c r="E37" s="7" t="inlineStr">
        <is>
          <t>Laza</t>
        </is>
      </c>
      <c r="F37" s="7" t="inlineStr">
        <is>
          <t>Grow- / védőszemüveg</t>
        </is>
      </c>
    </row>
    <row r="38">
      <c r="A38" s="4" t="n">
        <v>4</v>
      </c>
      <c r="B38" s="4" t="inlineStr">
        <is>
          <t>GRO4306</t>
        </is>
      </c>
      <c r="C38" s="4" t="inlineStr">
        <is>
          <t>AC Infinity nagyító LED lámpával dupla lencsével 30x-60x nagyítás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Zsebmikroszkóp / LED-es nagyító</t>
        </is>
      </c>
    </row>
    <row r="39">
      <c r="A39" s="4" t="n">
        <v>5</v>
      </c>
      <c r="B39" s="4" t="inlineStr">
        <is>
          <t>GRO4559</t>
        </is>
      </c>
      <c r="C39" s="4" t="inlineStr">
        <is>
          <t>Gumikesztyű vinyl XL méret, kék - 100 db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Egyszer használatos kesztyű</t>
        </is>
      </c>
    </row>
    <row r="40">
      <c r="A40" s="4" t="n">
        <v>6</v>
      </c>
      <c r="B40" s="4" t="inlineStr">
        <is>
          <t>GRO4641</t>
        </is>
      </c>
      <c r="C40" s="4" t="inlineStr">
        <is>
          <t>Nitril gumikesztyű púdermentes, S méret, 100 db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Egyszer használatos kesztyű</t>
        </is>
      </c>
    </row>
    <row r="41">
      <c r="A41" s="4" t="n">
        <v>7</v>
      </c>
      <c r="B41" s="4" t="inlineStr">
        <is>
          <t>GRO0821</t>
        </is>
      </c>
      <c r="C41" s="4" t="inlineStr">
        <is>
          <t>Mikroszkóp mini 100x LED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Zsebmikroszkóp / LED-es nagyító</t>
        </is>
      </c>
    </row>
    <row r="42">
      <c r="A42" s="4" t="n">
        <v>8</v>
      </c>
      <c r="B42" s="4" t="inlineStr">
        <is>
          <t>GRO4306</t>
        </is>
      </c>
      <c r="C42" s="4" t="inlineStr">
        <is>
          <t>AC Infinity nagyító LED lámpával dupla lencsével 30x-60x nagyítás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Zsebmikroszkóp / LED-es nagyító</t>
        </is>
      </c>
    </row>
    <row r="43">
      <c r="A43" s="4" t="n">
        <v>9</v>
      </c>
      <c r="B43" s="4" t="inlineStr">
        <is>
          <t>GRO4559</t>
        </is>
      </c>
      <c r="C43" s="4" t="inlineStr">
        <is>
          <t>Gumikesztyű vinyl XL méret, kék - 100 db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Egyszer használatos kesztyű</t>
        </is>
      </c>
    </row>
    <row r="44">
      <c r="A44" s="4" t="n">
        <v>10</v>
      </c>
      <c r="B44" s="4" t="inlineStr">
        <is>
          <t>GRO4641</t>
        </is>
      </c>
      <c r="C44" s="4" t="inlineStr">
        <is>
          <t>Nitril gumikesztyű púdermentes, S méret, 100 db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Egyszer használatos kesztyű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boveda</t>
        </is>
      </c>
      <c r="B4" s="2" t="n">
        <v>210</v>
      </c>
    </row>
    <row r="5">
      <c r="A5" s="2" t="inlineStr">
        <is>
          <t>g scale</t>
        </is>
      </c>
      <c r="B5" s="2" t="n">
        <v>20</v>
      </c>
    </row>
    <row r="6">
      <c r="A6" s="2" t="inlineStr">
        <is>
          <t>integra boost</t>
        </is>
      </c>
      <c r="B6" s="2" t="n">
        <v>10</v>
      </c>
    </row>
    <row r="7">
      <c r="A7" s="2" t="inlineStr">
        <is>
          <t>saboten</t>
        </is>
      </c>
      <c r="B7" s="2" t="n">
        <v>10</v>
      </c>
    </row>
    <row r="8">
      <c r="A8" s="2" t="inlineStr">
        <is>
          <t>chikamasa</t>
        </is>
      </c>
      <c r="B8" s="2" t="n">
        <v>10</v>
      </c>
    </row>
    <row r="9">
      <c r="A9" s="2" t="inlineStr">
        <is>
          <t>grove bag</t>
        </is>
      </c>
      <c r="B9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2026-10-16T15:18:46Z</dcterms:created>
  <dcterms:modified xmlns:dcterms="http://purl.org/dc/terms/" xmlns:xsi="http://www.w3.org/2001/XMLSchema-instance" xsi:type="dcterms:W3CDTF">2026-10-16T15:18:47Z</dcterms:modified>
</cp:coreProperties>
</file>